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tables/table12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tables/table13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3dd9c0339a4882/Escritorio/Carpetas Miguel/Excel Miguel/"/>
    </mc:Choice>
  </mc:AlternateContent>
  <xr:revisionPtr revIDLastSave="0" documentId="8_{27F46162-4598-4DF4-AB06-43D7F075E6A5}" xr6:coauthVersionLast="47" xr6:coauthVersionMax="47" xr10:uidLastSave="{00000000-0000-0000-0000-000000000000}"/>
  <bookViews>
    <workbookView xWindow="-120" yWindow="-120" windowWidth="20730" windowHeight="11040" firstSheet="75" activeTab="76" xr2:uid="{A8868D3C-E62B-4269-80F8-FAD18321A5EB}"/>
  </bookViews>
  <sheets>
    <sheet name="Inicio" sheetId="1" r:id="rId1"/>
    <sheet name="NUEVA REGLA FORMATO GRUPAL 1" sheetId="2" r:id="rId2"/>
    <sheet name="FUNCION Y" sheetId="3" r:id="rId3"/>
    <sheet name="CREAR NOMBRES DEFINIDOS" sheetId="4" r:id="rId4"/>
    <sheet name="FÓRMULA INDIRECTO" sheetId="6" r:id="rId5"/>
    <sheet name="TABLA PARA COPIAR" sheetId="7" r:id="rId6"/>
    <sheet name="BUSCADORES" sheetId="8" r:id="rId7"/>
    <sheet name="DESREF" sheetId="9" r:id="rId8"/>
    <sheet name="FUNCION SECUENCIA" sheetId="10" r:id="rId9"/>
    <sheet name="CONDICIONALES (SI)" sheetId="11" r:id="rId10"/>
    <sheet name="SUMAR SI CONTAR SI" sheetId="12" r:id="rId11"/>
    <sheet name="CRITERIOS FILTROS" sheetId="13" r:id="rId12"/>
    <sheet name="FUNCIONALIDAD BUSCADORES COND" sheetId="14" r:id="rId13"/>
    <sheet name="SUMAR SI CONJUNTO" sheetId="15" r:id="rId14"/>
    <sheet name="TEXTO EN COLUMNAS" sheetId="17" r:id="rId15"/>
    <sheet name="RELLENO RAPIDO" sheetId="18" r:id="rId16"/>
    <sheet name="DUPLICADOS Y VAL PERSONALIZADA" sheetId="19" r:id="rId17"/>
    <sheet name="VALIDACIÓN GRUPAL" sheetId="20" r:id="rId18"/>
    <sheet name="ANALISIS DE HIPÓTESIS" sheetId="21" r:id="rId19"/>
    <sheet name="FUNCIONES" sheetId="22" r:id="rId20"/>
    <sheet name="APILAR TOMAR EXCLUIR" sheetId="23" r:id="rId21"/>
    <sheet name="DATOS DE PRUEBA Y CONDICIONALES" sheetId="24" r:id="rId22"/>
    <sheet name="SOLVER" sheetId="25" r:id="rId23"/>
    <sheet name="SOLVER 2" sheetId="26" r:id="rId24"/>
    <sheet name="SOLVER GRUPAL" sheetId="27" r:id="rId25"/>
    <sheet name="TABLAS" sheetId="28" r:id="rId26"/>
    <sheet name="LET" sheetId="29" r:id="rId27"/>
    <sheet name="LET 2" sheetId="30" r:id="rId28"/>
    <sheet name="FUNCION REPETIR" sheetId="49" r:id="rId29"/>
    <sheet name="EJ VALIDACION DE DATOS" sheetId="32" r:id="rId30"/>
    <sheet name="INSERTAR VÍNCULO" sheetId="33" r:id="rId31"/>
    <sheet name="INMOVILIZAR" sheetId="34" r:id="rId32"/>
    <sheet name="COMBINAR (CON BUSCAR V)" sheetId="35" r:id="rId33"/>
    <sheet name="DATOS PRUEBA 1 PARA COMBINAR" sheetId="39" r:id="rId34"/>
    <sheet name="DATOS DE PRUEBA 2 PARA COMBINAR" sheetId="40" r:id="rId35"/>
    <sheet name="COMBINAR CON POWER QUERY" sheetId="41" r:id="rId36"/>
    <sheet name="EJEMPLO POWER QUERY ANEXAR" sheetId="47" r:id="rId37"/>
    <sheet name="DATOS COLOR POWER QUERY" sheetId="46" r:id="rId38"/>
    <sheet name="DATOS 2020 POWER QUERY" sheetId="43" r:id="rId39"/>
    <sheet name="DATOS 2022 POWER QUERY" sheetId="45" r:id="rId40"/>
    <sheet name="DATOS 2021 POWER QUERY" sheetId="44" r:id="rId41"/>
    <sheet name="EJEMPLO POWER QUERY 2 COMBINAR" sheetId="48" r:id="rId42"/>
    <sheet name="REPASO" sheetId="54" r:id="rId43"/>
    <sheet name="BUSCARX MAP SCAN" sheetId="56" r:id="rId44"/>
    <sheet name="INDICE Y COINCIDIR" sheetId="57" r:id="rId45"/>
    <sheet name="AGRUPARPOR" sheetId="58" r:id="rId46"/>
    <sheet name="NOTAS EXAMEN" sheetId="59" r:id="rId47"/>
    <sheet name="FILTRAR CON CONTAR.SI" sheetId="60" r:id="rId48"/>
    <sheet name="ORDENACIÓN CONCEPTOS SOCIALES" sheetId="61" r:id="rId49"/>
    <sheet name="Seguridad" sheetId="62" r:id="rId50"/>
    <sheet name="TRADUCIR" sheetId="63" r:id="rId51"/>
    <sheet name="Información" sheetId="64" r:id="rId52"/>
    <sheet name="Información 2" sheetId="65" r:id="rId53"/>
    <sheet name="LET 3" sheetId="55" r:id="rId54"/>
    <sheet name="INDICE MAP VBA" sheetId="66" r:id="rId55"/>
    <sheet name="ENCOL" sheetId="67" r:id="rId56"/>
    <sheet name="AGRUPAR POR EXCLUIR ORDENAR PIV" sheetId="68" r:id="rId57"/>
    <sheet name="PIVOTAR POR" sheetId="69" r:id="rId58"/>
    <sheet name="AGRUPAR POR DOS COLUMNAS" sheetId="71" r:id="rId59"/>
    <sheet name="SOLVER 3" sheetId="72" r:id="rId60"/>
    <sheet name="RELLENAR CELDAS 12 APUNTES" sheetId="73" r:id="rId61"/>
    <sheet name="LAMBDA DATOSP" sheetId="74" r:id="rId62"/>
    <sheet name="LAMBDA AGRUPARPOR " sheetId="75" r:id="rId63"/>
    <sheet name="LAMBDA LET y FORMATO" sheetId="76" r:id="rId64"/>
    <sheet name="NUEVA REGLA FORMATO GRUPAL 2" sheetId="78" r:id="rId65"/>
    <sheet name="MINIGRAFICOS Y FILTRO AVANZADAS" sheetId="79" r:id="rId66"/>
    <sheet name="FILTROS CARÁCTERES ESPECIALES" sheetId="80" r:id="rId67"/>
    <sheet name="SIMBOLOGIA ESPECIAL RANGOS" sheetId="81" r:id="rId68"/>
    <sheet name="LET 4 PARA CREAR DATOS P" sheetId="82" r:id="rId69"/>
    <sheet name="FUNCION LAMBDA " sheetId="84" r:id="rId70"/>
    <sheet name="CREACION NOMBRES E INDIRECTO" sheetId="83" r:id="rId71"/>
    <sheet name="CONTAR" sheetId="85" r:id="rId72"/>
    <sheet name="SUBTOTALES" sheetId="86" r:id="rId73"/>
    <sheet name="DIAGRAMA GANTT INACABADO" sheetId="88" r:id="rId74"/>
    <sheet name="CREAR FORMULARIO QUE ABRA OTRO" sheetId="90" r:id="rId75"/>
    <sheet name="EJEMPLO LAMBDA" sheetId="91" r:id="rId76"/>
    <sheet name="FUNCION DESREF" sheetId="92" r:id="rId77"/>
    <sheet name="COMBINACION LISTAS VALIDACION" sheetId="93" r:id="rId78"/>
  </sheets>
  <definedNames>
    <definedName name="_datos">'CREAR NOMBRES DEFINIDOS'!$C$2:$C$4</definedName>
    <definedName name="_xlnm._FilterDatabase" localSheetId="11" hidden="1">'CRITERIOS FILTROS'!$A$1:$C$13</definedName>
    <definedName name="_xlnm._FilterDatabase" localSheetId="0" hidden="1">Inicio!$L$1:$L$14</definedName>
    <definedName name="_xlnm._FilterDatabase" localSheetId="65" hidden="1">'MINIGRAFICOS Y FILTRO AVANZADAS'!$I$13:$L$25</definedName>
    <definedName name="_xlnm._FilterDatabase" localSheetId="72" hidden="1">SUBTOTALES!$A$5:$D$5</definedName>
    <definedName name="_IVA">'CREAR NOMBRES DEFINIDOS'!$G$1</definedName>
    <definedName name="_IVA_REDUCIDO">'CREAR NOMBRES DEFINIDOS'!$G$2</definedName>
    <definedName name="_PROVINCIAS">'CREAR NOMBRES DEFINIDOS'!$A$13:$A$15</definedName>
    <definedName name="A">'NOTAS EXAMEN'!$A$3:$A$9</definedName>
    <definedName name="Abril" localSheetId="43">'BUSCARX MAP SCAN'!$B$5:$D$5</definedName>
    <definedName name="Abril">BUSCADORES!$B$5:$C$5</definedName>
    <definedName name="Agosto" localSheetId="43">'BUSCARX MAP SCAN'!$B$9:$D$9</definedName>
    <definedName name="Agosto">BUSCADORES!$B$9:$C$9</definedName>
    <definedName name="Agrupar2Valores">_xlfn.LAMBDA(_xlpm.rfilas,_xlpm.rvalores,_xlfn.GROUPBY(_xlpm.rfilas,_xlpm.rvalores,_xleta.SUM,3,0))</definedName>
    <definedName name="AgruparSumaTitulo">_xlfn.LAMBDA(_xlpm.matriz,_xlfn.GROUPBY(_xlfn.CHOOSECOLS(_xlpm.matriz,1),_xlfn.CHOOSECOLS(_xlpm.matriz,2),_xleta.SUM,3,0))</definedName>
    <definedName name="Agua" localSheetId="43">'BUSCARX MAP SCAN'!$C$2:$C$14</definedName>
    <definedName name="Agua">BUSCADORES!$B$2:$B$13</definedName>
    <definedName name="Alumno1">'NOTAS EXAMEN'!$A$2:$A$9</definedName>
    <definedName name="Alumno2">'NOTAS EXAMEN'!$B$2:$B$9</definedName>
    <definedName name="Alumno3">'NOTAS EXAMEN'!$C$2:$C$9</definedName>
    <definedName name="Alumno4">'NOTAS EXAMEN'!$D$2:$D$9</definedName>
    <definedName name="_xlnm.Extract" localSheetId="11">'CRITERIOS FILTROS'!$E$5:$G$5</definedName>
    <definedName name="_xlnm.Extract" localSheetId="65">'MINIGRAFICOS Y FILTRO AVANZADAS'!$N$17:$Q$17</definedName>
    <definedName name="Beneficiototal">'SOLVER 2'!$G$6</definedName>
    <definedName name="Caca">BUSCADORES!$C$26:$C$32</definedName>
    <definedName name="Cafés">'SOLVER 2'!$D$2</definedName>
    <definedName name="Cantidadtotal">'SOLVER 2'!$D$6</definedName>
    <definedName name="Casa">'CREACION NOMBRES E INDIRECTO'!$B$5</definedName>
    <definedName name="Casademont_Zaragoza">'COMBINACION LISTAS VALIDACION'!$C$4:$C$22</definedName>
    <definedName name="casilla">REPASO!$N$1</definedName>
    <definedName name="Cigarros">'CREACION NOMBRES E INDIRECTO'!$B$3</definedName>
    <definedName name="cokemin">'SOLVER 2'!$B$10</definedName>
    <definedName name="Cokes">'SOLVER 2'!$D$3</definedName>
    <definedName name="Costetotal">'SOLVER 2'!$E$6</definedName>
    <definedName name="crep">'SOLVER 3'!$D$6</definedName>
    <definedName name="_xlnm.Criteria" localSheetId="11">'CRITERIOS FILTROS'!$E$1:$H$2</definedName>
    <definedName name="_xlnm.Criteria" localSheetId="65">'MINIGRAFICOS Y FILTRO AVANZADAS'!$N$13:$Q$14</definedName>
    <definedName name="DatosExternos_1" localSheetId="38" hidden="1">'DATOS 2020 POWER QUERY'!$A$1:$C$13</definedName>
    <definedName name="DatosExternos_1" localSheetId="33" hidden="1">'DATOS PRUEBA 1 PARA COMBINAR'!$A$1:$B$6</definedName>
    <definedName name="DatosExternos_2" localSheetId="40" hidden="1">'DATOS 2021 POWER QUERY'!$A$1:$C$13</definedName>
    <definedName name="DatosExternos_2" localSheetId="34" hidden="1">'DATOS DE PRUEBA 2 PARA COMBINAR'!$A$1:$B$4</definedName>
    <definedName name="DatosExternos_3" localSheetId="35" hidden="1">'COMBINAR CON POWER QUERY'!$A$1:$C$6</definedName>
    <definedName name="DatosExternos_3" localSheetId="39" hidden="1">'DATOS 2022 POWER QUERY'!$A$1:$C$13</definedName>
    <definedName name="DatosExternos_4" localSheetId="37" hidden="1">'DATOS COLOR POWER QUERY'!$A$1:$B$5</definedName>
    <definedName name="DatosExternos_5" localSheetId="36" hidden="1">'EJEMPLO POWER QUERY ANEXAR'!$A$1:$C$37</definedName>
    <definedName name="DatosExternos_6" localSheetId="41" hidden="1">'EJEMPLO POWER QUERY 2 COMBINAR'!$A$1:$D$37</definedName>
    <definedName name="Días">BUSCADORES!$B$26:$C$32</definedName>
    <definedName name="Diciembre" localSheetId="43">'BUSCARX MAP SCAN'!$B$13:$D$13</definedName>
    <definedName name="Diciembre">BUSCADORES!$B$13:$C$13</definedName>
    <definedName name="Domingo">BUSCADORES!$B$32:$C$32</definedName>
    <definedName name="DONACIONES">'CREACION NOMBRES E INDIRECTO'!$I$5</definedName>
    <definedName name="Enero" localSheetId="43">'BUSCARX MAP SCAN'!$B$2:$D$2</definedName>
    <definedName name="Enero">BUSCADORES!$B$2:$C$2</definedName>
    <definedName name="Examen_1">'NOTAS EXAMEN'!$C$31:$H$31</definedName>
    <definedName name="Examen_2">'NOTAS EXAMEN'!$C$32:$H$32</definedName>
    <definedName name="Febrero" localSheetId="43">'BUSCARX MAP SCAN'!$B$3:$D$3</definedName>
    <definedName name="Febrero">BUSCADORES!$B$3:$C$3</definedName>
    <definedName name="fmagica">_xlfn.LAMBDA(_xlpm.v,((_xlpm.v*5)-2)/3)</definedName>
    <definedName name="Hamb">'SOLVER 3'!$D$2</definedName>
    <definedName name="hambmin">'SOLVER 2'!$B$11</definedName>
    <definedName name="Hamburguesas">'SOLVER 2'!$D$5</definedName>
    <definedName name="impuestoA">'CREACION NOMBRES E INDIRECTO'!$I$2</definedName>
    <definedName name="impuestoB">'CREACION NOMBRES E INDIRECTO'!$I$3</definedName>
    <definedName name="impuestoC">'CREACION NOMBRES E INDIRECTO'!$I$4</definedName>
    <definedName name="impuestoD">'CREACION NOMBRES E INDIRECTO'!$I$5</definedName>
    <definedName name="IVA" localSheetId="70">'CREACION NOMBRES E INDIRECTO'!$I$2</definedName>
    <definedName name="IVA">'CREAR NOMBRES DEFINIDOS'!$G$1</definedName>
    <definedName name="IVA_REDUCIDO">'CREACION NOMBRES E INDIRECTO'!$I$3</definedName>
    <definedName name="IVA_SUPER_REDUCIDO">'CREACION NOMBRES E INDIRECTO'!$I$4</definedName>
    <definedName name="Jueves">BUSCADORES!$B$29:$C$29</definedName>
    <definedName name="Julio" localSheetId="43">'BUSCARX MAP SCAN'!$B$8:$D$8</definedName>
    <definedName name="Julio">BUSCADORES!$B$8:$C$8</definedName>
    <definedName name="Junio" localSheetId="43">'BUSCARX MAP SCAN'!$B$7:$D$7</definedName>
    <definedName name="Junio">BUSCADORES!$B$7:$C$7</definedName>
    <definedName name="keb">'SOLVER 3'!$D$4</definedName>
    <definedName name="LambdaDatosp">_xlfn.LAMBDA(_xlpm.min,_xlpm.max, _xlfn.VSTACK(TRANSPOSE({"Meses";"Luz";"Agua";"Teléfono"}),_xlfn.HSTACK(PROPER(TEXT(DATE(2026,_xlfn.SEQUENCE(12),1),"mmmm")),_xlfn.RANDARRAY(12,3,_xlpm.min,_xlpm.max,FALSE))))</definedName>
    <definedName name="LambdaDivisor">_xlfn.LAMBDA(_xlpm.valor, IF(OR(MOD(_xlpm.valor,3)=0, MOD(_xlpm.valor,5)=0, MOD(_xlpm.valor,7)=0), "SI", "NO"))</definedName>
    <definedName name="Lunes">BUSCADORES!$B$26:$C$26</definedName>
    <definedName name="Luz" localSheetId="43">'BUSCARX MAP SCAN'!$B$2:$B$14</definedName>
    <definedName name="Luz">BUSCADORES!$C$2:$C$13</definedName>
    <definedName name="Magdalenas">'SOLVER 2'!$D$4</definedName>
    <definedName name="Magdmax">'SOLVER 2'!$B$9</definedName>
    <definedName name="mantelmax">'SOLVER 2'!$B$12</definedName>
    <definedName name="Martes">BUSCADORES!$B$27:$C$27</definedName>
    <definedName name="Marzo" localSheetId="43">'BUSCARX MAP SCAN'!$B$4:$D$4</definedName>
    <definedName name="Marzo">BUSCADORES!$B$4:$C$4</definedName>
    <definedName name="Mayo" localSheetId="43">'BUSCARX MAP SCAN'!$B$6:$D$6</definedName>
    <definedName name="Mayo">BUSCADORES!$B$6:$C$6</definedName>
    <definedName name="Meses" localSheetId="43">'BUSCARX MAP SCAN'!$B$2:$D$14</definedName>
    <definedName name="Meses">BUSCADORES!$B$2:$C$13</definedName>
    <definedName name="Miércoles">BUSCADORES!$B$28:$C$28</definedName>
    <definedName name="mincrepes">'SOLVER 3'!$B$13</definedName>
    <definedName name="Minham">'SOLVER 3'!$B$10</definedName>
    <definedName name="minkebab">'SOLVER 3'!$B$11</definedName>
    <definedName name="mintaco">'SOLVER 3'!$B$12</definedName>
    <definedName name="NativeTimeline_Fecha">#N/A</definedName>
    <definedName name="Noviembre" localSheetId="43">'BUSCARX MAP SCAN'!$B$12:$D$12</definedName>
    <definedName name="Noviembre">BUSCADORES!$B$12:$C$12</definedName>
    <definedName name="Octubre" localSheetId="43">'BUSCARX MAP SCAN'!$B$11:$D$11</definedName>
    <definedName name="Octubre">BUSCADORES!$B$11:$C$11</definedName>
    <definedName name="Pene">BUSCADORES!$B$26:$B$32</definedName>
    <definedName name="Pis">BUSCADORES!$B$26:$B$32</definedName>
    <definedName name="piz">'SOLVER 3'!$D$3</definedName>
    <definedName name="pizzpreven">'SOLVER 3'!$B$9</definedName>
    <definedName name="pizzpreventi">'SOLVER 3'!$B$9</definedName>
    <definedName name="presupuest">'SOLVER 3'!$B$14</definedName>
    <definedName name="presupuesto">'SOLVER 2'!$B$13</definedName>
    <definedName name="Sábado">BUSCADORES!$B$31:$C$31</definedName>
    <definedName name="SegmentaciónDeDatos_Meses">#N/A</definedName>
    <definedName name="SEPARARLET">'LET 2'!$O$2</definedName>
    <definedName name="Septiembre" localSheetId="43">'BUSCARX MAP SCAN'!$B$10:$D$10</definedName>
    <definedName name="Septiembre">BUSCADORES!$B$10:$C$10</definedName>
    <definedName name="solver_adj" localSheetId="22" hidden="1">SOLVER!$D$2:$D$4</definedName>
    <definedName name="solver_adj" localSheetId="23" hidden="1">'SOLVER 2'!$D$2:$D$5</definedName>
    <definedName name="solver_adj" localSheetId="59" hidden="1">'SOLVER 3'!$D$2:$D$6</definedName>
    <definedName name="solver_adj" localSheetId="24" hidden="1">'SOLVER GRUPAL'!$D$2:$D$9</definedName>
    <definedName name="solver_cvg" localSheetId="22" hidden="1">0.0001</definedName>
    <definedName name="solver_cvg" localSheetId="23" hidden="1">0.0001</definedName>
    <definedName name="solver_cvg" localSheetId="59" hidden="1">0.0001</definedName>
    <definedName name="solver_cvg" localSheetId="24" hidden="1">0.0001</definedName>
    <definedName name="solver_drv" localSheetId="22" hidden="1">2</definedName>
    <definedName name="solver_drv" localSheetId="23" hidden="1">1</definedName>
    <definedName name="solver_drv" localSheetId="59" hidden="1">2</definedName>
    <definedName name="solver_drv" localSheetId="24" hidden="1">2</definedName>
    <definedName name="solver_eng" localSheetId="22" hidden="1">1</definedName>
    <definedName name="solver_eng" localSheetId="23" hidden="1">1</definedName>
    <definedName name="solver_eng" localSheetId="59" hidden="1">1</definedName>
    <definedName name="solver_eng" localSheetId="24" hidden="1">1</definedName>
    <definedName name="solver_est" localSheetId="22" hidden="1">1</definedName>
    <definedName name="solver_est" localSheetId="23" hidden="1">1</definedName>
    <definedName name="solver_est" localSheetId="59" hidden="1">1</definedName>
    <definedName name="solver_est" localSheetId="24" hidden="1">1</definedName>
    <definedName name="solver_itr" localSheetId="22" hidden="1">2147483647</definedName>
    <definedName name="solver_itr" localSheetId="23" hidden="1">2147483647</definedName>
    <definedName name="solver_itr" localSheetId="59" hidden="1">2147483647</definedName>
    <definedName name="solver_itr" localSheetId="24" hidden="1">2147483647</definedName>
    <definedName name="solver_lhs1" localSheetId="22" hidden="1">SOLVER!$D$2</definedName>
    <definedName name="solver_lhs1" localSheetId="23" hidden="1">'SOLVER 2'!$D$2:$D$5</definedName>
    <definedName name="solver_lhs1" localSheetId="59" hidden="1">'SOLVER 3'!$B$15</definedName>
    <definedName name="solver_lhs1" localSheetId="24" hidden="1">'SOLVER GRUPAL'!$D$2</definedName>
    <definedName name="solver_lhs10" localSheetId="59" hidden="1">'SOLVER 3'!$E$7</definedName>
    <definedName name="solver_lhs2" localSheetId="22" hidden="1">SOLVER!$D$2:$D$4</definedName>
    <definedName name="solver_lhs2" localSheetId="23" hidden="1">'SOLVER 2'!$D$5</definedName>
    <definedName name="solver_lhs2" localSheetId="59" hidden="1">'SOLVER 3'!$D$2:$D$6</definedName>
    <definedName name="solver_lhs2" localSheetId="24" hidden="1">'SOLVER GRUPAL'!$D$4</definedName>
    <definedName name="solver_lhs3" localSheetId="22" hidden="1">SOLVER!$D$3</definedName>
    <definedName name="solver_lhs3" localSheetId="23" hidden="1">'SOLVER 2'!$E$6</definedName>
    <definedName name="solver_lhs3" localSheetId="59" hidden="1">'SOLVER 3'!$E$7</definedName>
    <definedName name="solver_lhs3" localSheetId="24" hidden="1">'SOLVER GRUPAL'!$D$8</definedName>
    <definedName name="solver_lhs4" localSheetId="22" hidden="1">SOLVER!$D$4</definedName>
    <definedName name="solver_lhs4" localSheetId="23" hidden="1">'SOLVER 2'!$D$3</definedName>
    <definedName name="solver_lhs4" localSheetId="59" hidden="1">'SOLVER 3'!$D$2</definedName>
    <definedName name="solver_lhs4" localSheetId="24" hidden="1">'SOLVER GRUPAL'!$D$9</definedName>
    <definedName name="solver_lhs5" localSheetId="22" hidden="1">SOLVER!$D$5</definedName>
    <definedName name="solver_lhs5" localSheetId="23" hidden="1">'SOLVER 2'!$D$4</definedName>
    <definedName name="solver_lhs5" localSheetId="59" hidden="1">'SOLVER 3'!$D$6</definedName>
    <definedName name="solver_lhs5" localSheetId="24" hidden="1">'SOLVER GRUPAL'!$E$10</definedName>
    <definedName name="solver_lhs6" localSheetId="22" hidden="1">SOLVER!$E$5</definedName>
    <definedName name="solver_lhs6" localSheetId="23" hidden="1">'SOLVER 2'!$D$6</definedName>
    <definedName name="solver_lhs6" localSheetId="59" hidden="1">'SOLVER 3'!$D$4</definedName>
    <definedName name="solver_lhs7" localSheetId="23" hidden="1">'SOLVER 2'!$D$4</definedName>
    <definedName name="solver_lhs7" localSheetId="59" hidden="1">'SOLVER 3'!$D$4</definedName>
    <definedName name="solver_lhs8" localSheetId="59" hidden="1">'SOLVER 3'!$D$3</definedName>
    <definedName name="solver_lhs9" localSheetId="59" hidden="1">'SOLVER 3'!$D$5</definedName>
    <definedName name="solver_mip" localSheetId="22" hidden="1">2147483647</definedName>
    <definedName name="solver_mip" localSheetId="23" hidden="1">2147483647</definedName>
    <definedName name="solver_mip" localSheetId="59" hidden="1">2147483647</definedName>
    <definedName name="solver_mip" localSheetId="24" hidden="1">2147483647</definedName>
    <definedName name="solver_mni" localSheetId="22" hidden="1">30</definedName>
    <definedName name="solver_mni" localSheetId="23" hidden="1">30</definedName>
    <definedName name="solver_mni" localSheetId="59" hidden="1">30</definedName>
    <definedName name="solver_mni" localSheetId="24" hidden="1">30</definedName>
    <definedName name="solver_mrt" localSheetId="22" hidden="1">0.075</definedName>
    <definedName name="solver_mrt" localSheetId="23" hidden="1">0.075</definedName>
    <definedName name="solver_mrt" localSheetId="59" hidden="1">0.075</definedName>
    <definedName name="solver_mrt" localSheetId="24" hidden="1">0.075</definedName>
    <definedName name="solver_msl" localSheetId="22" hidden="1">2</definedName>
    <definedName name="solver_msl" localSheetId="23" hidden="1">2</definedName>
    <definedName name="solver_msl" localSheetId="59" hidden="1">2</definedName>
    <definedName name="solver_msl" localSheetId="24" hidden="1">2</definedName>
    <definedName name="solver_neg" localSheetId="22" hidden="1">1</definedName>
    <definedName name="solver_neg" localSheetId="23" hidden="1">1</definedName>
    <definedName name="solver_neg" localSheetId="59" hidden="1">1</definedName>
    <definedName name="solver_neg" localSheetId="24" hidden="1">1</definedName>
    <definedName name="solver_nod" localSheetId="22" hidden="1">2147483647</definedName>
    <definedName name="solver_nod" localSheetId="23" hidden="1">2147483647</definedName>
    <definedName name="solver_nod" localSheetId="59" hidden="1">2147483647</definedName>
    <definedName name="solver_nod" localSheetId="24" hidden="1">2147483647</definedName>
    <definedName name="solver_num" localSheetId="22" hidden="1">6</definedName>
    <definedName name="solver_num" localSheetId="23" hidden="1">7</definedName>
    <definedName name="solver_num" localSheetId="59" hidden="1">9</definedName>
    <definedName name="solver_num" localSheetId="24" hidden="1">5</definedName>
    <definedName name="solver_nwt" localSheetId="22" hidden="1">1</definedName>
    <definedName name="solver_nwt" localSheetId="23" hidden="1">1</definedName>
    <definedName name="solver_nwt" localSheetId="59" hidden="1">1</definedName>
    <definedName name="solver_nwt" localSheetId="24" hidden="1">1</definedName>
    <definedName name="solver_opt" localSheetId="22" hidden="1">SOLVER!$G$5</definedName>
    <definedName name="solver_opt" localSheetId="23" hidden="1">'SOLVER 2'!$G$6</definedName>
    <definedName name="solver_opt" localSheetId="59" hidden="1">'SOLVER 3'!$G$7</definedName>
    <definedName name="solver_opt" localSheetId="24" hidden="1">'SOLVER GRUPAL'!$B$15</definedName>
    <definedName name="solver_pre" localSheetId="22" hidden="1">0.000001</definedName>
    <definedName name="solver_pre" localSheetId="23" hidden="1">0.000001</definedName>
    <definedName name="solver_pre" localSheetId="59" hidden="1">0.000001</definedName>
    <definedName name="solver_pre" localSheetId="24" hidden="1">0.000001</definedName>
    <definedName name="solver_rbv" localSheetId="22" hidden="1">2</definedName>
    <definedName name="solver_rbv" localSheetId="23" hidden="1">1</definedName>
    <definedName name="solver_rbv" localSheetId="59" hidden="1">2</definedName>
    <definedName name="solver_rbv" localSheetId="24" hidden="1">2</definedName>
    <definedName name="solver_rel1" localSheetId="22" hidden="1">3</definedName>
    <definedName name="solver_rel1" localSheetId="23" hidden="1">4</definedName>
    <definedName name="solver_rel1" localSheetId="59" hidden="1">2</definedName>
    <definedName name="solver_rel1" localSheetId="24" hidden="1">3</definedName>
    <definedName name="solver_rel10" localSheetId="59" hidden="1">1</definedName>
    <definedName name="solver_rel2" localSheetId="22" hidden="1">4</definedName>
    <definedName name="solver_rel2" localSheetId="23" hidden="1">3</definedName>
    <definedName name="solver_rel2" localSheetId="59" hidden="1">4</definedName>
    <definedName name="solver_rel2" localSheetId="24" hidden="1">1</definedName>
    <definedName name="solver_rel3" localSheetId="22" hidden="1">3</definedName>
    <definedName name="solver_rel3" localSheetId="23" hidden="1">1</definedName>
    <definedName name="solver_rel3" localSheetId="59" hidden="1">1</definedName>
    <definedName name="solver_rel3" localSheetId="24" hidden="1">2</definedName>
    <definedName name="solver_rel4" localSheetId="22" hidden="1">1</definedName>
    <definedName name="solver_rel4" localSheetId="23" hidden="1">3</definedName>
    <definedName name="solver_rel4" localSheetId="59" hidden="1">3</definedName>
    <definedName name="solver_rel4" localSheetId="24" hidden="1">1</definedName>
    <definedName name="solver_rel5" localSheetId="22" hidden="1">1</definedName>
    <definedName name="solver_rel5" localSheetId="23" hidden="1">1</definedName>
    <definedName name="solver_rel5" localSheetId="59" hidden="1">3</definedName>
    <definedName name="solver_rel5" localSheetId="24" hidden="1">1</definedName>
    <definedName name="solver_rel6" localSheetId="22" hidden="1">1</definedName>
    <definedName name="solver_rel6" localSheetId="23" hidden="1">1</definedName>
    <definedName name="solver_rel6" localSheetId="59" hidden="1">2</definedName>
    <definedName name="solver_rel7" localSheetId="23" hidden="1">2</definedName>
    <definedName name="solver_rel7" localSheetId="59" hidden="1">3</definedName>
    <definedName name="solver_rel8" localSheetId="59" hidden="1">3</definedName>
    <definedName name="solver_rel9" localSheetId="59" hidden="1">3</definedName>
    <definedName name="solver_rhs1" localSheetId="22" hidden="1">SOLVER!$B$9</definedName>
    <definedName name="solver_rhs1" localSheetId="23" hidden="1">"entero"</definedName>
    <definedName name="solver_rhs1" localSheetId="59" hidden="1">0</definedName>
    <definedName name="solver_rhs1" localSheetId="24" hidden="1">'SOLVER GRUPAL'!$B$13</definedName>
    <definedName name="solver_rhs10" localSheetId="59" hidden="1">'SOLVER 3'!$B$14</definedName>
    <definedName name="solver_rhs2" localSheetId="22" hidden="1">"entero"</definedName>
    <definedName name="solver_rhs2" localSheetId="23" hidden="1">hambmin</definedName>
    <definedName name="solver_rhs2" localSheetId="59" hidden="1">"entero"</definedName>
    <definedName name="solver_rhs2" localSheetId="24" hidden="1">'SOLVER GRUPAL'!$B$15</definedName>
    <definedName name="solver_rhs3" localSheetId="22" hidden="1">SOLVER!$B$10</definedName>
    <definedName name="solver_rhs3" localSheetId="23" hidden="1">presupuesto</definedName>
    <definedName name="solver_rhs3" localSheetId="59" hidden="1">presupuest</definedName>
    <definedName name="solver_rhs3" localSheetId="24" hidden="1">'SOLVER GRUPAL'!$D$3</definedName>
    <definedName name="solver_rhs4" localSheetId="22" hidden="1">SOLVER!$B$11</definedName>
    <definedName name="solver_rhs4" localSheetId="23" hidden="1">cokemin</definedName>
    <definedName name="solver_rhs4" localSheetId="59" hidden="1">Minham</definedName>
    <definedName name="solver_rhs4" localSheetId="24" hidden="1">'SOLVER GRUPAL'!$B$17</definedName>
    <definedName name="solver_rhs5" localSheetId="22" hidden="1">SOLVER!$B$12</definedName>
    <definedName name="solver_rhs5" localSheetId="23" hidden="1">Magdmax</definedName>
    <definedName name="solver_rhs5" localSheetId="59" hidden="1">mincrepes</definedName>
    <definedName name="solver_rhs5" localSheetId="24" hidden="1">'SOLVER GRUPAL'!$B$14</definedName>
    <definedName name="solver_rhs6" localSheetId="22" hidden="1">SOLVER!$B$8</definedName>
    <definedName name="solver_rhs6" localSheetId="23" hidden="1">mantelmax</definedName>
    <definedName name="solver_rhs6" localSheetId="59" hidden="1">sumakebabs</definedName>
    <definedName name="solver_rhs7" localSheetId="23" hidden="1">Cafés</definedName>
    <definedName name="solver_rhs7" localSheetId="59" hidden="1">minkebab</definedName>
    <definedName name="solver_rhs8" localSheetId="59" hidden="1">pizzpreven</definedName>
    <definedName name="solver_rhs9" localSheetId="59" hidden="1">mintaco</definedName>
    <definedName name="solver_rlx" localSheetId="22" hidden="1">2</definedName>
    <definedName name="solver_rlx" localSheetId="23" hidden="1">2</definedName>
    <definedName name="solver_rlx" localSheetId="59" hidden="1">2</definedName>
    <definedName name="solver_rlx" localSheetId="24" hidden="1">2</definedName>
    <definedName name="solver_rsd" localSheetId="22" hidden="1">0</definedName>
    <definedName name="solver_rsd" localSheetId="23" hidden="1">0</definedName>
    <definedName name="solver_rsd" localSheetId="59" hidden="1">0</definedName>
    <definedName name="solver_rsd" localSheetId="24" hidden="1">0</definedName>
    <definedName name="solver_scl" localSheetId="22" hidden="1">2</definedName>
    <definedName name="solver_scl" localSheetId="23" hidden="1">1</definedName>
    <definedName name="solver_scl" localSheetId="59" hidden="1">2</definedName>
    <definedName name="solver_scl" localSheetId="24" hidden="1">2</definedName>
    <definedName name="solver_sho" localSheetId="22" hidden="1">2</definedName>
    <definedName name="solver_sho" localSheetId="23" hidden="1">2</definedName>
    <definedName name="solver_sho" localSheetId="59" hidden="1">2</definedName>
    <definedName name="solver_sho" localSheetId="24" hidden="1">2</definedName>
    <definedName name="solver_ssz" localSheetId="22" hidden="1">100</definedName>
    <definedName name="solver_ssz" localSheetId="23" hidden="1">100</definedName>
    <definedName name="solver_ssz" localSheetId="59" hidden="1">100</definedName>
    <definedName name="solver_ssz" localSheetId="24" hidden="1">100</definedName>
    <definedName name="solver_tim" localSheetId="22" hidden="1">2147483647</definedName>
    <definedName name="solver_tim" localSheetId="23" hidden="1">2147483647</definedName>
    <definedName name="solver_tim" localSheetId="59" hidden="1">2147483647</definedName>
    <definedName name="solver_tim" localSheetId="24" hidden="1">2147483647</definedName>
    <definedName name="solver_tol" localSheetId="22" hidden="1">0.01</definedName>
    <definedName name="solver_tol" localSheetId="23" hidden="1">0.01</definedName>
    <definedName name="solver_tol" localSheetId="59" hidden="1">0.01</definedName>
    <definedName name="solver_tol" localSheetId="24" hidden="1">0.01</definedName>
    <definedName name="solver_typ" localSheetId="22" hidden="1">1</definedName>
    <definedName name="solver_typ" localSheetId="23" hidden="1">1</definedName>
    <definedName name="solver_typ" localSheetId="59" hidden="1">1</definedName>
    <definedName name="solver_typ" localSheetId="24" hidden="1">1</definedName>
    <definedName name="solver_val" localSheetId="22" hidden="1">0</definedName>
    <definedName name="solver_val" localSheetId="23" hidden="1">1800</definedName>
    <definedName name="solver_val" localSheetId="59" hidden="1">0</definedName>
    <definedName name="solver_val" localSheetId="24" hidden="1">0</definedName>
    <definedName name="solver_ver" localSheetId="22" hidden="1">3</definedName>
    <definedName name="solver_ver" localSheetId="23" hidden="1">3</definedName>
    <definedName name="solver_ver" localSheetId="59" hidden="1">3</definedName>
    <definedName name="solver_ver" localSheetId="24" hidden="1">3</definedName>
    <definedName name="sumakebabs">'SOLVER 3'!$B$16</definedName>
    <definedName name="tac">'SOLVER 3'!$D$5</definedName>
    <definedName name="Teléfono">'BUSCARX MAP SCAN'!$D$2:$D$14</definedName>
    <definedName name="Variables">'SOLVER 2'!$D$2:$D$5</definedName>
    <definedName name="Viernes">BUSCADORES!$B$30:$C$30</definedName>
    <definedName name="Whisky">'CREACION NOMBRES E INDIRECTO'!$B$4</definedName>
  </definedNames>
  <calcPr calcId="191029"/>
  <pivotCaches>
    <pivotCache cacheId="0" r:id="rId79"/>
    <pivotCache cacheId="1" r:id="rId8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1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8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2" l="1" a="1"/>
  <c r="H2" i="93" a="1"/>
  <c r="G2" i="93" a="1"/>
  <c r="A11" i="93"/>
  <c r="A5" i="93"/>
  <c r="A6" i="93"/>
  <c r="A8" i="93" s="1"/>
  <c r="A12" i="93"/>
  <c r="A14" i="93" s="1"/>
  <c r="G22" i="92"/>
  <c r="P6" i="92" a="1"/>
  <c r="L6" i="92" a="1"/>
  <c r="H6" i="92" a="1"/>
  <c r="D43" i="91" a="1"/>
  <c r="M26" i="91" a="1"/>
  <c r="I26" i="91" a="1"/>
  <c r="D20" i="91"/>
  <c r="C15" i="91" a="1"/>
  <c r="C11" i="91" a="1"/>
  <c r="E3" i="88"/>
  <c r="E4" i="88"/>
  <c r="E5" i="88"/>
  <c r="E6" i="88"/>
  <c r="E2" i="88"/>
  <c r="B3" i="88" s="1"/>
  <c r="D3" i="88" s="1"/>
  <c r="B5" i="88"/>
  <c r="B6" i="88"/>
  <c r="B4" i="88"/>
  <c r="D2" i="88"/>
  <c r="K18" i="56" a="1"/>
  <c r="F4" i="8" a="1"/>
  <c r="C3" i="85"/>
  <c r="C2" i="85"/>
  <c r="C1" i="85"/>
  <c r="B3" i="86"/>
  <c r="B2" i="86"/>
  <c r="C11" i="84" a="1"/>
  <c r="C4" i="84" a="1"/>
  <c r="E10" i="93" a="1"/>
  <c r="E10" i="83" a="1"/>
  <c r="E8" i="83" a="1"/>
  <c r="G8" i="83" s="1" a="1"/>
  <c r="E9" i="83" a="1"/>
  <c r="G9" i="83" s="1" a="1"/>
  <c r="A13" i="93"/>
  <c r="A7" i="93"/>
  <c r="F2" i="93" a="1"/>
  <c r="D4" i="88" l="1"/>
  <c r="D5" i="88" s="1"/>
  <c r="D6" i="88" s="1"/>
  <c r="N4" i="82" a="1"/>
  <c r="A1" i="82" a="1"/>
  <c r="D1" i="81" a="1"/>
  <c r="B1" i="81" a="1"/>
  <c r="D3" i="80"/>
  <c r="G4" i="8" a="1"/>
  <c r="E13" i="8"/>
  <c r="Q64" i="28" a="1"/>
  <c r="Q75" i="28" a="1"/>
  <c r="J4" i="78"/>
  <c r="F4" i="78"/>
  <c r="B23" i="78"/>
  <c r="B24" i="78"/>
  <c r="B25" i="78"/>
  <c r="F2" i="74" a="1"/>
  <c r="H15" i="75" a="1"/>
  <c r="H4" i="75" a="1"/>
  <c r="E15" i="75" a="1"/>
  <c r="B6" i="73"/>
  <c r="B7" i="73" s="1"/>
  <c r="B9" i="73"/>
  <c r="B10" i="73"/>
  <c r="B15" i="72"/>
  <c r="B16" i="72"/>
  <c r="D7" i="72"/>
  <c r="F3" i="72"/>
  <c r="F4" i="72"/>
  <c r="F5" i="72"/>
  <c r="F6" i="72"/>
  <c r="E3" i="72"/>
  <c r="E4" i="72"/>
  <c r="E5" i="72"/>
  <c r="E6" i="72"/>
  <c r="F2" i="72"/>
  <c r="E2" i="72"/>
  <c r="O30" i="71" a="1"/>
  <c r="K2" i="71" a="1"/>
  <c r="O16" i="71" a="1"/>
  <c r="K16" i="71" a="1"/>
  <c r="O2" i="71" a="1"/>
  <c r="F2" i="71" a="1"/>
  <c r="G1" i="69" a="1"/>
  <c r="C2" i="68" a="1"/>
  <c r="B2" i="68" a="1"/>
  <c r="J1" i="67" a="1"/>
  <c r="G1" i="67" a="1"/>
  <c r="G18" i="66" a="1"/>
  <c r="K18" i="66" a="1"/>
  <c r="H1" i="66" a="1"/>
  <c r="F1" i="66" a="1"/>
  <c r="J1" i="55" a="1"/>
  <c r="A1" i="55" a="1"/>
  <c r="E1" i="60" a="1"/>
  <c r="J1" i="61" a="1"/>
  <c r="I1" i="61" a="1"/>
  <c r="M1" i="61" a="1"/>
  <c r="A24" i="61" a="1"/>
  <c r="K1" i="61" a="1"/>
  <c r="D1" i="61" a="1"/>
  <c r="F1" i="61" a="1"/>
  <c r="C17" i="61" a="1"/>
  <c r="C13" i="61" a="1"/>
  <c r="C9" i="61" a="1"/>
  <c r="A1" i="61" a="1"/>
  <c r="K1" i="60" a="1"/>
  <c r="J2" i="60"/>
  <c r="J3" i="60"/>
  <c r="J4" i="60"/>
  <c r="J5" i="60"/>
  <c r="J6" i="60"/>
  <c r="J7" i="60"/>
  <c r="J8" i="60"/>
  <c r="J1" i="60"/>
  <c r="D2" i="60"/>
  <c r="D3" i="60"/>
  <c r="D4" i="60"/>
  <c r="D5" i="60"/>
  <c r="D6" i="60"/>
  <c r="D7" i="60"/>
  <c r="D8" i="60"/>
  <c r="D1" i="60"/>
  <c r="J35" i="59" a="1"/>
  <c r="C25" i="59" a="1"/>
  <c r="C24" i="59" a="1"/>
  <c r="C23" i="59" a="1"/>
  <c r="C22" i="59" a="1"/>
  <c r="C21" i="59" a="1"/>
  <c r="C20" i="59" a="1"/>
  <c r="C19" i="59" a="1"/>
  <c r="C18" i="59" a="1"/>
  <c r="F105" i="58" a="1"/>
  <c r="F29" i="58" a="1"/>
  <c r="G3" i="58" a="1"/>
  <c r="G13" i="58" a="1"/>
  <c r="N3" i="57" a="1"/>
  <c r="K3" i="57"/>
  <c r="J6" i="57"/>
  <c r="K9" i="57"/>
  <c r="I11" i="57"/>
  <c r="H31" i="56" a="1"/>
  <c r="G18" i="56" a="1"/>
  <c r="M4" i="56" a="1"/>
  <c r="L4" i="56" a="1"/>
  <c r="K4" i="56" a="1"/>
  <c r="M2" i="56"/>
  <c r="L2" i="56"/>
  <c r="K2" i="56"/>
  <c r="F8" i="56" a="1"/>
  <c r="F4" i="56"/>
  <c r="N6" i="54"/>
  <c r="B1" i="54" a="1"/>
  <c r="E11" i="63"/>
  <c r="E15" i="63"/>
  <c r="E12" i="63"/>
  <c r="E16" i="63"/>
  <c r="E14" i="63"/>
  <c r="E13" i="63"/>
  <c r="E17" i="63"/>
  <c r="D11" i="63"/>
  <c r="D15" i="63"/>
  <c r="D14" i="63"/>
  <c r="D12" i="63"/>
  <c r="D16" i="63"/>
  <c r="D13" i="63"/>
  <c r="D17" i="63"/>
  <c r="C11" i="63"/>
  <c r="C15" i="63"/>
  <c r="C14" i="63"/>
  <c r="C12" i="63"/>
  <c r="C16" i="63"/>
  <c r="C13" i="63"/>
  <c r="C17" i="63"/>
  <c r="C8" i="63"/>
  <c r="D8" i="63"/>
  <c r="E8" i="63"/>
  <c r="C7" i="63"/>
  <c r="D7" i="63"/>
  <c r="E7" i="63"/>
  <c r="E4" i="63"/>
  <c r="E5" i="63"/>
  <c r="E6" i="63"/>
  <c r="D4" i="63"/>
  <c r="D5" i="63"/>
  <c r="D6" i="63"/>
  <c r="C4" i="63"/>
  <c r="C5" i="63"/>
  <c r="C6" i="63"/>
  <c r="D3" i="63"/>
  <c r="E3" i="63"/>
  <c r="C3" i="63"/>
  <c r="E9" i="63"/>
  <c r="E10" i="63"/>
  <c r="C9" i="63"/>
  <c r="C10" i="63"/>
  <c r="D9" i="63"/>
  <c r="D10" i="63"/>
  <c r="H5" i="57" a="1"/>
  <c r="J8" i="78" a="1"/>
  <c r="L9" i="8" a="1"/>
  <c r="F11" i="56" a="1"/>
  <c r="J2" i="78" a="1"/>
  <c r="I12" i="57" a="1"/>
  <c r="G10" i="83" a="1"/>
  <c r="J7" i="57" a="1"/>
  <c r="F2" i="59" a="1"/>
  <c r="E29" i="8" a="1"/>
  <c r="G4" i="72"/>
  <c r="G6" i="72"/>
  <c r="G5" i="72"/>
  <c r="G3" i="72"/>
  <c r="E7" i="72"/>
  <c r="G2" i="72"/>
  <c r="O38" i="59"/>
  <c r="P39" i="59"/>
  <c r="O37" i="59"/>
  <c r="P38" i="59"/>
  <c r="O40" i="59"/>
  <c r="O36" i="59"/>
  <c r="P37" i="59"/>
  <c r="O39" i="59"/>
  <c r="P40" i="59"/>
  <c r="P36" i="59"/>
  <c r="I2" i="68" l="1" a="1"/>
  <c r="I17" i="68" a="1"/>
  <c r="N2" i="68" a="1"/>
  <c r="E2" i="68" a="1"/>
  <c r="F48" i="58" a="1"/>
  <c r="K29" i="58" a="1"/>
  <c r="J3" i="59"/>
  <c r="J7" i="59"/>
  <c r="J4" i="59"/>
  <c r="J8" i="59"/>
  <c r="J5" i="59"/>
  <c r="J9" i="59"/>
  <c r="J6" i="59"/>
  <c r="G7" i="72"/>
  <c r="O35" i="59"/>
  <c r="Q34" i="59" s="1"/>
  <c r="P35" i="59"/>
  <c r="R34" i="59" s="1"/>
  <c r="J2" i="59"/>
  <c r="H8" i="57"/>
  <c r="I13" i="57"/>
  <c r="F9735" i="49"/>
  <c r="F9736" i="49"/>
  <c r="F9734" i="49"/>
  <c r="D9733" i="49"/>
  <c r="B1" i="49"/>
  <c r="B2" i="49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B70" i="49"/>
  <c r="B71" i="49"/>
  <c r="B72" i="49"/>
  <c r="B73" i="49"/>
  <c r="B74" i="49"/>
  <c r="B75" i="49"/>
  <c r="B76" i="49"/>
  <c r="B77" i="49"/>
  <c r="B78" i="49"/>
  <c r="B79" i="49"/>
  <c r="B80" i="49"/>
  <c r="B81" i="49"/>
  <c r="B82" i="49"/>
  <c r="B83" i="49"/>
  <c r="B84" i="49"/>
  <c r="B85" i="49"/>
  <c r="B86" i="49"/>
  <c r="B87" i="49"/>
  <c r="B88" i="49"/>
  <c r="B89" i="49"/>
  <c r="B90" i="49"/>
  <c r="B91" i="49"/>
  <c r="B92" i="49"/>
  <c r="B93" i="49"/>
  <c r="B94" i="49"/>
  <c r="B95" i="49"/>
  <c r="B96" i="49"/>
  <c r="B97" i="49"/>
  <c r="B98" i="49"/>
  <c r="B99" i="49"/>
  <c r="B100" i="49"/>
  <c r="B101" i="49"/>
  <c r="B102" i="49"/>
  <c r="B103" i="49"/>
  <c r="B104" i="49"/>
  <c r="B105" i="49"/>
  <c r="B106" i="49"/>
  <c r="B107" i="49"/>
  <c r="B108" i="49"/>
  <c r="B109" i="49"/>
  <c r="B110" i="49"/>
  <c r="B111" i="49"/>
  <c r="B112" i="49"/>
  <c r="B113" i="49"/>
  <c r="B114" i="49"/>
  <c r="B115" i="49"/>
  <c r="B116" i="49"/>
  <c r="B117" i="49"/>
  <c r="B118" i="49"/>
  <c r="B119" i="49"/>
  <c r="B120" i="49"/>
  <c r="B121" i="49"/>
  <c r="B122" i="49"/>
  <c r="B123" i="49"/>
  <c r="B124" i="49"/>
  <c r="B125" i="49"/>
  <c r="B126" i="49"/>
  <c r="B127" i="49"/>
  <c r="B128" i="49"/>
  <c r="B129" i="49"/>
  <c r="B130" i="49"/>
  <c r="B131" i="49"/>
  <c r="B132" i="49"/>
  <c r="B133" i="49"/>
  <c r="B134" i="49"/>
  <c r="B135" i="49"/>
  <c r="B136" i="49"/>
  <c r="B137" i="49"/>
  <c r="B138" i="49"/>
  <c r="B139" i="49"/>
  <c r="B140" i="49"/>
  <c r="B141" i="49"/>
  <c r="B142" i="49"/>
  <c r="B143" i="49"/>
  <c r="B144" i="49"/>
  <c r="B145" i="49"/>
  <c r="B146" i="49"/>
  <c r="B147" i="49"/>
  <c r="B148" i="49"/>
  <c r="B149" i="49"/>
  <c r="B150" i="49"/>
  <c r="B151" i="49"/>
  <c r="B152" i="49"/>
  <c r="B153" i="49"/>
  <c r="B154" i="49"/>
  <c r="B155" i="49"/>
  <c r="B156" i="49"/>
  <c r="B157" i="49"/>
  <c r="B158" i="49"/>
  <c r="B159" i="49"/>
  <c r="B160" i="49"/>
  <c r="B161" i="49"/>
  <c r="B162" i="49"/>
  <c r="B163" i="49"/>
  <c r="B164" i="49"/>
  <c r="B165" i="49"/>
  <c r="B166" i="49"/>
  <c r="B167" i="49"/>
  <c r="B168" i="49"/>
  <c r="B169" i="49"/>
  <c r="B170" i="49"/>
  <c r="B171" i="49"/>
  <c r="B172" i="49"/>
  <c r="B173" i="49"/>
  <c r="B174" i="49"/>
  <c r="B175" i="49"/>
  <c r="B176" i="49"/>
  <c r="B177" i="49"/>
  <c r="B178" i="49"/>
  <c r="B179" i="49"/>
  <c r="B180" i="49"/>
  <c r="B181" i="49"/>
  <c r="B182" i="49"/>
  <c r="B183" i="49"/>
  <c r="B184" i="49"/>
  <c r="B185" i="49"/>
  <c r="B186" i="49"/>
  <c r="B187" i="49"/>
  <c r="B188" i="49"/>
  <c r="B189" i="49"/>
  <c r="B190" i="49"/>
  <c r="B191" i="49"/>
  <c r="B192" i="49"/>
  <c r="B193" i="49"/>
  <c r="B194" i="49"/>
  <c r="B195" i="49"/>
  <c r="B196" i="49"/>
  <c r="B197" i="49"/>
  <c r="B198" i="49"/>
  <c r="B199" i="49"/>
  <c r="B200" i="49"/>
  <c r="B201" i="49"/>
  <c r="B202" i="49"/>
  <c r="B203" i="49"/>
  <c r="B204" i="49"/>
  <c r="B205" i="49"/>
  <c r="B206" i="49"/>
  <c r="B207" i="49"/>
  <c r="B208" i="49"/>
  <c r="B209" i="49"/>
  <c r="B210" i="49"/>
  <c r="B211" i="49"/>
  <c r="B212" i="49"/>
  <c r="B213" i="49"/>
  <c r="B214" i="49"/>
  <c r="B215" i="49"/>
  <c r="B216" i="49"/>
  <c r="B217" i="49"/>
  <c r="B218" i="49"/>
  <c r="B219" i="49"/>
  <c r="B220" i="49"/>
  <c r="B221" i="49"/>
  <c r="B222" i="49"/>
  <c r="B223" i="49"/>
  <c r="B224" i="49"/>
  <c r="B225" i="49"/>
  <c r="B226" i="49"/>
  <c r="B227" i="49"/>
  <c r="B228" i="49"/>
  <c r="B229" i="49"/>
  <c r="B230" i="49"/>
  <c r="B231" i="49"/>
  <c r="B232" i="49"/>
  <c r="B233" i="49"/>
  <c r="B234" i="49"/>
  <c r="B235" i="49"/>
  <c r="B236" i="49"/>
  <c r="B237" i="49"/>
  <c r="B238" i="49"/>
  <c r="B239" i="49"/>
  <c r="B240" i="49"/>
  <c r="B241" i="49"/>
  <c r="B242" i="49"/>
  <c r="B243" i="49"/>
  <c r="B244" i="49"/>
  <c r="B245" i="49"/>
  <c r="B246" i="49"/>
  <c r="B247" i="49"/>
  <c r="B248" i="49"/>
  <c r="B249" i="49"/>
  <c r="B250" i="49"/>
  <c r="B251" i="49"/>
  <c r="B252" i="49"/>
  <c r="B253" i="49"/>
  <c r="B254" i="49"/>
  <c r="B255" i="49"/>
  <c r="B256" i="49"/>
  <c r="B257" i="49"/>
  <c r="B258" i="49"/>
  <c r="B259" i="49"/>
  <c r="B260" i="49"/>
  <c r="B261" i="49"/>
  <c r="B262" i="49"/>
  <c r="B263" i="49"/>
  <c r="B264" i="49"/>
  <c r="B265" i="49"/>
  <c r="B266" i="49"/>
  <c r="B267" i="49"/>
  <c r="B268" i="49"/>
  <c r="B269" i="49"/>
  <c r="B270" i="49"/>
  <c r="B271" i="49"/>
  <c r="B272" i="49"/>
  <c r="B273" i="49"/>
  <c r="B274" i="49"/>
  <c r="B275" i="49"/>
  <c r="B276" i="49"/>
  <c r="B277" i="49"/>
  <c r="B278" i="49"/>
  <c r="B279" i="49"/>
  <c r="B280" i="49"/>
  <c r="B281" i="49"/>
  <c r="B282" i="49"/>
  <c r="B283" i="49"/>
  <c r="B284" i="49"/>
  <c r="B285" i="49"/>
  <c r="B286" i="49"/>
  <c r="B287" i="49"/>
  <c r="B288" i="49"/>
  <c r="B289" i="49"/>
  <c r="B290" i="49"/>
  <c r="B291" i="49"/>
  <c r="B292" i="49"/>
  <c r="B293" i="49"/>
  <c r="B294" i="49"/>
  <c r="B295" i="49"/>
  <c r="B296" i="49"/>
  <c r="B297" i="49"/>
  <c r="B298" i="49"/>
  <c r="B299" i="49"/>
  <c r="B300" i="49"/>
  <c r="B301" i="49"/>
  <c r="B302" i="49"/>
  <c r="B303" i="49"/>
  <c r="B304" i="49"/>
  <c r="B305" i="49"/>
  <c r="B306" i="49"/>
  <c r="B307" i="49"/>
  <c r="B308" i="49"/>
  <c r="B309" i="49"/>
  <c r="B310" i="49"/>
  <c r="B311" i="49"/>
  <c r="B312" i="49"/>
  <c r="B313" i="49"/>
  <c r="B314" i="49"/>
  <c r="B315" i="49"/>
  <c r="B316" i="49"/>
  <c r="B317" i="49"/>
  <c r="B318" i="49"/>
  <c r="B319" i="49"/>
  <c r="B320" i="49"/>
  <c r="B321" i="49"/>
  <c r="B322" i="49"/>
  <c r="B323" i="49"/>
  <c r="B324" i="49"/>
  <c r="B325" i="49"/>
  <c r="B326" i="49"/>
  <c r="B327" i="49"/>
  <c r="B328" i="49"/>
  <c r="B329" i="49"/>
  <c r="B330" i="49"/>
  <c r="B331" i="49"/>
  <c r="B332" i="49"/>
  <c r="B333" i="49"/>
  <c r="B334" i="49"/>
  <c r="B335" i="49"/>
  <c r="B336" i="49"/>
  <c r="B337" i="49"/>
  <c r="B338" i="49"/>
  <c r="B339" i="49"/>
  <c r="B340" i="49"/>
  <c r="B341" i="49"/>
  <c r="B342" i="49"/>
  <c r="B343" i="49"/>
  <c r="B344" i="49"/>
  <c r="B345" i="49"/>
  <c r="B346" i="49"/>
  <c r="B347" i="49"/>
  <c r="B348" i="49"/>
  <c r="B349" i="49"/>
  <c r="B350" i="49"/>
  <c r="B351" i="49"/>
  <c r="B352" i="49"/>
  <c r="B353" i="49"/>
  <c r="B354" i="49"/>
  <c r="B355" i="49"/>
  <c r="B356" i="49"/>
  <c r="B357" i="49"/>
  <c r="B358" i="49"/>
  <c r="B359" i="49"/>
  <c r="B360" i="49"/>
  <c r="B361" i="49"/>
  <c r="B362" i="49"/>
  <c r="B363" i="49"/>
  <c r="B364" i="49"/>
  <c r="B365" i="49"/>
  <c r="B366" i="49"/>
  <c r="B367" i="49"/>
  <c r="B368" i="49"/>
  <c r="B369" i="49"/>
  <c r="B370" i="49"/>
  <c r="B371" i="49"/>
  <c r="B372" i="49"/>
  <c r="B373" i="49"/>
  <c r="B374" i="49"/>
  <c r="B375" i="49"/>
  <c r="B376" i="49"/>
  <c r="B377" i="49"/>
  <c r="B378" i="49"/>
  <c r="B379" i="49"/>
  <c r="B380" i="49"/>
  <c r="B381" i="49"/>
  <c r="B382" i="49"/>
  <c r="B383" i="49"/>
  <c r="B384" i="49"/>
  <c r="B385" i="49"/>
  <c r="B386" i="49"/>
  <c r="B387" i="49"/>
  <c r="B388" i="49"/>
  <c r="B389" i="49"/>
  <c r="B390" i="49"/>
  <c r="B391" i="49"/>
  <c r="B392" i="49"/>
  <c r="B393" i="49"/>
  <c r="B394" i="49"/>
  <c r="B395" i="49"/>
  <c r="B396" i="49"/>
  <c r="B397" i="49"/>
  <c r="B398" i="49"/>
  <c r="B399" i="49"/>
  <c r="B400" i="49"/>
  <c r="B401" i="49"/>
  <c r="B402" i="49"/>
  <c r="B403" i="49"/>
  <c r="B404" i="49"/>
  <c r="B405" i="49"/>
  <c r="B406" i="49"/>
  <c r="B407" i="49"/>
  <c r="B408" i="49"/>
  <c r="B409" i="49"/>
  <c r="B410" i="49"/>
  <c r="B411" i="49"/>
  <c r="B412" i="49"/>
  <c r="B413" i="49"/>
  <c r="B414" i="49"/>
  <c r="B415" i="49"/>
  <c r="B416" i="49"/>
  <c r="B417" i="49"/>
  <c r="B418" i="49"/>
  <c r="B419" i="49"/>
  <c r="B420" i="49"/>
  <c r="B421" i="49"/>
  <c r="B422" i="49"/>
  <c r="B423" i="49"/>
  <c r="B424" i="49"/>
  <c r="B425" i="49"/>
  <c r="B426" i="49"/>
  <c r="B427" i="49"/>
  <c r="B428" i="49"/>
  <c r="B429" i="49"/>
  <c r="B430" i="49"/>
  <c r="B431" i="49"/>
  <c r="B432" i="49"/>
  <c r="B433" i="49"/>
  <c r="B434" i="49"/>
  <c r="B435" i="49"/>
  <c r="B436" i="49"/>
  <c r="B437" i="49"/>
  <c r="B438" i="49"/>
  <c r="B439" i="49"/>
  <c r="B440" i="49"/>
  <c r="B441" i="49"/>
  <c r="B442" i="49"/>
  <c r="B443" i="49"/>
  <c r="B444" i="49"/>
  <c r="B445" i="49"/>
  <c r="B446" i="49"/>
  <c r="B447" i="49"/>
  <c r="B448" i="49"/>
  <c r="B449" i="49"/>
  <c r="B450" i="49"/>
  <c r="B451" i="49"/>
  <c r="B452" i="49"/>
  <c r="B453" i="49"/>
  <c r="B454" i="49"/>
  <c r="B455" i="49"/>
  <c r="B456" i="49"/>
  <c r="B457" i="49"/>
  <c r="B458" i="49"/>
  <c r="B459" i="49"/>
  <c r="B460" i="49"/>
  <c r="B461" i="49"/>
  <c r="B462" i="49"/>
  <c r="B463" i="49"/>
  <c r="B464" i="49"/>
  <c r="B465" i="49"/>
  <c r="B466" i="49"/>
  <c r="B467" i="49"/>
  <c r="B468" i="49"/>
  <c r="B469" i="49"/>
  <c r="B470" i="49"/>
  <c r="B471" i="49"/>
  <c r="B472" i="49"/>
  <c r="B473" i="49"/>
  <c r="B474" i="49"/>
  <c r="B475" i="49"/>
  <c r="B476" i="49"/>
  <c r="B477" i="49"/>
  <c r="B478" i="49"/>
  <c r="B479" i="49"/>
  <c r="B480" i="49"/>
  <c r="B481" i="49"/>
  <c r="B482" i="49"/>
  <c r="B483" i="49"/>
  <c r="B484" i="49"/>
  <c r="B485" i="49"/>
  <c r="B486" i="49"/>
  <c r="B487" i="49"/>
  <c r="B488" i="49"/>
  <c r="B489" i="49"/>
  <c r="B490" i="49"/>
  <c r="B491" i="49"/>
  <c r="B492" i="49"/>
  <c r="B493" i="49"/>
  <c r="B494" i="49"/>
  <c r="B495" i="49"/>
  <c r="B496" i="49"/>
  <c r="B497" i="49"/>
  <c r="B498" i="49"/>
  <c r="B499" i="49"/>
  <c r="B500" i="49"/>
  <c r="B501" i="49"/>
  <c r="B502" i="49"/>
  <c r="B503" i="49"/>
  <c r="B504" i="49"/>
  <c r="B505" i="49"/>
  <c r="B506" i="49"/>
  <c r="B507" i="49"/>
  <c r="B508" i="49"/>
  <c r="B509" i="49"/>
  <c r="B510" i="49"/>
  <c r="B511" i="49"/>
  <c r="B512" i="49"/>
  <c r="B513" i="49"/>
  <c r="B514" i="49"/>
  <c r="B515" i="49"/>
  <c r="B516" i="49"/>
  <c r="B517" i="49"/>
  <c r="B518" i="49"/>
  <c r="B519" i="49"/>
  <c r="B520" i="49"/>
  <c r="B521" i="49"/>
  <c r="B522" i="49"/>
  <c r="B523" i="49"/>
  <c r="B524" i="49"/>
  <c r="B525" i="49"/>
  <c r="B526" i="49"/>
  <c r="B527" i="49"/>
  <c r="B528" i="49"/>
  <c r="B529" i="49"/>
  <c r="B530" i="49"/>
  <c r="B531" i="49"/>
  <c r="B532" i="49"/>
  <c r="B533" i="49"/>
  <c r="B534" i="49"/>
  <c r="B535" i="49"/>
  <c r="B536" i="49"/>
  <c r="B537" i="49"/>
  <c r="B538" i="49"/>
  <c r="B539" i="49"/>
  <c r="B540" i="49"/>
  <c r="B541" i="49"/>
  <c r="B542" i="49"/>
  <c r="B543" i="49"/>
  <c r="B544" i="49"/>
  <c r="B545" i="49"/>
  <c r="B546" i="49"/>
  <c r="B547" i="49"/>
  <c r="B548" i="49"/>
  <c r="B549" i="49"/>
  <c r="B550" i="49"/>
  <c r="B551" i="49"/>
  <c r="B552" i="49"/>
  <c r="B553" i="49"/>
  <c r="B554" i="49"/>
  <c r="B555" i="49"/>
  <c r="B556" i="49"/>
  <c r="B557" i="49"/>
  <c r="B558" i="49"/>
  <c r="B559" i="49"/>
  <c r="B560" i="49"/>
  <c r="B561" i="49"/>
  <c r="B562" i="49"/>
  <c r="B563" i="49"/>
  <c r="B564" i="49"/>
  <c r="B565" i="49"/>
  <c r="B566" i="49"/>
  <c r="B567" i="49"/>
  <c r="B568" i="49"/>
  <c r="B569" i="49"/>
  <c r="B570" i="49"/>
  <c r="B571" i="49"/>
  <c r="B572" i="49"/>
  <c r="B573" i="49"/>
  <c r="B574" i="49"/>
  <c r="B575" i="49"/>
  <c r="B576" i="49"/>
  <c r="B577" i="49"/>
  <c r="B578" i="49"/>
  <c r="B579" i="49"/>
  <c r="B580" i="49"/>
  <c r="B581" i="49"/>
  <c r="B582" i="49"/>
  <c r="B583" i="49"/>
  <c r="B584" i="49"/>
  <c r="B585" i="49"/>
  <c r="B586" i="49"/>
  <c r="B587" i="49"/>
  <c r="B588" i="49"/>
  <c r="B589" i="49"/>
  <c r="B590" i="49"/>
  <c r="B591" i="49"/>
  <c r="B592" i="49"/>
  <c r="B593" i="49"/>
  <c r="B594" i="49"/>
  <c r="B595" i="49"/>
  <c r="B596" i="49"/>
  <c r="B597" i="49"/>
  <c r="B598" i="49"/>
  <c r="B599" i="49"/>
  <c r="B600" i="49"/>
  <c r="B601" i="49"/>
  <c r="B602" i="49"/>
  <c r="B603" i="49"/>
  <c r="B604" i="49"/>
  <c r="B605" i="49"/>
  <c r="B606" i="49"/>
  <c r="B607" i="49"/>
  <c r="B608" i="49"/>
  <c r="B609" i="49"/>
  <c r="B610" i="49"/>
  <c r="B611" i="49"/>
  <c r="B612" i="49"/>
  <c r="B613" i="49"/>
  <c r="B614" i="49"/>
  <c r="B615" i="49"/>
  <c r="B616" i="49"/>
  <c r="B617" i="49"/>
  <c r="B618" i="49"/>
  <c r="B619" i="49"/>
  <c r="B620" i="49"/>
  <c r="B621" i="49"/>
  <c r="B622" i="49"/>
  <c r="B623" i="49"/>
  <c r="B624" i="49"/>
  <c r="B625" i="49"/>
  <c r="B626" i="49"/>
  <c r="B627" i="49"/>
  <c r="B628" i="49"/>
  <c r="B629" i="49"/>
  <c r="B630" i="49"/>
  <c r="B631" i="49"/>
  <c r="B632" i="49"/>
  <c r="B633" i="49"/>
  <c r="B634" i="49"/>
  <c r="B635" i="49"/>
  <c r="B636" i="49"/>
  <c r="B637" i="49"/>
  <c r="B638" i="49"/>
  <c r="B639" i="49"/>
  <c r="B640" i="49"/>
  <c r="B641" i="49"/>
  <c r="B642" i="49"/>
  <c r="B643" i="49"/>
  <c r="B644" i="49"/>
  <c r="B645" i="49"/>
  <c r="B646" i="49"/>
  <c r="B647" i="49"/>
  <c r="B648" i="49"/>
  <c r="B649" i="49"/>
  <c r="B650" i="49"/>
  <c r="B651" i="49"/>
  <c r="B652" i="49"/>
  <c r="B653" i="49"/>
  <c r="B654" i="49"/>
  <c r="B655" i="49"/>
  <c r="B656" i="49"/>
  <c r="B657" i="49"/>
  <c r="B658" i="49"/>
  <c r="B659" i="49"/>
  <c r="B660" i="49"/>
  <c r="B661" i="49"/>
  <c r="B662" i="49"/>
  <c r="B663" i="49"/>
  <c r="B664" i="49"/>
  <c r="B665" i="49"/>
  <c r="B666" i="49"/>
  <c r="B667" i="49"/>
  <c r="B668" i="49"/>
  <c r="B669" i="49"/>
  <c r="B670" i="49"/>
  <c r="B671" i="49"/>
  <c r="B672" i="49"/>
  <c r="B673" i="49"/>
  <c r="B674" i="49"/>
  <c r="B675" i="49"/>
  <c r="B676" i="49"/>
  <c r="B677" i="49"/>
  <c r="B678" i="49"/>
  <c r="B679" i="49"/>
  <c r="B680" i="49"/>
  <c r="B681" i="49"/>
  <c r="B682" i="49"/>
  <c r="B683" i="49"/>
  <c r="B684" i="49"/>
  <c r="B685" i="49"/>
  <c r="B686" i="49"/>
  <c r="B687" i="49"/>
  <c r="B688" i="49"/>
  <c r="B689" i="49"/>
  <c r="B690" i="49"/>
  <c r="B691" i="49"/>
  <c r="B692" i="49"/>
  <c r="B693" i="49"/>
  <c r="B694" i="49"/>
  <c r="B695" i="49"/>
  <c r="B696" i="49"/>
  <c r="B697" i="49"/>
  <c r="B698" i="49"/>
  <c r="B699" i="49"/>
  <c r="B700" i="49"/>
  <c r="B701" i="49"/>
  <c r="B702" i="49"/>
  <c r="B703" i="49"/>
  <c r="B704" i="49"/>
  <c r="B705" i="49"/>
  <c r="B706" i="49"/>
  <c r="B707" i="49"/>
  <c r="B708" i="49"/>
  <c r="B709" i="49"/>
  <c r="B710" i="49"/>
  <c r="B711" i="49"/>
  <c r="B712" i="49"/>
  <c r="B713" i="49"/>
  <c r="B714" i="49"/>
  <c r="B715" i="49"/>
  <c r="B716" i="49"/>
  <c r="B717" i="49"/>
  <c r="B718" i="49"/>
  <c r="B719" i="49"/>
  <c r="B720" i="49"/>
  <c r="B721" i="49"/>
  <c r="B722" i="49"/>
  <c r="B723" i="49"/>
  <c r="B724" i="49"/>
  <c r="B725" i="49"/>
  <c r="B726" i="49"/>
  <c r="B727" i="49"/>
  <c r="B728" i="49"/>
  <c r="B729" i="49"/>
  <c r="B730" i="49"/>
  <c r="B731" i="49"/>
  <c r="B732" i="49"/>
  <c r="B733" i="49"/>
  <c r="B734" i="49"/>
  <c r="B735" i="49"/>
  <c r="B736" i="49"/>
  <c r="B737" i="49"/>
  <c r="B738" i="49"/>
  <c r="B739" i="49"/>
  <c r="B740" i="49"/>
  <c r="B741" i="49"/>
  <c r="B742" i="49"/>
  <c r="B743" i="49"/>
  <c r="B744" i="49"/>
  <c r="B745" i="49"/>
  <c r="B746" i="49"/>
  <c r="B747" i="49"/>
  <c r="B748" i="49"/>
  <c r="B749" i="49"/>
  <c r="B750" i="49"/>
  <c r="B751" i="49"/>
  <c r="B752" i="49"/>
  <c r="B753" i="49"/>
  <c r="B754" i="49"/>
  <c r="B755" i="49"/>
  <c r="B756" i="49"/>
  <c r="B757" i="49"/>
  <c r="B758" i="49"/>
  <c r="B759" i="49"/>
  <c r="B760" i="49"/>
  <c r="B761" i="49"/>
  <c r="B762" i="49"/>
  <c r="B763" i="49"/>
  <c r="B764" i="49"/>
  <c r="B765" i="49"/>
  <c r="B766" i="49"/>
  <c r="B767" i="49"/>
  <c r="B768" i="49"/>
  <c r="B769" i="49"/>
  <c r="B770" i="49"/>
  <c r="B771" i="49"/>
  <c r="B772" i="49"/>
  <c r="B773" i="49"/>
  <c r="B774" i="49"/>
  <c r="B775" i="49"/>
  <c r="B776" i="49"/>
  <c r="B777" i="49"/>
  <c r="B778" i="49"/>
  <c r="B779" i="49"/>
  <c r="B780" i="49"/>
  <c r="B781" i="49"/>
  <c r="B782" i="49"/>
  <c r="B783" i="49"/>
  <c r="B784" i="49"/>
  <c r="B785" i="49"/>
  <c r="B786" i="49"/>
  <c r="B787" i="49"/>
  <c r="B788" i="49"/>
  <c r="B789" i="49"/>
  <c r="B790" i="49"/>
  <c r="B791" i="49"/>
  <c r="B792" i="49"/>
  <c r="B793" i="49"/>
  <c r="B794" i="49"/>
  <c r="B795" i="49"/>
  <c r="B796" i="49"/>
  <c r="B797" i="49"/>
  <c r="B798" i="49"/>
  <c r="B799" i="49"/>
  <c r="B800" i="49"/>
  <c r="B801" i="49"/>
  <c r="B802" i="49"/>
  <c r="B803" i="49"/>
  <c r="B804" i="49"/>
  <c r="B805" i="49"/>
  <c r="B806" i="49"/>
  <c r="B807" i="49"/>
  <c r="B808" i="49"/>
  <c r="B809" i="49"/>
  <c r="B810" i="49"/>
  <c r="B811" i="49"/>
  <c r="B812" i="49"/>
  <c r="B813" i="49"/>
  <c r="B814" i="49"/>
  <c r="B815" i="49"/>
  <c r="B816" i="49"/>
  <c r="B817" i="49"/>
  <c r="B818" i="49"/>
  <c r="B819" i="49"/>
  <c r="B820" i="49"/>
  <c r="B821" i="49"/>
  <c r="B822" i="49"/>
  <c r="B823" i="49"/>
  <c r="B824" i="49"/>
  <c r="B825" i="49"/>
  <c r="B826" i="49"/>
  <c r="B827" i="49"/>
  <c r="B828" i="49"/>
  <c r="B829" i="49"/>
  <c r="B830" i="49"/>
  <c r="B831" i="49"/>
  <c r="B832" i="49"/>
  <c r="B833" i="49"/>
  <c r="B834" i="49"/>
  <c r="B835" i="49"/>
  <c r="B836" i="49"/>
  <c r="B837" i="49"/>
  <c r="B838" i="49"/>
  <c r="B839" i="49"/>
  <c r="B840" i="49"/>
  <c r="B841" i="49"/>
  <c r="B842" i="49"/>
  <c r="B843" i="49"/>
  <c r="B844" i="49"/>
  <c r="B845" i="49"/>
  <c r="B846" i="49"/>
  <c r="B847" i="49"/>
  <c r="B848" i="49"/>
  <c r="B849" i="49"/>
  <c r="B850" i="49"/>
  <c r="B851" i="49"/>
  <c r="B852" i="49"/>
  <c r="B853" i="49"/>
  <c r="B854" i="49"/>
  <c r="B855" i="49"/>
  <c r="B856" i="49"/>
  <c r="B857" i="49"/>
  <c r="B858" i="49"/>
  <c r="B859" i="49"/>
  <c r="B860" i="49"/>
  <c r="B861" i="49"/>
  <c r="B862" i="49"/>
  <c r="B863" i="49"/>
  <c r="B864" i="49"/>
  <c r="B865" i="49"/>
  <c r="B866" i="49"/>
  <c r="B867" i="49"/>
  <c r="B868" i="49"/>
  <c r="B869" i="49"/>
  <c r="B870" i="49"/>
  <c r="B871" i="49"/>
  <c r="B872" i="49"/>
  <c r="B873" i="49"/>
  <c r="B874" i="49"/>
  <c r="B875" i="49"/>
  <c r="B876" i="49"/>
  <c r="B877" i="49"/>
  <c r="B878" i="49"/>
  <c r="B879" i="49"/>
  <c r="B880" i="49"/>
  <c r="B881" i="49"/>
  <c r="B882" i="49"/>
  <c r="B883" i="49"/>
  <c r="B884" i="49"/>
  <c r="B885" i="49"/>
  <c r="B886" i="49"/>
  <c r="B887" i="49"/>
  <c r="B888" i="49"/>
  <c r="B889" i="49"/>
  <c r="B890" i="49"/>
  <c r="B891" i="49"/>
  <c r="B892" i="49"/>
  <c r="B893" i="49"/>
  <c r="B894" i="49"/>
  <c r="B895" i="49"/>
  <c r="B896" i="49"/>
  <c r="B897" i="49"/>
  <c r="B898" i="49"/>
  <c r="B899" i="49"/>
  <c r="B900" i="49"/>
  <c r="B901" i="49"/>
  <c r="B902" i="49"/>
  <c r="B903" i="49"/>
  <c r="B904" i="49"/>
  <c r="B905" i="49"/>
  <c r="B906" i="49"/>
  <c r="B907" i="49"/>
  <c r="B908" i="49"/>
  <c r="B909" i="49"/>
  <c r="B910" i="49"/>
  <c r="B911" i="49"/>
  <c r="B912" i="49"/>
  <c r="B913" i="49"/>
  <c r="B914" i="49"/>
  <c r="B915" i="49"/>
  <c r="B916" i="49"/>
  <c r="B917" i="49"/>
  <c r="B918" i="49"/>
  <c r="B919" i="49"/>
  <c r="B920" i="49"/>
  <c r="B921" i="49"/>
  <c r="B922" i="49"/>
  <c r="B923" i="49"/>
  <c r="B924" i="49"/>
  <c r="B925" i="49"/>
  <c r="B926" i="49"/>
  <c r="B927" i="49"/>
  <c r="B928" i="49"/>
  <c r="B929" i="49"/>
  <c r="B930" i="49"/>
  <c r="B931" i="49"/>
  <c r="B932" i="49"/>
  <c r="B933" i="49"/>
  <c r="B934" i="49"/>
  <c r="B935" i="49"/>
  <c r="B936" i="49"/>
  <c r="B937" i="49"/>
  <c r="B938" i="49"/>
  <c r="B939" i="49"/>
  <c r="B940" i="49"/>
  <c r="B941" i="49"/>
  <c r="B942" i="49"/>
  <c r="B943" i="49"/>
  <c r="B944" i="49"/>
  <c r="B945" i="49"/>
  <c r="B946" i="49"/>
  <c r="B947" i="49"/>
  <c r="B948" i="49"/>
  <c r="B949" i="49"/>
  <c r="B950" i="49"/>
  <c r="B951" i="49"/>
  <c r="B952" i="49"/>
  <c r="B953" i="49"/>
  <c r="B954" i="49"/>
  <c r="B955" i="49"/>
  <c r="B956" i="49"/>
  <c r="B957" i="49"/>
  <c r="B958" i="49"/>
  <c r="B959" i="49"/>
  <c r="B960" i="49"/>
  <c r="B961" i="49"/>
  <c r="B962" i="49"/>
  <c r="B963" i="49"/>
  <c r="B964" i="49"/>
  <c r="B965" i="49"/>
  <c r="B966" i="49"/>
  <c r="B967" i="49"/>
  <c r="B968" i="49"/>
  <c r="B969" i="49"/>
  <c r="B970" i="49"/>
  <c r="B971" i="49"/>
  <c r="B972" i="49"/>
  <c r="B973" i="49"/>
  <c r="B974" i="49"/>
  <c r="B975" i="49"/>
  <c r="B976" i="49"/>
  <c r="B977" i="49"/>
  <c r="B978" i="49"/>
  <c r="B979" i="49"/>
  <c r="B980" i="49"/>
  <c r="B981" i="49"/>
  <c r="B982" i="49"/>
  <c r="B983" i="49"/>
  <c r="B984" i="49"/>
  <c r="B985" i="49"/>
  <c r="B986" i="49"/>
  <c r="B987" i="49"/>
  <c r="B988" i="49"/>
  <c r="B989" i="49"/>
  <c r="B990" i="49"/>
  <c r="B991" i="49"/>
  <c r="B992" i="49"/>
  <c r="B993" i="49"/>
  <c r="B994" i="49"/>
  <c r="B995" i="49"/>
  <c r="B996" i="49"/>
  <c r="B997" i="49"/>
  <c r="B998" i="49"/>
  <c r="B999" i="49"/>
  <c r="B1000" i="49"/>
  <c r="B1001" i="49"/>
  <c r="B1002" i="49"/>
  <c r="B1003" i="49"/>
  <c r="B1004" i="49"/>
  <c r="B1005" i="49"/>
  <c r="B1006" i="49"/>
  <c r="B1007" i="49"/>
  <c r="B1008" i="49"/>
  <c r="B1009" i="49"/>
  <c r="B1010" i="49"/>
  <c r="B1011" i="49"/>
  <c r="B1012" i="49"/>
  <c r="B1013" i="49"/>
  <c r="B1014" i="49"/>
  <c r="B1015" i="49"/>
  <c r="B1016" i="49"/>
  <c r="B1017" i="49"/>
  <c r="B1018" i="49"/>
  <c r="B1019" i="49"/>
  <c r="B1020" i="49"/>
  <c r="B1021" i="49"/>
  <c r="B1022" i="49"/>
  <c r="B1023" i="49"/>
  <c r="B1024" i="49"/>
  <c r="B1025" i="49"/>
  <c r="B1026" i="49"/>
  <c r="B1027" i="49"/>
  <c r="B1028" i="49"/>
  <c r="B1029" i="49"/>
  <c r="B1030" i="49"/>
  <c r="B1031" i="49"/>
  <c r="B1032" i="49"/>
  <c r="B1033" i="49"/>
  <c r="B1034" i="49"/>
  <c r="B1035" i="49"/>
  <c r="B1036" i="49"/>
  <c r="B1037" i="49"/>
  <c r="B1038" i="49"/>
  <c r="B1039" i="49"/>
  <c r="B1040" i="49"/>
  <c r="B1041" i="49"/>
  <c r="B1042" i="49"/>
  <c r="B1043" i="49"/>
  <c r="B1044" i="49"/>
  <c r="B1045" i="49"/>
  <c r="B1046" i="49"/>
  <c r="B1047" i="49"/>
  <c r="B1048" i="49"/>
  <c r="B1049" i="49"/>
  <c r="B1050" i="49"/>
  <c r="B1051" i="49"/>
  <c r="B1052" i="49"/>
  <c r="B1053" i="49"/>
  <c r="B1054" i="49"/>
  <c r="B1055" i="49"/>
  <c r="B1056" i="49"/>
  <c r="B1057" i="49"/>
  <c r="B1058" i="49"/>
  <c r="B1059" i="49"/>
  <c r="B1060" i="49"/>
  <c r="B1061" i="49"/>
  <c r="B1062" i="49"/>
  <c r="B1063" i="49"/>
  <c r="B1064" i="49"/>
  <c r="B1065" i="49"/>
  <c r="B1066" i="49"/>
  <c r="B1067" i="49"/>
  <c r="B1068" i="49"/>
  <c r="B1069" i="49"/>
  <c r="B1070" i="49"/>
  <c r="B1071" i="49"/>
  <c r="B1072" i="49"/>
  <c r="B1073" i="49"/>
  <c r="B1074" i="49"/>
  <c r="B1075" i="49"/>
  <c r="B1076" i="49"/>
  <c r="B1077" i="49"/>
  <c r="B1078" i="49"/>
  <c r="B1079" i="49"/>
  <c r="B1080" i="49"/>
  <c r="B1081" i="49"/>
  <c r="B1082" i="49"/>
  <c r="B1083" i="49"/>
  <c r="B1084" i="49"/>
  <c r="B1085" i="49"/>
  <c r="B1086" i="49"/>
  <c r="B1087" i="49"/>
  <c r="B1088" i="49"/>
  <c r="B1089" i="49"/>
  <c r="B1090" i="49"/>
  <c r="B1091" i="49"/>
  <c r="B1092" i="49"/>
  <c r="B1093" i="49"/>
  <c r="B1094" i="49"/>
  <c r="B1095" i="49"/>
  <c r="B1096" i="49"/>
  <c r="B1097" i="49"/>
  <c r="B1098" i="49"/>
  <c r="B1099" i="49"/>
  <c r="B1100" i="49"/>
  <c r="B1101" i="49"/>
  <c r="B1102" i="49"/>
  <c r="B1103" i="49"/>
  <c r="B1104" i="49"/>
  <c r="B1105" i="49"/>
  <c r="B1106" i="49"/>
  <c r="B1107" i="49"/>
  <c r="B1108" i="49"/>
  <c r="B1109" i="49"/>
  <c r="B1110" i="49"/>
  <c r="B1111" i="49"/>
  <c r="B1112" i="49"/>
  <c r="B1113" i="49"/>
  <c r="B1114" i="49"/>
  <c r="B1115" i="49"/>
  <c r="B1116" i="49"/>
  <c r="B1117" i="49"/>
  <c r="B1118" i="49"/>
  <c r="B1119" i="49"/>
  <c r="B1120" i="49"/>
  <c r="B1121" i="49"/>
  <c r="B1122" i="49"/>
  <c r="B1123" i="49"/>
  <c r="B1124" i="49"/>
  <c r="B1125" i="49"/>
  <c r="B1126" i="49"/>
  <c r="B1127" i="49"/>
  <c r="B1128" i="49"/>
  <c r="B1129" i="49"/>
  <c r="B1130" i="49"/>
  <c r="B1131" i="49"/>
  <c r="B1132" i="49"/>
  <c r="B1133" i="49"/>
  <c r="B1134" i="49"/>
  <c r="B1135" i="49"/>
  <c r="B1136" i="49"/>
  <c r="B1137" i="49"/>
  <c r="B1138" i="49"/>
  <c r="B1139" i="49"/>
  <c r="B1140" i="49"/>
  <c r="B1141" i="49"/>
  <c r="B1142" i="49"/>
  <c r="B1143" i="49"/>
  <c r="B1144" i="49"/>
  <c r="B1145" i="49"/>
  <c r="B1146" i="49"/>
  <c r="B1147" i="49"/>
  <c r="B1148" i="49"/>
  <c r="B1149" i="49"/>
  <c r="B1150" i="49"/>
  <c r="B1151" i="49"/>
  <c r="B1152" i="49"/>
  <c r="B1153" i="49"/>
  <c r="B1154" i="49"/>
  <c r="B1155" i="49"/>
  <c r="B1156" i="49"/>
  <c r="B1157" i="49"/>
  <c r="B1158" i="49"/>
  <c r="B1159" i="49"/>
  <c r="B1160" i="49"/>
  <c r="B1161" i="49"/>
  <c r="B1162" i="49"/>
  <c r="B1163" i="49"/>
  <c r="B1164" i="49"/>
  <c r="B1165" i="49"/>
  <c r="B1166" i="49"/>
  <c r="B1167" i="49"/>
  <c r="B1168" i="49"/>
  <c r="B1169" i="49"/>
  <c r="B1170" i="49"/>
  <c r="B1171" i="49"/>
  <c r="B1172" i="49"/>
  <c r="B1173" i="49"/>
  <c r="B1174" i="49"/>
  <c r="B1175" i="49"/>
  <c r="B1176" i="49"/>
  <c r="B1177" i="49"/>
  <c r="B1178" i="49"/>
  <c r="B1179" i="49"/>
  <c r="B1180" i="49"/>
  <c r="B1181" i="49"/>
  <c r="B1182" i="49"/>
  <c r="B1183" i="49"/>
  <c r="B1184" i="49"/>
  <c r="B1185" i="49"/>
  <c r="B1186" i="49"/>
  <c r="B1187" i="49"/>
  <c r="B1188" i="49"/>
  <c r="B1189" i="49"/>
  <c r="B1190" i="49"/>
  <c r="B1191" i="49"/>
  <c r="B1192" i="49"/>
  <c r="B1193" i="49"/>
  <c r="B1194" i="49"/>
  <c r="B1195" i="49"/>
  <c r="B1196" i="49"/>
  <c r="B1197" i="49"/>
  <c r="B1198" i="49"/>
  <c r="B1199" i="49"/>
  <c r="B1200" i="49"/>
  <c r="B1201" i="49"/>
  <c r="B1202" i="49"/>
  <c r="B1203" i="49"/>
  <c r="B1204" i="49"/>
  <c r="B1205" i="49"/>
  <c r="B1206" i="49"/>
  <c r="B1207" i="49"/>
  <c r="B1208" i="49"/>
  <c r="B1209" i="49"/>
  <c r="B1210" i="49"/>
  <c r="B1211" i="49"/>
  <c r="B1212" i="49"/>
  <c r="B1213" i="49"/>
  <c r="B1214" i="49"/>
  <c r="B1215" i="49"/>
  <c r="B1216" i="49"/>
  <c r="B1217" i="49"/>
  <c r="B1218" i="49"/>
  <c r="B1219" i="49"/>
  <c r="B1220" i="49"/>
  <c r="B1221" i="49"/>
  <c r="B1222" i="49"/>
  <c r="B1223" i="49"/>
  <c r="B1224" i="49"/>
  <c r="B1225" i="49"/>
  <c r="B1226" i="49"/>
  <c r="B1227" i="49"/>
  <c r="B1228" i="49"/>
  <c r="B1229" i="49"/>
  <c r="B1230" i="49"/>
  <c r="B1231" i="49"/>
  <c r="B1232" i="49"/>
  <c r="B1233" i="49"/>
  <c r="B1234" i="49"/>
  <c r="B1235" i="49"/>
  <c r="B1236" i="49"/>
  <c r="B1237" i="49"/>
  <c r="B1238" i="49"/>
  <c r="B1239" i="49"/>
  <c r="B1240" i="49"/>
  <c r="B1241" i="49"/>
  <c r="B1242" i="49"/>
  <c r="B1243" i="49"/>
  <c r="B1244" i="49"/>
  <c r="B1245" i="49"/>
  <c r="B1246" i="49"/>
  <c r="B1247" i="49"/>
  <c r="B1248" i="49"/>
  <c r="B1249" i="49"/>
  <c r="B1250" i="49"/>
  <c r="B1251" i="49"/>
  <c r="B1252" i="49"/>
  <c r="B1253" i="49"/>
  <c r="B1254" i="49"/>
  <c r="B1255" i="49"/>
  <c r="B1256" i="49"/>
  <c r="B1257" i="49"/>
  <c r="B1258" i="49"/>
  <c r="B1259" i="49"/>
  <c r="B1260" i="49"/>
  <c r="B1261" i="49"/>
  <c r="B1262" i="49"/>
  <c r="B1263" i="49"/>
  <c r="B1264" i="49"/>
  <c r="B1265" i="49"/>
  <c r="B1266" i="49"/>
  <c r="B1267" i="49"/>
  <c r="B1268" i="49"/>
  <c r="B1269" i="49"/>
  <c r="B1270" i="49"/>
  <c r="B1271" i="49"/>
  <c r="B1272" i="49"/>
  <c r="B1273" i="49"/>
  <c r="B1274" i="49"/>
  <c r="B1275" i="49"/>
  <c r="B1276" i="49"/>
  <c r="B1277" i="49"/>
  <c r="B1278" i="49"/>
  <c r="B1279" i="49"/>
  <c r="B1280" i="49"/>
  <c r="B1281" i="49"/>
  <c r="B1282" i="49"/>
  <c r="B1283" i="49"/>
  <c r="B1284" i="49"/>
  <c r="B1285" i="49"/>
  <c r="B1286" i="49"/>
  <c r="B1287" i="49"/>
  <c r="B1288" i="49"/>
  <c r="B1289" i="49"/>
  <c r="B1290" i="49"/>
  <c r="B1291" i="49"/>
  <c r="B1292" i="49"/>
  <c r="B1293" i="49"/>
  <c r="B1294" i="49"/>
  <c r="B1295" i="49"/>
  <c r="B1296" i="49"/>
  <c r="B1297" i="49"/>
  <c r="B1298" i="49"/>
  <c r="B1299" i="49"/>
  <c r="B1300" i="49"/>
  <c r="B1301" i="49"/>
  <c r="B1302" i="49"/>
  <c r="B1303" i="49"/>
  <c r="B1304" i="49"/>
  <c r="B1305" i="49"/>
  <c r="B1306" i="49"/>
  <c r="B1307" i="49"/>
  <c r="B1308" i="49"/>
  <c r="B1309" i="49"/>
  <c r="B1310" i="49"/>
  <c r="B1311" i="49"/>
  <c r="B1312" i="49"/>
  <c r="B1313" i="49"/>
  <c r="B1314" i="49"/>
  <c r="B1315" i="49"/>
  <c r="B1316" i="49"/>
  <c r="B1317" i="49"/>
  <c r="B1318" i="49"/>
  <c r="B1319" i="49"/>
  <c r="B1320" i="49"/>
  <c r="B1321" i="49"/>
  <c r="B1322" i="49"/>
  <c r="B1323" i="49"/>
  <c r="B1324" i="49"/>
  <c r="B1325" i="49"/>
  <c r="B1326" i="49"/>
  <c r="B1327" i="49"/>
  <c r="B1328" i="49"/>
  <c r="B1329" i="49"/>
  <c r="B1330" i="49"/>
  <c r="B1331" i="49"/>
  <c r="B1332" i="49"/>
  <c r="B1333" i="49"/>
  <c r="B1334" i="49"/>
  <c r="B1335" i="49"/>
  <c r="B1336" i="49"/>
  <c r="B1337" i="49"/>
  <c r="B1338" i="49"/>
  <c r="B1339" i="49"/>
  <c r="B1340" i="49"/>
  <c r="B1341" i="49"/>
  <c r="B1342" i="49"/>
  <c r="B1343" i="49"/>
  <c r="B1344" i="49"/>
  <c r="B1345" i="49"/>
  <c r="B1346" i="49"/>
  <c r="B1347" i="49"/>
  <c r="B1348" i="49"/>
  <c r="B1349" i="49"/>
  <c r="B1350" i="49"/>
  <c r="B1351" i="49"/>
  <c r="B1352" i="49"/>
  <c r="B1353" i="49"/>
  <c r="B1354" i="49"/>
  <c r="B1355" i="49"/>
  <c r="B1356" i="49"/>
  <c r="B1357" i="49"/>
  <c r="B1358" i="49"/>
  <c r="B1359" i="49"/>
  <c r="B1360" i="49"/>
  <c r="B1361" i="49"/>
  <c r="B1362" i="49"/>
  <c r="B1363" i="49"/>
  <c r="B1364" i="49"/>
  <c r="B1365" i="49"/>
  <c r="B1366" i="49"/>
  <c r="B1367" i="49"/>
  <c r="B1368" i="49"/>
  <c r="B1369" i="49"/>
  <c r="B1370" i="49"/>
  <c r="B1371" i="49"/>
  <c r="B1372" i="49"/>
  <c r="B1373" i="49"/>
  <c r="B1374" i="49"/>
  <c r="B1375" i="49"/>
  <c r="B1376" i="49"/>
  <c r="B1377" i="49"/>
  <c r="B1378" i="49"/>
  <c r="B1379" i="49"/>
  <c r="B1380" i="49"/>
  <c r="B1381" i="49"/>
  <c r="B1382" i="49"/>
  <c r="B1383" i="49"/>
  <c r="B1384" i="49"/>
  <c r="B1385" i="49"/>
  <c r="B1386" i="49"/>
  <c r="B1387" i="49"/>
  <c r="B1388" i="49"/>
  <c r="B1389" i="49"/>
  <c r="B1390" i="49"/>
  <c r="B1391" i="49"/>
  <c r="B1392" i="49"/>
  <c r="B1393" i="49"/>
  <c r="B1394" i="49"/>
  <c r="B1395" i="49"/>
  <c r="B1396" i="49"/>
  <c r="B1397" i="49"/>
  <c r="B1398" i="49"/>
  <c r="B1399" i="49"/>
  <c r="B1400" i="49"/>
  <c r="B1401" i="49"/>
  <c r="B1402" i="49"/>
  <c r="B1403" i="49"/>
  <c r="B1404" i="49"/>
  <c r="B1405" i="49"/>
  <c r="B1406" i="49"/>
  <c r="B1407" i="49"/>
  <c r="B1408" i="49"/>
  <c r="B1409" i="49"/>
  <c r="B1410" i="49"/>
  <c r="B1411" i="49"/>
  <c r="B1412" i="49"/>
  <c r="B1413" i="49"/>
  <c r="B1414" i="49"/>
  <c r="B1415" i="49"/>
  <c r="B1416" i="49"/>
  <c r="B1417" i="49"/>
  <c r="B1418" i="49"/>
  <c r="B1419" i="49"/>
  <c r="B1420" i="49"/>
  <c r="B1421" i="49"/>
  <c r="B1422" i="49"/>
  <c r="B1423" i="49"/>
  <c r="B1424" i="49"/>
  <c r="B1425" i="49"/>
  <c r="B1426" i="49"/>
  <c r="B1427" i="49"/>
  <c r="B1428" i="49"/>
  <c r="B1429" i="49"/>
  <c r="B1430" i="49"/>
  <c r="B1431" i="49"/>
  <c r="B1432" i="49"/>
  <c r="B1433" i="49"/>
  <c r="B1434" i="49"/>
  <c r="B1435" i="49"/>
  <c r="B1436" i="49"/>
  <c r="B1437" i="49"/>
  <c r="B1438" i="49"/>
  <c r="B1439" i="49"/>
  <c r="B1440" i="49"/>
  <c r="B1441" i="49"/>
  <c r="B1442" i="49"/>
  <c r="B1443" i="49"/>
  <c r="B1444" i="49"/>
  <c r="B1445" i="49"/>
  <c r="B1446" i="49"/>
  <c r="B1447" i="49"/>
  <c r="B1448" i="49"/>
  <c r="B1449" i="49"/>
  <c r="B1450" i="49"/>
  <c r="B1451" i="49"/>
  <c r="B1452" i="49"/>
  <c r="B1453" i="49"/>
  <c r="B1454" i="49"/>
  <c r="B1455" i="49"/>
  <c r="B1456" i="49"/>
  <c r="B1457" i="49"/>
  <c r="B1458" i="49"/>
  <c r="B1459" i="49"/>
  <c r="B1460" i="49"/>
  <c r="B1461" i="49"/>
  <c r="B1462" i="49"/>
  <c r="B1463" i="49"/>
  <c r="B1464" i="49"/>
  <c r="B1465" i="49"/>
  <c r="B1466" i="49"/>
  <c r="B1467" i="49"/>
  <c r="B1468" i="49"/>
  <c r="B1469" i="49"/>
  <c r="B1470" i="49"/>
  <c r="B1471" i="49"/>
  <c r="B1472" i="49"/>
  <c r="B1473" i="49"/>
  <c r="B1474" i="49"/>
  <c r="B1475" i="49"/>
  <c r="B1476" i="49"/>
  <c r="B1477" i="49"/>
  <c r="B1478" i="49"/>
  <c r="B1479" i="49"/>
  <c r="B1480" i="49"/>
  <c r="B1481" i="49"/>
  <c r="B1482" i="49"/>
  <c r="B1483" i="49"/>
  <c r="B1484" i="49"/>
  <c r="B1485" i="49"/>
  <c r="B1486" i="49"/>
  <c r="B1487" i="49"/>
  <c r="B1488" i="49"/>
  <c r="B1489" i="49"/>
  <c r="B1490" i="49"/>
  <c r="B1491" i="49"/>
  <c r="B1492" i="49"/>
  <c r="B1493" i="49"/>
  <c r="B1494" i="49"/>
  <c r="B1495" i="49"/>
  <c r="B1496" i="49"/>
  <c r="B1497" i="49"/>
  <c r="B1498" i="49"/>
  <c r="B1499" i="49"/>
  <c r="B1500" i="49"/>
  <c r="B1501" i="49"/>
  <c r="B1502" i="49"/>
  <c r="B1503" i="49"/>
  <c r="B1504" i="49"/>
  <c r="B1505" i="49"/>
  <c r="B1506" i="49"/>
  <c r="B1507" i="49"/>
  <c r="B1508" i="49"/>
  <c r="B1509" i="49"/>
  <c r="B1510" i="49"/>
  <c r="B1511" i="49"/>
  <c r="B1512" i="49"/>
  <c r="B1513" i="49"/>
  <c r="B1514" i="49"/>
  <c r="B1515" i="49"/>
  <c r="B1516" i="49"/>
  <c r="B1517" i="49"/>
  <c r="B1518" i="49"/>
  <c r="B1519" i="49"/>
  <c r="B1520" i="49"/>
  <c r="B1521" i="49"/>
  <c r="B1522" i="49"/>
  <c r="B1523" i="49"/>
  <c r="B1524" i="49"/>
  <c r="B1525" i="49"/>
  <c r="B1526" i="49"/>
  <c r="B1527" i="49"/>
  <c r="B1528" i="49"/>
  <c r="B1529" i="49"/>
  <c r="B1530" i="49"/>
  <c r="B1531" i="49"/>
  <c r="B1532" i="49"/>
  <c r="B1533" i="49"/>
  <c r="B1534" i="49"/>
  <c r="B1535" i="49"/>
  <c r="B1536" i="49"/>
  <c r="B1537" i="49"/>
  <c r="B1538" i="49"/>
  <c r="B1539" i="49"/>
  <c r="B1540" i="49"/>
  <c r="B1541" i="49"/>
  <c r="B1542" i="49"/>
  <c r="B1543" i="49"/>
  <c r="B1544" i="49"/>
  <c r="B1545" i="49"/>
  <c r="B1546" i="49"/>
  <c r="B1547" i="49"/>
  <c r="B1548" i="49"/>
  <c r="B1549" i="49"/>
  <c r="B1550" i="49"/>
  <c r="B1551" i="49"/>
  <c r="B1552" i="49"/>
  <c r="B1553" i="49"/>
  <c r="B1554" i="49"/>
  <c r="B1555" i="49"/>
  <c r="B1556" i="49"/>
  <c r="B1557" i="49"/>
  <c r="B1558" i="49"/>
  <c r="B1559" i="49"/>
  <c r="B1560" i="49"/>
  <c r="B1561" i="49"/>
  <c r="B1562" i="49"/>
  <c r="B1563" i="49"/>
  <c r="B1564" i="49"/>
  <c r="B1565" i="49"/>
  <c r="B1566" i="49"/>
  <c r="B1567" i="49"/>
  <c r="B1568" i="49"/>
  <c r="B1569" i="49"/>
  <c r="B1570" i="49"/>
  <c r="B1571" i="49"/>
  <c r="B1572" i="49"/>
  <c r="B1573" i="49"/>
  <c r="B1574" i="49"/>
  <c r="B1575" i="49"/>
  <c r="B1576" i="49"/>
  <c r="B1577" i="49"/>
  <c r="B1578" i="49"/>
  <c r="B1579" i="49"/>
  <c r="B1580" i="49"/>
  <c r="B1581" i="49"/>
  <c r="B1582" i="49"/>
  <c r="B1583" i="49"/>
  <c r="B1584" i="49"/>
  <c r="B1585" i="49"/>
  <c r="B1586" i="49"/>
  <c r="B1587" i="49"/>
  <c r="B1588" i="49"/>
  <c r="B1589" i="49"/>
  <c r="B1590" i="49"/>
  <c r="B1591" i="49"/>
  <c r="B1592" i="49"/>
  <c r="B1593" i="49"/>
  <c r="B1594" i="49"/>
  <c r="B1595" i="49"/>
  <c r="B1596" i="49"/>
  <c r="B1597" i="49"/>
  <c r="B1598" i="49"/>
  <c r="B1599" i="49"/>
  <c r="B1600" i="49"/>
  <c r="B1601" i="49"/>
  <c r="B1602" i="49"/>
  <c r="B1603" i="49"/>
  <c r="B1604" i="49"/>
  <c r="B1605" i="49"/>
  <c r="B1606" i="49"/>
  <c r="B1607" i="49"/>
  <c r="B1608" i="49"/>
  <c r="B1609" i="49"/>
  <c r="B1610" i="49"/>
  <c r="B1611" i="49"/>
  <c r="B1612" i="49"/>
  <c r="B1613" i="49"/>
  <c r="B1614" i="49"/>
  <c r="B1615" i="49"/>
  <c r="B1616" i="49"/>
  <c r="B1617" i="49"/>
  <c r="B1618" i="49"/>
  <c r="B1619" i="49"/>
  <c r="B1620" i="49"/>
  <c r="B1621" i="49"/>
  <c r="B1622" i="49"/>
  <c r="B1623" i="49"/>
  <c r="B1624" i="49"/>
  <c r="B1625" i="49"/>
  <c r="B1626" i="49"/>
  <c r="B1627" i="49"/>
  <c r="B1628" i="49"/>
  <c r="B1629" i="49"/>
  <c r="B1630" i="49"/>
  <c r="B1631" i="49"/>
  <c r="B1632" i="49"/>
  <c r="B1633" i="49"/>
  <c r="B1634" i="49"/>
  <c r="B1635" i="49"/>
  <c r="B1636" i="49"/>
  <c r="B1637" i="49"/>
  <c r="B1638" i="49"/>
  <c r="B1639" i="49"/>
  <c r="B1640" i="49"/>
  <c r="B1641" i="49"/>
  <c r="B1642" i="49"/>
  <c r="B1643" i="49"/>
  <c r="B1644" i="49"/>
  <c r="B1645" i="49"/>
  <c r="B1646" i="49"/>
  <c r="B1647" i="49"/>
  <c r="B1648" i="49"/>
  <c r="B1649" i="49"/>
  <c r="B1650" i="49"/>
  <c r="B1651" i="49"/>
  <c r="B1652" i="49"/>
  <c r="B1653" i="49"/>
  <c r="B1654" i="49"/>
  <c r="B1655" i="49"/>
  <c r="B1656" i="49"/>
  <c r="B1657" i="49"/>
  <c r="B1658" i="49"/>
  <c r="B1659" i="49"/>
  <c r="B1660" i="49"/>
  <c r="B1661" i="49"/>
  <c r="B1662" i="49"/>
  <c r="B1663" i="49"/>
  <c r="B1664" i="49"/>
  <c r="B1665" i="49"/>
  <c r="B1666" i="49"/>
  <c r="B1667" i="49"/>
  <c r="B1668" i="49"/>
  <c r="B1669" i="49"/>
  <c r="B1670" i="49"/>
  <c r="B1671" i="49"/>
  <c r="B1672" i="49"/>
  <c r="B1673" i="49"/>
  <c r="B1674" i="49"/>
  <c r="B1675" i="49"/>
  <c r="B1676" i="49"/>
  <c r="B1677" i="49"/>
  <c r="B1678" i="49"/>
  <c r="B1679" i="49"/>
  <c r="B1680" i="49"/>
  <c r="B1681" i="49"/>
  <c r="B1682" i="49"/>
  <c r="B1683" i="49"/>
  <c r="B1684" i="49"/>
  <c r="B1685" i="49"/>
  <c r="B1686" i="49"/>
  <c r="B1687" i="49"/>
  <c r="B1688" i="49"/>
  <c r="B1689" i="49"/>
  <c r="B1690" i="49"/>
  <c r="B1691" i="49"/>
  <c r="B1692" i="49"/>
  <c r="B1693" i="49"/>
  <c r="B1694" i="49"/>
  <c r="B1695" i="49"/>
  <c r="B1696" i="49"/>
  <c r="B1697" i="49"/>
  <c r="B1698" i="49"/>
  <c r="B1699" i="49"/>
  <c r="B1700" i="49"/>
  <c r="B1701" i="49"/>
  <c r="B1702" i="49"/>
  <c r="B1703" i="49"/>
  <c r="B1704" i="49"/>
  <c r="B1705" i="49"/>
  <c r="B1706" i="49"/>
  <c r="B1707" i="49"/>
  <c r="B1708" i="49"/>
  <c r="B1709" i="49"/>
  <c r="B1710" i="49"/>
  <c r="B1711" i="49"/>
  <c r="B1712" i="49"/>
  <c r="B1713" i="49"/>
  <c r="B1714" i="49"/>
  <c r="B1715" i="49"/>
  <c r="B1716" i="49"/>
  <c r="B1717" i="49"/>
  <c r="B1718" i="49"/>
  <c r="B1719" i="49"/>
  <c r="B1720" i="49"/>
  <c r="B1721" i="49"/>
  <c r="B1722" i="49"/>
  <c r="B1723" i="49"/>
  <c r="B1724" i="49"/>
  <c r="B1725" i="49"/>
  <c r="B1726" i="49"/>
  <c r="B1727" i="49"/>
  <c r="B1728" i="49"/>
  <c r="B1729" i="49"/>
  <c r="B1730" i="49"/>
  <c r="B1731" i="49"/>
  <c r="B1732" i="49"/>
  <c r="B1733" i="49"/>
  <c r="B1734" i="49"/>
  <c r="B1735" i="49"/>
  <c r="B1736" i="49"/>
  <c r="B1737" i="49"/>
  <c r="B1738" i="49"/>
  <c r="B1739" i="49"/>
  <c r="B1740" i="49"/>
  <c r="B1741" i="49"/>
  <c r="B1742" i="49"/>
  <c r="B1743" i="49"/>
  <c r="B1744" i="49"/>
  <c r="B1745" i="49"/>
  <c r="B1746" i="49"/>
  <c r="B1747" i="49"/>
  <c r="B1748" i="49"/>
  <c r="B1749" i="49"/>
  <c r="B1750" i="49"/>
  <c r="B1751" i="49"/>
  <c r="B1752" i="49"/>
  <c r="B1753" i="49"/>
  <c r="B1754" i="49"/>
  <c r="B1755" i="49"/>
  <c r="B1756" i="49"/>
  <c r="B1757" i="49"/>
  <c r="B1758" i="49"/>
  <c r="B1759" i="49"/>
  <c r="B1760" i="49"/>
  <c r="B1761" i="49"/>
  <c r="B1762" i="49"/>
  <c r="B1763" i="49"/>
  <c r="B1764" i="49"/>
  <c r="B1765" i="49"/>
  <c r="B1766" i="49"/>
  <c r="B1767" i="49"/>
  <c r="B1768" i="49"/>
  <c r="B1769" i="49"/>
  <c r="B1770" i="49"/>
  <c r="B1771" i="49"/>
  <c r="B1772" i="49"/>
  <c r="B1773" i="49"/>
  <c r="B1774" i="49"/>
  <c r="B1775" i="49"/>
  <c r="B1776" i="49"/>
  <c r="B1777" i="49"/>
  <c r="B1778" i="49"/>
  <c r="B1779" i="49"/>
  <c r="B1780" i="49"/>
  <c r="B1781" i="49"/>
  <c r="B1782" i="49"/>
  <c r="B1783" i="49"/>
  <c r="B1784" i="49"/>
  <c r="B1785" i="49"/>
  <c r="B1786" i="49"/>
  <c r="B1787" i="49"/>
  <c r="B1788" i="49"/>
  <c r="B1789" i="49"/>
  <c r="B1790" i="49"/>
  <c r="B1791" i="49"/>
  <c r="B1792" i="49"/>
  <c r="B1793" i="49"/>
  <c r="B1794" i="49"/>
  <c r="B1795" i="49"/>
  <c r="B1796" i="49"/>
  <c r="B1797" i="49"/>
  <c r="B1798" i="49"/>
  <c r="B1799" i="49"/>
  <c r="B1800" i="49"/>
  <c r="B1801" i="49"/>
  <c r="B1802" i="49"/>
  <c r="B1803" i="49"/>
  <c r="B1804" i="49"/>
  <c r="B1805" i="49"/>
  <c r="B1806" i="49"/>
  <c r="B1807" i="49"/>
  <c r="B1808" i="49"/>
  <c r="B1809" i="49"/>
  <c r="B1810" i="49"/>
  <c r="B1811" i="49"/>
  <c r="B1812" i="49"/>
  <c r="B1813" i="49"/>
  <c r="B1814" i="49"/>
  <c r="B1815" i="49"/>
  <c r="B1816" i="49"/>
  <c r="B1817" i="49"/>
  <c r="B1818" i="49"/>
  <c r="B1819" i="49"/>
  <c r="B1820" i="49"/>
  <c r="B1821" i="49"/>
  <c r="B1822" i="49"/>
  <c r="B1823" i="49"/>
  <c r="B1824" i="49"/>
  <c r="B1825" i="49"/>
  <c r="B1826" i="49"/>
  <c r="B1827" i="49"/>
  <c r="B1828" i="49"/>
  <c r="B1829" i="49"/>
  <c r="B1830" i="49"/>
  <c r="B1831" i="49"/>
  <c r="B1832" i="49"/>
  <c r="B1833" i="49"/>
  <c r="B1834" i="49"/>
  <c r="B1835" i="49"/>
  <c r="B1836" i="49"/>
  <c r="B1837" i="49"/>
  <c r="B1838" i="49"/>
  <c r="B1839" i="49"/>
  <c r="B1840" i="49"/>
  <c r="B1841" i="49"/>
  <c r="B1842" i="49"/>
  <c r="B1843" i="49"/>
  <c r="B1844" i="49"/>
  <c r="B1845" i="49"/>
  <c r="B1846" i="49"/>
  <c r="B1847" i="49"/>
  <c r="B1848" i="49"/>
  <c r="B1849" i="49"/>
  <c r="B1850" i="49"/>
  <c r="B1851" i="49"/>
  <c r="B1852" i="49"/>
  <c r="B1853" i="49"/>
  <c r="B1854" i="49"/>
  <c r="B1855" i="49"/>
  <c r="B1856" i="49"/>
  <c r="B1857" i="49"/>
  <c r="B1858" i="49"/>
  <c r="B1859" i="49"/>
  <c r="B1860" i="49"/>
  <c r="B1861" i="49"/>
  <c r="B1862" i="49"/>
  <c r="B1863" i="49"/>
  <c r="B1864" i="49"/>
  <c r="B1865" i="49"/>
  <c r="B1866" i="49"/>
  <c r="B1867" i="49"/>
  <c r="B1868" i="49"/>
  <c r="B1869" i="49"/>
  <c r="B1870" i="49"/>
  <c r="B1871" i="49"/>
  <c r="B1872" i="49"/>
  <c r="B1873" i="49"/>
  <c r="B1874" i="49"/>
  <c r="B1875" i="49"/>
  <c r="B1876" i="49"/>
  <c r="B1877" i="49"/>
  <c r="B1878" i="49"/>
  <c r="B1879" i="49"/>
  <c r="B1880" i="49"/>
  <c r="B1881" i="49"/>
  <c r="B1882" i="49"/>
  <c r="B1883" i="49"/>
  <c r="B1884" i="49"/>
  <c r="B1885" i="49"/>
  <c r="B1886" i="49"/>
  <c r="B1887" i="49"/>
  <c r="B1888" i="49"/>
  <c r="B1889" i="49"/>
  <c r="B1890" i="49"/>
  <c r="B1891" i="49"/>
  <c r="B1892" i="49"/>
  <c r="B1893" i="49"/>
  <c r="B1894" i="49"/>
  <c r="B1895" i="49"/>
  <c r="B1896" i="49"/>
  <c r="B1897" i="49"/>
  <c r="B1898" i="49"/>
  <c r="B1899" i="49"/>
  <c r="B1900" i="49"/>
  <c r="B1901" i="49"/>
  <c r="B1902" i="49"/>
  <c r="B1903" i="49"/>
  <c r="B1904" i="49"/>
  <c r="B1905" i="49"/>
  <c r="B1906" i="49"/>
  <c r="B1907" i="49"/>
  <c r="B1908" i="49"/>
  <c r="B1909" i="49"/>
  <c r="B1910" i="49"/>
  <c r="B1911" i="49"/>
  <c r="B1912" i="49"/>
  <c r="B1913" i="49"/>
  <c r="B1914" i="49"/>
  <c r="B1915" i="49"/>
  <c r="B1916" i="49"/>
  <c r="B1917" i="49"/>
  <c r="B1918" i="49"/>
  <c r="B1919" i="49"/>
  <c r="B1920" i="49"/>
  <c r="B1921" i="49"/>
  <c r="B1922" i="49"/>
  <c r="B1923" i="49"/>
  <c r="B1924" i="49"/>
  <c r="B1925" i="49"/>
  <c r="B1926" i="49"/>
  <c r="B1927" i="49"/>
  <c r="B1928" i="49"/>
  <c r="B1929" i="49"/>
  <c r="B1930" i="49"/>
  <c r="B1931" i="49"/>
  <c r="B1932" i="49"/>
  <c r="B1933" i="49"/>
  <c r="B1934" i="49"/>
  <c r="B1935" i="49"/>
  <c r="B1936" i="49"/>
  <c r="B1937" i="49"/>
  <c r="B1938" i="49"/>
  <c r="B1939" i="49"/>
  <c r="B1940" i="49"/>
  <c r="B1941" i="49"/>
  <c r="B1942" i="49"/>
  <c r="B1943" i="49"/>
  <c r="B1944" i="49"/>
  <c r="B1945" i="49"/>
  <c r="B1946" i="49"/>
  <c r="B1947" i="49"/>
  <c r="B1948" i="49"/>
  <c r="B1949" i="49"/>
  <c r="B1950" i="49"/>
  <c r="B1951" i="49"/>
  <c r="B1952" i="49"/>
  <c r="B1953" i="49"/>
  <c r="B1954" i="49"/>
  <c r="B1955" i="49"/>
  <c r="B1956" i="49"/>
  <c r="B1957" i="49"/>
  <c r="B1958" i="49"/>
  <c r="B1959" i="49"/>
  <c r="B1960" i="49"/>
  <c r="B1961" i="49"/>
  <c r="B1962" i="49"/>
  <c r="B1963" i="49"/>
  <c r="B1964" i="49"/>
  <c r="B1965" i="49"/>
  <c r="B1966" i="49"/>
  <c r="B1967" i="49"/>
  <c r="B1968" i="49"/>
  <c r="B1969" i="49"/>
  <c r="B1970" i="49"/>
  <c r="B1971" i="49"/>
  <c r="B1972" i="49"/>
  <c r="B1973" i="49"/>
  <c r="B1974" i="49"/>
  <c r="B1975" i="49"/>
  <c r="B1976" i="49"/>
  <c r="B1977" i="49"/>
  <c r="B1978" i="49"/>
  <c r="B1979" i="49"/>
  <c r="B1980" i="49"/>
  <c r="B1981" i="49"/>
  <c r="B1982" i="49"/>
  <c r="B1983" i="49"/>
  <c r="B1984" i="49"/>
  <c r="B1985" i="49"/>
  <c r="B1986" i="49"/>
  <c r="B1987" i="49"/>
  <c r="B1988" i="49"/>
  <c r="B1989" i="49"/>
  <c r="B1990" i="49"/>
  <c r="B1991" i="49"/>
  <c r="B1992" i="49"/>
  <c r="B1993" i="49"/>
  <c r="B1994" i="49"/>
  <c r="B1995" i="49"/>
  <c r="B1996" i="49"/>
  <c r="B1997" i="49"/>
  <c r="B1998" i="49"/>
  <c r="B1999" i="49"/>
  <c r="B2000" i="49"/>
  <c r="B2001" i="49"/>
  <c r="B2002" i="49"/>
  <c r="B2003" i="49"/>
  <c r="B2004" i="49"/>
  <c r="B2005" i="49"/>
  <c r="B2006" i="49"/>
  <c r="B2007" i="49"/>
  <c r="B2008" i="49"/>
  <c r="B2009" i="49"/>
  <c r="B2010" i="49"/>
  <c r="B2011" i="49"/>
  <c r="B2012" i="49"/>
  <c r="B2013" i="49"/>
  <c r="B2014" i="49"/>
  <c r="B2015" i="49"/>
  <c r="B2016" i="49"/>
  <c r="B2017" i="49"/>
  <c r="B2018" i="49"/>
  <c r="B2019" i="49"/>
  <c r="B2020" i="49"/>
  <c r="B2021" i="49"/>
  <c r="B2022" i="49"/>
  <c r="B2023" i="49"/>
  <c r="B2024" i="49"/>
  <c r="B2025" i="49"/>
  <c r="B2026" i="49"/>
  <c r="B2027" i="49"/>
  <c r="B2028" i="49"/>
  <c r="B2029" i="49"/>
  <c r="B2030" i="49"/>
  <c r="B2031" i="49"/>
  <c r="B2032" i="49"/>
  <c r="B2033" i="49"/>
  <c r="B2034" i="49"/>
  <c r="B2035" i="49"/>
  <c r="B2036" i="49"/>
  <c r="B2037" i="49"/>
  <c r="B2038" i="49"/>
  <c r="B2039" i="49"/>
  <c r="B2040" i="49"/>
  <c r="B2041" i="49"/>
  <c r="B2042" i="49"/>
  <c r="B2043" i="49"/>
  <c r="B2044" i="49"/>
  <c r="B2045" i="49"/>
  <c r="B2046" i="49"/>
  <c r="B2047" i="49"/>
  <c r="B2048" i="49"/>
  <c r="B2049" i="49"/>
  <c r="B2050" i="49"/>
  <c r="B2051" i="49"/>
  <c r="B2052" i="49"/>
  <c r="B2053" i="49"/>
  <c r="B2054" i="49"/>
  <c r="B2055" i="49"/>
  <c r="B2056" i="49"/>
  <c r="B2057" i="49"/>
  <c r="B2058" i="49"/>
  <c r="B2059" i="49"/>
  <c r="B2060" i="49"/>
  <c r="B2061" i="49"/>
  <c r="B2062" i="49"/>
  <c r="B2063" i="49"/>
  <c r="B2064" i="49"/>
  <c r="B2065" i="49"/>
  <c r="B2066" i="49"/>
  <c r="B2067" i="49"/>
  <c r="B2068" i="49"/>
  <c r="B2069" i="49"/>
  <c r="B2070" i="49"/>
  <c r="B2071" i="49"/>
  <c r="B2072" i="49"/>
  <c r="B2073" i="49"/>
  <c r="B2074" i="49"/>
  <c r="B2075" i="49"/>
  <c r="B2076" i="49"/>
  <c r="B2077" i="49"/>
  <c r="B2078" i="49"/>
  <c r="B2079" i="49"/>
  <c r="B2080" i="49"/>
  <c r="B2081" i="49"/>
  <c r="B2082" i="49"/>
  <c r="B2083" i="49"/>
  <c r="B2084" i="49"/>
  <c r="B2085" i="49"/>
  <c r="B2086" i="49"/>
  <c r="B2087" i="49"/>
  <c r="B2088" i="49"/>
  <c r="B2089" i="49"/>
  <c r="B2090" i="49"/>
  <c r="B2091" i="49"/>
  <c r="B2092" i="49"/>
  <c r="B2093" i="49"/>
  <c r="B2094" i="49"/>
  <c r="B2095" i="49"/>
  <c r="B2096" i="49"/>
  <c r="B2097" i="49"/>
  <c r="B2098" i="49"/>
  <c r="B2099" i="49"/>
  <c r="B2100" i="49"/>
  <c r="B2101" i="49"/>
  <c r="B2102" i="49"/>
  <c r="B2103" i="49"/>
  <c r="B2104" i="49"/>
  <c r="B2105" i="49"/>
  <c r="B2106" i="49"/>
  <c r="B2107" i="49"/>
  <c r="B2108" i="49"/>
  <c r="B2109" i="49"/>
  <c r="B2110" i="49"/>
  <c r="B2111" i="49"/>
  <c r="B2112" i="49"/>
  <c r="B2113" i="49"/>
  <c r="B2114" i="49"/>
  <c r="B2115" i="49"/>
  <c r="B2116" i="49"/>
  <c r="B2117" i="49"/>
  <c r="B2118" i="49"/>
  <c r="B2119" i="49"/>
  <c r="B2120" i="49"/>
  <c r="B2121" i="49"/>
  <c r="B2122" i="49"/>
  <c r="B2123" i="49"/>
  <c r="B2124" i="49"/>
  <c r="B2125" i="49"/>
  <c r="B2126" i="49"/>
  <c r="B2127" i="49"/>
  <c r="B2128" i="49"/>
  <c r="B2129" i="49"/>
  <c r="B2130" i="49"/>
  <c r="B2131" i="49"/>
  <c r="B2132" i="49"/>
  <c r="B2133" i="49"/>
  <c r="B2134" i="49"/>
  <c r="B2135" i="49"/>
  <c r="B2136" i="49"/>
  <c r="B2137" i="49"/>
  <c r="B2138" i="49"/>
  <c r="B2139" i="49"/>
  <c r="B2140" i="49"/>
  <c r="B2141" i="49"/>
  <c r="B2142" i="49"/>
  <c r="B2143" i="49"/>
  <c r="B2144" i="49"/>
  <c r="B2145" i="49"/>
  <c r="B2146" i="49"/>
  <c r="B2147" i="49"/>
  <c r="B2148" i="49"/>
  <c r="B2149" i="49"/>
  <c r="B2150" i="49"/>
  <c r="B2151" i="49"/>
  <c r="B2152" i="49"/>
  <c r="B2153" i="49"/>
  <c r="B2154" i="49"/>
  <c r="B2155" i="49"/>
  <c r="B2156" i="49"/>
  <c r="B2157" i="49"/>
  <c r="B2158" i="49"/>
  <c r="B2159" i="49"/>
  <c r="B2160" i="49"/>
  <c r="B2161" i="49"/>
  <c r="B2162" i="49"/>
  <c r="B2163" i="49"/>
  <c r="B2164" i="49"/>
  <c r="B2165" i="49"/>
  <c r="B2166" i="49"/>
  <c r="B2167" i="49"/>
  <c r="B2168" i="49"/>
  <c r="B2169" i="49"/>
  <c r="B2170" i="49"/>
  <c r="B2171" i="49"/>
  <c r="B2172" i="49"/>
  <c r="B2173" i="49"/>
  <c r="B2174" i="49"/>
  <c r="B2175" i="49"/>
  <c r="B2176" i="49"/>
  <c r="B2177" i="49"/>
  <c r="B2178" i="49"/>
  <c r="B2179" i="49"/>
  <c r="B2180" i="49"/>
  <c r="B2181" i="49"/>
  <c r="B2182" i="49"/>
  <c r="B2183" i="49"/>
  <c r="B2184" i="49"/>
  <c r="B2185" i="49"/>
  <c r="B2186" i="49"/>
  <c r="B2187" i="49"/>
  <c r="B2188" i="49"/>
  <c r="B2189" i="49"/>
  <c r="B2190" i="49"/>
  <c r="B2191" i="49"/>
  <c r="B2192" i="49"/>
  <c r="B2193" i="49"/>
  <c r="B2194" i="49"/>
  <c r="B2195" i="49"/>
  <c r="B2196" i="49"/>
  <c r="B2197" i="49"/>
  <c r="B2198" i="49"/>
  <c r="B2199" i="49"/>
  <c r="B2200" i="49"/>
  <c r="B2201" i="49"/>
  <c r="B2202" i="49"/>
  <c r="B2203" i="49"/>
  <c r="B2204" i="49"/>
  <c r="B2205" i="49"/>
  <c r="B2206" i="49"/>
  <c r="B2207" i="49"/>
  <c r="B2208" i="49"/>
  <c r="B2209" i="49"/>
  <c r="B2210" i="49"/>
  <c r="B2211" i="49"/>
  <c r="B2212" i="49"/>
  <c r="B2213" i="49"/>
  <c r="B2214" i="49"/>
  <c r="B2215" i="49"/>
  <c r="B2216" i="49"/>
  <c r="B2217" i="49"/>
  <c r="B2218" i="49"/>
  <c r="B2219" i="49"/>
  <c r="B2220" i="49"/>
  <c r="B2221" i="49"/>
  <c r="B2222" i="49"/>
  <c r="B2223" i="49"/>
  <c r="B2224" i="49"/>
  <c r="B2225" i="49"/>
  <c r="B2226" i="49"/>
  <c r="B2227" i="49"/>
  <c r="B2228" i="49"/>
  <c r="B2229" i="49"/>
  <c r="B2230" i="49"/>
  <c r="B2231" i="49"/>
  <c r="B2232" i="49"/>
  <c r="B2233" i="49"/>
  <c r="B2234" i="49"/>
  <c r="B2235" i="49"/>
  <c r="B2236" i="49"/>
  <c r="B2237" i="49"/>
  <c r="B2238" i="49"/>
  <c r="B2239" i="49"/>
  <c r="B2240" i="49"/>
  <c r="B2241" i="49"/>
  <c r="B2242" i="49"/>
  <c r="B2243" i="49"/>
  <c r="B2244" i="49"/>
  <c r="B2245" i="49"/>
  <c r="B2246" i="49"/>
  <c r="B2247" i="49"/>
  <c r="B2248" i="49"/>
  <c r="B2249" i="49"/>
  <c r="B2250" i="49"/>
  <c r="B2251" i="49"/>
  <c r="B2252" i="49"/>
  <c r="B2253" i="49"/>
  <c r="B2254" i="49"/>
  <c r="B2255" i="49"/>
  <c r="B2256" i="49"/>
  <c r="B2257" i="49"/>
  <c r="B2258" i="49"/>
  <c r="B2259" i="49"/>
  <c r="B2260" i="49"/>
  <c r="B2261" i="49"/>
  <c r="B2262" i="49"/>
  <c r="B2263" i="49"/>
  <c r="B2264" i="49"/>
  <c r="B2265" i="49"/>
  <c r="B2266" i="49"/>
  <c r="B2267" i="49"/>
  <c r="B2268" i="49"/>
  <c r="B2269" i="49"/>
  <c r="B2270" i="49"/>
  <c r="B2271" i="49"/>
  <c r="B2272" i="49"/>
  <c r="B2273" i="49"/>
  <c r="B2274" i="49"/>
  <c r="B2275" i="49"/>
  <c r="B2276" i="49"/>
  <c r="B2277" i="49"/>
  <c r="B2278" i="49"/>
  <c r="B2279" i="49"/>
  <c r="B2280" i="49"/>
  <c r="B2281" i="49"/>
  <c r="B2282" i="49"/>
  <c r="B2283" i="49"/>
  <c r="B2284" i="49"/>
  <c r="B2285" i="49"/>
  <c r="B2286" i="49"/>
  <c r="B2287" i="49"/>
  <c r="B2288" i="49"/>
  <c r="B2289" i="49"/>
  <c r="B2290" i="49"/>
  <c r="B2291" i="49"/>
  <c r="B2292" i="49"/>
  <c r="B2293" i="49"/>
  <c r="B2294" i="49"/>
  <c r="B2295" i="49"/>
  <c r="B2296" i="49"/>
  <c r="B2297" i="49"/>
  <c r="B2298" i="49"/>
  <c r="B2299" i="49"/>
  <c r="B2300" i="49"/>
  <c r="B2301" i="49"/>
  <c r="B2302" i="49"/>
  <c r="B2303" i="49"/>
  <c r="B2304" i="49"/>
  <c r="B2305" i="49"/>
  <c r="B2306" i="49"/>
  <c r="B2307" i="49"/>
  <c r="B2308" i="49"/>
  <c r="B2309" i="49"/>
  <c r="B2310" i="49"/>
  <c r="B2311" i="49"/>
  <c r="B2312" i="49"/>
  <c r="B2313" i="49"/>
  <c r="B2314" i="49"/>
  <c r="B2315" i="49"/>
  <c r="B2316" i="49"/>
  <c r="B2317" i="49"/>
  <c r="B2318" i="49"/>
  <c r="B2319" i="49"/>
  <c r="B2320" i="49"/>
  <c r="B2321" i="49"/>
  <c r="B2322" i="49"/>
  <c r="B2323" i="49"/>
  <c r="B2324" i="49"/>
  <c r="B2325" i="49"/>
  <c r="B2326" i="49"/>
  <c r="B2327" i="49"/>
  <c r="B2328" i="49"/>
  <c r="B2329" i="49"/>
  <c r="B2330" i="49"/>
  <c r="B2331" i="49"/>
  <c r="B2332" i="49"/>
  <c r="B2333" i="49"/>
  <c r="B2334" i="49"/>
  <c r="B2335" i="49"/>
  <c r="B2336" i="49"/>
  <c r="B2337" i="49"/>
  <c r="B2338" i="49"/>
  <c r="B2339" i="49"/>
  <c r="B2340" i="49"/>
  <c r="B2341" i="49"/>
  <c r="B2342" i="49"/>
  <c r="B2343" i="49"/>
  <c r="B2344" i="49"/>
  <c r="B2345" i="49"/>
  <c r="B2346" i="49"/>
  <c r="B2347" i="49"/>
  <c r="B2348" i="49"/>
  <c r="B2349" i="49"/>
  <c r="B2350" i="49"/>
  <c r="B2351" i="49"/>
  <c r="B2352" i="49"/>
  <c r="B2353" i="49"/>
  <c r="B2354" i="49"/>
  <c r="B2355" i="49"/>
  <c r="B2356" i="49"/>
  <c r="B2357" i="49"/>
  <c r="B2358" i="49"/>
  <c r="B2359" i="49"/>
  <c r="B2360" i="49"/>
  <c r="B2361" i="49"/>
  <c r="B2362" i="49"/>
  <c r="B2363" i="49"/>
  <c r="B2364" i="49"/>
  <c r="B2365" i="49"/>
  <c r="B2366" i="49"/>
  <c r="B2367" i="49"/>
  <c r="B2368" i="49"/>
  <c r="B2369" i="49"/>
  <c r="B2370" i="49"/>
  <c r="B2371" i="49"/>
  <c r="B2372" i="49"/>
  <c r="B2373" i="49"/>
  <c r="B2374" i="49"/>
  <c r="B2375" i="49"/>
  <c r="B2376" i="49"/>
  <c r="B2377" i="49"/>
  <c r="B2378" i="49"/>
  <c r="B2379" i="49"/>
  <c r="B2380" i="49"/>
  <c r="B2381" i="49"/>
  <c r="B2382" i="49"/>
  <c r="B2383" i="49"/>
  <c r="B2384" i="49"/>
  <c r="B2385" i="49"/>
  <c r="B2386" i="49"/>
  <c r="B2387" i="49"/>
  <c r="B2388" i="49"/>
  <c r="B2389" i="49"/>
  <c r="B2390" i="49"/>
  <c r="B2391" i="49"/>
  <c r="B2392" i="49"/>
  <c r="B2393" i="49"/>
  <c r="B2394" i="49"/>
  <c r="B2395" i="49"/>
  <c r="B2396" i="49"/>
  <c r="B2397" i="49"/>
  <c r="B2398" i="49"/>
  <c r="B2399" i="49"/>
  <c r="B2400" i="49"/>
  <c r="B2401" i="49"/>
  <c r="B2402" i="49"/>
  <c r="B2403" i="49"/>
  <c r="B2404" i="49"/>
  <c r="B2405" i="49"/>
  <c r="B2406" i="49"/>
  <c r="B2407" i="49"/>
  <c r="B2408" i="49"/>
  <c r="B2409" i="49"/>
  <c r="B2410" i="49"/>
  <c r="B2411" i="49"/>
  <c r="B2412" i="49"/>
  <c r="B2413" i="49"/>
  <c r="B2414" i="49"/>
  <c r="B2415" i="49"/>
  <c r="B2416" i="49"/>
  <c r="B2417" i="49"/>
  <c r="B2418" i="49"/>
  <c r="B2419" i="49"/>
  <c r="B2420" i="49"/>
  <c r="B2421" i="49"/>
  <c r="B2422" i="49"/>
  <c r="B2423" i="49"/>
  <c r="B2424" i="49"/>
  <c r="B2425" i="49"/>
  <c r="B2426" i="49"/>
  <c r="B2427" i="49"/>
  <c r="B2428" i="49"/>
  <c r="B2429" i="49"/>
  <c r="B2430" i="49"/>
  <c r="B2431" i="49"/>
  <c r="B2432" i="49"/>
  <c r="B2433" i="49"/>
  <c r="B2434" i="49"/>
  <c r="B2435" i="49"/>
  <c r="B2436" i="49"/>
  <c r="B2437" i="49"/>
  <c r="B2438" i="49"/>
  <c r="B2439" i="49"/>
  <c r="B2440" i="49"/>
  <c r="B2441" i="49"/>
  <c r="B2442" i="49"/>
  <c r="B2443" i="49"/>
  <c r="B2444" i="49"/>
  <c r="B2445" i="49"/>
  <c r="B2446" i="49"/>
  <c r="B2447" i="49"/>
  <c r="B2448" i="49"/>
  <c r="B2449" i="49"/>
  <c r="B2450" i="49"/>
  <c r="B2451" i="49"/>
  <c r="B2452" i="49"/>
  <c r="B2453" i="49"/>
  <c r="B2454" i="49"/>
  <c r="B2455" i="49"/>
  <c r="B2456" i="49"/>
  <c r="B2457" i="49"/>
  <c r="B2458" i="49"/>
  <c r="B2459" i="49"/>
  <c r="B2460" i="49"/>
  <c r="B2461" i="49"/>
  <c r="B2462" i="49"/>
  <c r="B2463" i="49"/>
  <c r="B2464" i="49"/>
  <c r="B2465" i="49"/>
  <c r="B2466" i="49"/>
  <c r="B2467" i="49"/>
  <c r="B2468" i="49"/>
  <c r="B2469" i="49"/>
  <c r="B2470" i="49"/>
  <c r="B2471" i="49"/>
  <c r="B2472" i="49"/>
  <c r="B2473" i="49"/>
  <c r="B2474" i="49"/>
  <c r="B2475" i="49"/>
  <c r="B2476" i="49"/>
  <c r="B2477" i="49"/>
  <c r="B2478" i="49"/>
  <c r="B2479" i="49"/>
  <c r="B2480" i="49"/>
  <c r="B2481" i="49"/>
  <c r="B2482" i="49"/>
  <c r="B2483" i="49"/>
  <c r="B2484" i="49"/>
  <c r="B2485" i="49"/>
  <c r="B2486" i="49"/>
  <c r="B2487" i="49"/>
  <c r="B2488" i="49"/>
  <c r="B2489" i="49"/>
  <c r="B2490" i="49"/>
  <c r="B2491" i="49"/>
  <c r="B2492" i="49"/>
  <c r="B2493" i="49"/>
  <c r="B2494" i="49"/>
  <c r="B2495" i="49"/>
  <c r="B2496" i="49"/>
  <c r="B2497" i="49"/>
  <c r="B2498" i="49"/>
  <c r="B2499" i="49"/>
  <c r="B2500" i="49"/>
  <c r="B2501" i="49"/>
  <c r="B2502" i="49"/>
  <c r="B2503" i="49"/>
  <c r="B2504" i="49"/>
  <c r="B2505" i="49"/>
  <c r="B2506" i="49"/>
  <c r="B2507" i="49"/>
  <c r="B2508" i="49"/>
  <c r="B2509" i="49"/>
  <c r="B2510" i="49"/>
  <c r="B2511" i="49"/>
  <c r="B2512" i="49"/>
  <c r="B2513" i="49"/>
  <c r="B2514" i="49"/>
  <c r="B2515" i="49"/>
  <c r="B2516" i="49"/>
  <c r="B2517" i="49"/>
  <c r="B2518" i="49"/>
  <c r="B2519" i="49"/>
  <c r="B2520" i="49"/>
  <c r="B2521" i="49"/>
  <c r="B2522" i="49"/>
  <c r="B2523" i="49"/>
  <c r="B2524" i="49"/>
  <c r="B2525" i="49"/>
  <c r="B2526" i="49"/>
  <c r="B2527" i="49"/>
  <c r="B2528" i="49"/>
  <c r="B2529" i="49"/>
  <c r="B2530" i="49"/>
  <c r="B2531" i="49"/>
  <c r="B2532" i="49"/>
  <c r="B2533" i="49"/>
  <c r="B2534" i="49"/>
  <c r="B2535" i="49"/>
  <c r="B2536" i="49"/>
  <c r="B2537" i="49"/>
  <c r="B2538" i="49"/>
  <c r="B2539" i="49"/>
  <c r="B2540" i="49"/>
  <c r="B2541" i="49"/>
  <c r="B2542" i="49"/>
  <c r="B2543" i="49"/>
  <c r="B2544" i="49"/>
  <c r="B2545" i="49"/>
  <c r="B2546" i="49"/>
  <c r="B2547" i="49"/>
  <c r="B2548" i="49"/>
  <c r="B2549" i="49"/>
  <c r="B2550" i="49"/>
  <c r="B2551" i="49"/>
  <c r="B2552" i="49"/>
  <c r="B2553" i="49"/>
  <c r="B2554" i="49"/>
  <c r="B2555" i="49"/>
  <c r="B2556" i="49"/>
  <c r="B2557" i="49"/>
  <c r="B2558" i="49"/>
  <c r="B2559" i="49"/>
  <c r="B2560" i="49"/>
  <c r="B2561" i="49"/>
  <c r="B2562" i="49"/>
  <c r="B2563" i="49"/>
  <c r="B2564" i="49"/>
  <c r="B2565" i="49"/>
  <c r="B2566" i="49"/>
  <c r="B2567" i="49"/>
  <c r="B2568" i="49"/>
  <c r="B2569" i="49"/>
  <c r="B2570" i="49"/>
  <c r="B2571" i="49"/>
  <c r="B2572" i="49"/>
  <c r="B2573" i="49"/>
  <c r="B2574" i="49"/>
  <c r="B2575" i="49"/>
  <c r="B2576" i="49"/>
  <c r="B2577" i="49"/>
  <c r="B2578" i="49"/>
  <c r="B2579" i="49"/>
  <c r="B2580" i="49"/>
  <c r="B2581" i="49"/>
  <c r="B2582" i="49"/>
  <c r="B2583" i="49"/>
  <c r="B2584" i="49"/>
  <c r="B2585" i="49"/>
  <c r="B2586" i="49"/>
  <c r="B2587" i="49"/>
  <c r="B2588" i="49"/>
  <c r="B2589" i="49"/>
  <c r="B2590" i="49"/>
  <c r="B2591" i="49"/>
  <c r="B2592" i="49"/>
  <c r="B2593" i="49"/>
  <c r="B2594" i="49"/>
  <c r="B2595" i="49"/>
  <c r="B2596" i="49"/>
  <c r="B2597" i="49"/>
  <c r="B2598" i="49"/>
  <c r="B2599" i="49"/>
  <c r="B2600" i="49"/>
  <c r="B2601" i="49"/>
  <c r="B2602" i="49"/>
  <c r="B2603" i="49"/>
  <c r="B2604" i="49"/>
  <c r="B2605" i="49"/>
  <c r="B2606" i="49"/>
  <c r="B2607" i="49"/>
  <c r="B2608" i="49"/>
  <c r="B2609" i="49"/>
  <c r="B2610" i="49"/>
  <c r="B2611" i="49"/>
  <c r="B2612" i="49"/>
  <c r="B2613" i="49"/>
  <c r="B2614" i="49"/>
  <c r="B2615" i="49"/>
  <c r="B2616" i="49"/>
  <c r="B2617" i="49"/>
  <c r="B2618" i="49"/>
  <c r="B2619" i="49"/>
  <c r="B2620" i="49"/>
  <c r="B2621" i="49"/>
  <c r="B2622" i="49"/>
  <c r="B2623" i="49"/>
  <c r="B2624" i="49"/>
  <c r="B2625" i="49"/>
  <c r="B2626" i="49"/>
  <c r="B2627" i="49"/>
  <c r="B2628" i="49"/>
  <c r="B2629" i="49"/>
  <c r="B2630" i="49"/>
  <c r="B2631" i="49"/>
  <c r="B2632" i="49"/>
  <c r="B2633" i="49"/>
  <c r="B2634" i="49"/>
  <c r="B2635" i="49"/>
  <c r="B2636" i="49"/>
  <c r="B2637" i="49"/>
  <c r="B2638" i="49"/>
  <c r="B2639" i="49"/>
  <c r="B2640" i="49"/>
  <c r="B2641" i="49"/>
  <c r="B2642" i="49"/>
  <c r="B2643" i="49"/>
  <c r="B2644" i="49"/>
  <c r="B2645" i="49"/>
  <c r="B2646" i="49"/>
  <c r="B2647" i="49"/>
  <c r="B2648" i="49"/>
  <c r="B2649" i="49"/>
  <c r="B2650" i="49"/>
  <c r="B2651" i="49"/>
  <c r="B2652" i="49"/>
  <c r="B2653" i="49"/>
  <c r="B2654" i="49"/>
  <c r="B2655" i="49"/>
  <c r="B2656" i="49"/>
  <c r="B2657" i="49"/>
  <c r="B2658" i="49"/>
  <c r="B2659" i="49"/>
  <c r="B2660" i="49"/>
  <c r="B2661" i="49"/>
  <c r="B2662" i="49"/>
  <c r="B2663" i="49"/>
  <c r="B2664" i="49"/>
  <c r="B2665" i="49"/>
  <c r="B2666" i="49"/>
  <c r="B2667" i="49"/>
  <c r="B2668" i="49"/>
  <c r="B2669" i="49"/>
  <c r="B2670" i="49"/>
  <c r="B2671" i="49"/>
  <c r="B2672" i="49"/>
  <c r="B2673" i="49"/>
  <c r="B2674" i="49"/>
  <c r="B2675" i="49"/>
  <c r="B2676" i="49"/>
  <c r="B2677" i="49"/>
  <c r="B2678" i="49"/>
  <c r="B2679" i="49"/>
  <c r="B2680" i="49"/>
  <c r="B2681" i="49"/>
  <c r="B2682" i="49"/>
  <c r="B2683" i="49"/>
  <c r="B2684" i="49"/>
  <c r="B2685" i="49"/>
  <c r="B2686" i="49"/>
  <c r="B2687" i="49"/>
  <c r="B2688" i="49"/>
  <c r="B2689" i="49"/>
  <c r="B2690" i="49"/>
  <c r="B2691" i="49"/>
  <c r="B2692" i="49"/>
  <c r="B2693" i="49"/>
  <c r="B2694" i="49"/>
  <c r="B2695" i="49"/>
  <c r="B2696" i="49"/>
  <c r="B2697" i="49"/>
  <c r="B2698" i="49"/>
  <c r="B2699" i="49"/>
  <c r="B2700" i="49"/>
  <c r="B2701" i="49"/>
  <c r="B2702" i="49"/>
  <c r="B2703" i="49"/>
  <c r="B2704" i="49"/>
  <c r="B2705" i="49"/>
  <c r="B2706" i="49"/>
  <c r="B2707" i="49"/>
  <c r="B2708" i="49"/>
  <c r="B2709" i="49"/>
  <c r="B2710" i="49"/>
  <c r="B2711" i="49"/>
  <c r="B2712" i="49"/>
  <c r="B2713" i="49"/>
  <c r="B2714" i="49"/>
  <c r="B2715" i="49"/>
  <c r="B2716" i="49"/>
  <c r="B2717" i="49"/>
  <c r="B2718" i="49"/>
  <c r="B2719" i="49"/>
  <c r="B2720" i="49"/>
  <c r="B2721" i="49"/>
  <c r="B2722" i="49"/>
  <c r="B2723" i="49"/>
  <c r="B2724" i="49"/>
  <c r="B2725" i="49"/>
  <c r="B2726" i="49"/>
  <c r="B2727" i="49"/>
  <c r="B2728" i="49"/>
  <c r="B2729" i="49"/>
  <c r="B2730" i="49"/>
  <c r="B2731" i="49"/>
  <c r="B2732" i="49"/>
  <c r="B2733" i="49"/>
  <c r="B2734" i="49"/>
  <c r="B2735" i="49"/>
  <c r="B2736" i="49"/>
  <c r="B2737" i="49"/>
  <c r="B2738" i="49"/>
  <c r="B2739" i="49"/>
  <c r="B2740" i="49"/>
  <c r="B2741" i="49"/>
  <c r="B2742" i="49"/>
  <c r="B2743" i="49"/>
  <c r="B2744" i="49"/>
  <c r="B2745" i="49"/>
  <c r="B2746" i="49"/>
  <c r="B2747" i="49"/>
  <c r="B2748" i="49"/>
  <c r="B2749" i="49"/>
  <c r="B2750" i="49"/>
  <c r="B2751" i="49"/>
  <c r="B2752" i="49"/>
  <c r="B2753" i="49"/>
  <c r="B2754" i="49"/>
  <c r="B2755" i="49"/>
  <c r="B2756" i="49"/>
  <c r="B2757" i="49"/>
  <c r="B2758" i="49"/>
  <c r="B2759" i="49"/>
  <c r="B2760" i="49"/>
  <c r="B2761" i="49"/>
  <c r="B2762" i="49"/>
  <c r="B2763" i="49"/>
  <c r="B2764" i="49"/>
  <c r="B2765" i="49"/>
  <c r="B2766" i="49"/>
  <c r="B2767" i="49"/>
  <c r="B2768" i="49"/>
  <c r="B2769" i="49"/>
  <c r="B2770" i="49"/>
  <c r="B2771" i="49"/>
  <c r="B2772" i="49"/>
  <c r="B2773" i="49"/>
  <c r="B2774" i="49"/>
  <c r="B2775" i="49"/>
  <c r="B2776" i="49"/>
  <c r="B2777" i="49"/>
  <c r="B2778" i="49"/>
  <c r="B2779" i="49"/>
  <c r="B2780" i="49"/>
  <c r="B2781" i="49"/>
  <c r="B2782" i="49"/>
  <c r="B2783" i="49"/>
  <c r="B2784" i="49"/>
  <c r="B2785" i="49"/>
  <c r="B2786" i="49"/>
  <c r="B2787" i="49"/>
  <c r="B2788" i="49"/>
  <c r="B2789" i="49"/>
  <c r="B2790" i="49"/>
  <c r="B2791" i="49"/>
  <c r="B2792" i="49"/>
  <c r="B2793" i="49"/>
  <c r="B2794" i="49"/>
  <c r="B2795" i="49"/>
  <c r="B2796" i="49"/>
  <c r="B2797" i="49"/>
  <c r="B2798" i="49"/>
  <c r="B2799" i="49"/>
  <c r="B2800" i="49"/>
  <c r="B2801" i="49"/>
  <c r="B2802" i="49"/>
  <c r="B2803" i="49"/>
  <c r="B2804" i="49"/>
  <c r="B2805" i="49"/>
  <c r="B2806" i="49"/>
  <c r="B2807" i="49"/>
  <c r="B2808" i="49"/>
  <c r="B2809" i="49"/>
  <c r="B2810" i="49"/>
  <c r="B2811" i="49"/>
  <c r="B2812" i="49"/>
  <c r="B2813" i="49"/>
  <c r="B2814" i="49"/>
  <c r="B2815" i="49"/>
  <c r="B2816" i="49"/>
  <c r="B2817" i="49"/>
  <c r="B2818" i="49"/>
  <c r="B2819" i="49"/>
  <c r="B2820" i="49"/>
  <c r="B2821" i="49"/>
  <c r="B2822" i="49"/>
  <c r="B2823" i="49"/>
  <c r="B2824" i="49"/>
  <c r="B2825" i="49"/>
  <c r="B2826" i="49"/>
  <c r="B2827" i="49"/>
  <c r="B2828" i="49"/>
  <c r="B2829" i="49"/>
  <c r="B2830" i="49"/>
  <c r="B2831" i="49"/>
  <c r="B2832" i="49"/>
  <c r="B2833" i="49"/>
  <c r="B2834" i="49"/>
  <c r="B2835" i="49"/>
  <c r="B2836" i="49"/>
  <c r="B2837" i="49"/>
  <c r="B2838" i="49"/>
  <c r="B2839" i="49"/>
  <c r="B2840" i="49"/>
  <c r="B2841" i="49"/>
  <c r="B2842" i="49"/>
  <c r="B2843" i="49"/>
  <c r="B2844" i="49"/>
  <c r="B2845" i="49"/>
  <c r="B2846" i="49"/>
  <c r="B2847" i="49"/>
  <c r="B2848" i="49"/>
  <c r="B2849" i="49"/>
  <c r="B2850" i="49"/>
  <c r="B2851" i="49"/>
  <c r="B2852" i="49"/>
  <c r="B2853" i="49"/>
  <c r="B2854" i="49"/>
  <c r="B2855" i="49"/>
  <c r="B2856" i="49"/>
  <c r="B2857" i="49"/>
  <c r="B2858" i="49"/>
  <c r="B2859" i="49"/>
  <c r="B2860" i="49"/>
  <c r="B2861" i="49"/>
  <c r="B2862" i="49"/>
  <c r="B2863" i="49"/>
  <c r="B2864" i="49"/>
  <c r="B2865" i="49"/>
  <c r="B2866" i="49"/>
  <c r="B2867" i="49"/>
  <c r="B2868" i="49"/>
  <c r="B2869" i="49"/>
  <c r="B2870" i="49"/>
  <c r="B2871" i="49"/>
  <c r="B2872" i="49"/>
  <c r="B2873" i="49"/>
  <c r="B2874" i="49"/>
  <c r="B2875" i="49"/>
  <c r="B2876" i="49"/>
  <c r="B2877" i="49"/>
  <c r="B2878" i="49"/>
  <c r="B2879" i="49"/>
  <c r="B2880" i="49"/>
  <c r="B2881" i="49"/>
  <c r="B2882" i="49"/>
  <c r="B2883" i="49"/>
  <c r="B2884" i="49"/>
  <c r="B2885" i="49"/>
  <c r="B2886" i="49"/>
  <c r="B2887" i="49"/>
  <c r="B2888" i="49"/>
  <c r="B2889" i="49"/>
  <c r="B2890" i="49"/>
  <c r="B2891" i="49"/>
  <c r="B2892" i="49"/>
  <c r="B2893" i="49"/>
  <c r="B2894" i="49"/>
  <c r="B2895" i="49"/>
  <c r="B2896" i="49"/>
  <c r="B2897" i="49"/>
  <c r="B2898" i="49"/>
  <c r="B2899" i="49"/>
  <c r="B2900" i="49"/>
  <c r="B2901" i="49"/>
  <c r="B2902" i="49"/>
  <c r="B2903" i="49"/>
  <c r="B2904" i="49"/>
  <c r="B2905" i="49"/>
  <c r="B2906" i="49"/>
  <c r="B2907" i="49"/>
  <c r="B2908" i="49"/>
  <c r="B2909" i="49"/>
  <c r="B2910" i="49"/>
  <c r="B2911" i="49"/>
  <c r="B2912" i="49"/>
  <c r="B2913" i="49"/>
  <c r="B2914" i="49"/>
  <c r="B2915" i="49"/>
  <c r="B2916" i="49"/>
  <c r="B2917" i="49"/>
  <c r="B2918" i="49"/>
  <c r="B2919" i="49"/>
  <c r="B2920" i="49"/>
  <c r="B2921" i="49"/>
  <c r="B2922" i="49"/>
  <c r="B2923" i="49"/>
  <c r="B2924" i="49"/>
  <c r="B2925" i="49"/>
  <c r="B2926" i="49"/>
  <c r="B2927" i="49"/>
  <c r="B2928" i="49"/>
  <c r="B2929" i="49"/>
  <c r="B2930" i="49"/>
  <c r="B2931" i="49"/>
  <c r="B2932" i="49"/>
  <c r="B2933" i="49"/>
  <c r="B2934" i="49"/>
  <c r="B2935" i="49"/>
  <c r="B2936" i="49"/>
  <c r="B2937" i="49"/>
  <c r="B2938" i="49"/>
  <c r="B2939" i="49"/>
  <c r="B2940" i="49"/>
  <c r="B2941" i="49"/>
  <c r="B2942" i="49"/>
  <c r="B2943" i="49"/>
  <c r="B2944" i="49"/>
  <c r="B2945" i="49"/>
  <c r="B2946" i="49"/>
  <c r="B2947" i="49"/>
  <c r="B2948" i="49"/>
  <c r="B2949" i="49"/>
  <c r="B2950" i="49"/>
  <c r="B2951" i="49"/>
  <c r="B2952" i="49"/>
  <c r="B2953" i="49"/>
  <c r="B2954" i="49"/>
  <c r="B2955" i="49"/>
  <c r="B2956" i="49"/>
  <c r="B2957" i="49"/>
  <c r="B2958" i="49"/>
  <c r="B2959" i="49"/>
  <c r="B2960" i="49"/>
  <c r="B2961" i="49"/>
  <c r="B2962" i="49"/>
  <c r="B2963" i="49"/>
  <c r="B2964" i="49"/>
  <c r="B2965" i="49"/>
  <c r="B2966" i="49"/>
  <c r="B2967" i="49"/>
  <c r="B2968" i="49"/>
  <c r="B2969" i="49"/>
  <c r="B2970" i="49"/>
  <c r="B2971" i="49"/>
  <c r="B2972" i="49"/>
  <c r="B2973" i="49"/>
  <c r="B2974" i="49"/>
  <c r="B2975" i="49"/>
  <c r="B2976" i="49"/>
  <c r="B2977" i="49"/>
  <c r="B2978" i="49"/>
  <c r="B2979" i="49"/>
  <c r="B2980" i="49"/>
  <c r="B2981" i="49"/>
  <c r="B2982" i="49"/>
  <c r="B2983" i="49"/>
  <c r="B2984" i="49"/>
  <c r="B2985" i="49"/>
  <c r="B2986" i="49"/>
  <c r="B2987" i="49"/>
  <c r="B2988" i="49"/>
  <c r="B2989" i="49"/>
  <c r="B2990" i="49"/>
  <c r="B2991" i="49"/>
  <c r="B2992" i="49"/>
  <c r="B2993" i="49"/>
  <c r="B2994" i="49"/>
  <c r="B2995" i="49"/>
  <c r="B2996" i="49"/>
  <c r="B2997" i="49"/>
  <c r="B2998" i="49"/>
  <c r="B2999" i="49"/>
  <c r="B3000" i="49"/>
  <c r="B3001" i="49"/>
  <c r="B3002" i="49"/>
  <c r="B3003" i="49"/>
  <c r="B3004" i="49"/>
  <c r="B3005" i="49"/>
  <c r="B3006" i="49"/>
  <c r="B3007" i="49"/>
  <c r="B3008" i="49"/>
  <c r="B3009" i="49"/>
  <c r="B3010" i="49"/>
  <c r="B3011" i="49"/>
  <c r="B3012" i="49"/>
  <c r="B3013" i="49"/>
  <c r="B3014" i="49"/>
  <c r="B3015" i="49"/>
  <c r="B3016" i="49"/>
  <c r="B3017" i="49"/>
  <c r="B3018" i="49"/>
  <c r="B3019" i="49"/>
  <c r="B3020" i="49"/>
  <c r="B3021" i="49"/>
  <c r="B3022" i="49"/>
  <c r="B3023" i="49"/>
  <c r="B3024" i="49"/>
  <c r="B3025" i="49"/>
  <c r="B3026" i="49"/>
  <c r="B3027" i="49"/>
  <c r="B3028" i="49"/>
  <c r="B3029" i="49"/>
  <c r="B3030" i="49"/>
  <c r="B3031" i="49"/>
  <c r="B3032" i="49"/>
  <c r="B3033" i="49"/>
  <c r="B3034" i="49"/>
  <c r="B3035" i="49"/>
  <c r="B3036" i="49"/>
  <c r="B3037" i="49"/>
  <c r="B3038" i="49"/>
  <c r="B3039" i="49"/>
  <c r="B3040" i="49"/>
  <c r="B3041" i="49"/>
  <c r="B3042" i="49"/>
  <c r="B3043" i="49"/>
  <c r="B3044" i="49"/>
  <c r="B3045" i="49"/>
  <c r="B3046" i="49"/>
  <c r="B3047" i="49"/>
  <c r="B3048" i="49"/>
  <c r="B3049" i="49"/>
  <c r="B3050" i="49"/>
  <c r="B3051" i="49"/>
  <c r="B3052" i="49"/>
  <c r="B3053" i="49"/>
  <c r="B3054" i="49"/>
  <c r="B3055" i="49"/>
  <c r="B3056" i="49"/>
  <c r="B3057" i="49"/>
  <c r="B3058" i="49"/>
  <c r="B3059" i="49"/>
  <c r="B3060" i="49"/>
  <c r="B3061" i="49"/>
  <c r="B3062" i="49"/>
  <c r="B3063" i="49"/>
  <c r="B3064" i="49"/>
  <c r="B3065" i="49"/>
  <c r="B3066" i="49"/>
  <c r="B3067" i="49"/>
  <c r="B3068" i="49"/>
  <c r="B3069" i="49"/>
  <c r="B3070" i="49"/>
  <c r="B3071" i="49"/>
  <c r="B3072" i="49"/>
  <c r="B3073" i="49"/>
  <c r="B3074" i="49"/>
  <c r="B3075" i="49"/>
  <c r="B3076" i="49"/>
  <c r="B3077" i="49"/>
  <c r="B3078" i="49"/>
  <c r="B3079" i="49"/>
  <c r="B3080" i="49"/>
  <c r="B3081" i="49"/>
  <c r="B3082" i="49"/>
  <c r="B3083" i="49"/>
  <c r="B3084" i="49"/>
  <c r="B3085" i="49"/>
  <c r="B3086" i="49"/>
  <c r="B3087" i="49"/>
  <c r="B3088" i="49"/>
  <c r="B3089" i="49"/>
  <c r="B3090" i="49"/>
  <c r="B3091" i="49"/>
  <c r="B3092" i="49"/>
  <c r="B3093" i="49"/>
  <c r="B3094" i="49"/>
  <c r="B3095" i="49"/>
  <c r="B3096" i="49"/>
  <c r="B3097" i="49"/>
  <c r="B3098" i="49"/>
  <c r="B3099" i="49"/>
  <c r="B3100" i="49"/>
  <c r="B3101" i="49"/>
  <c r="B3102" i="49"/>
  <c r="B3103" i="49"/>
  <c r="B3104" i="49"/>
  <c r="B3105" i="49"/>
  <c r="B3106" i="49"/>
  <c r="B3107" i="49"/>
  <c r="B3108" i="49"/>
  <c r="B3109" i="49"/>
  <c r="B3110" i="49"/>
  <c r="B3111" i="49"/>
  <c r="B3112" i="49"/>
  <c r="B3113" i="49"/>
  <c r="B3114" i="49"/>
  <c r="B3115" i="49"/>
  <c r="B3116" i="49"/>
  <c r="B3117" i="49"/>
  <c r="B3118" i="49"/>
  <c r="B3119" i="49"/>
  <c r="B3120" i="49"/>
  <c r="B3121" i="49"/>
  <c r="B3122" i="49"/>
  <c r="B3123" i="49"/>
  <c r="B3124" i="49"/>
  <c r="B3125" i="49"/>
  <c r="B3126" i="49"/>
  <c r="B3127" i="49"/>
  <c r="B3128" i="49"/>
  <c r="B3129" i="49"/>
  <c r="B3130" i="49"/>
  <c r="B3131" i="49"/>
  <c r="B3132" i="49"/>
  <c r="B3133" i="49"/>
  <c r="B3134" i="49"/>
  <c r="B3135" i="49"/>
  <c r="B3136" i="49"/>
  <c r="B3137" i="49"/>
  <c r="B3138" i="49"/>
  <c r="B3139" i="49"/>
  <c r="B3140" i="49"/>
  <c r="B3141" i="49"/>
  <c r="B3142" i="49"/>
  <c r="B3143" i="49"/>
  <c r="B3144" i="49"/>
  <c r="B3145" i="49"/>
  <c r="B3146" i="49"/>
  <c r="B3147" i="49"/>
  <c r="B3148" i="49"/>
  <c r="B3149" i="49"/>
  <c r="B3150" i="49"/>
  <c r="B3151" i="49"/>
  <c r="B3152" i="49"/>
  <c r="B3153" i="49"/>
  <c r="B3154" i="49"/>
  <c r="B3155" i="49"/>
  <c r="B3156" i="49"/>
  <c r="B3157" i="49"/>
  <c r="B3158" i="49"/>
  <c r="B3159" i="49"/>
  <c r="B3160" i="49"/>
  <c r="B3161" i="49"/>
  <c r="B3162" i="49"/>
  <c r="B3163" i="49"/>
  <c r="B3164" i="49"/>
  <c r="B3165" i="49"/>
  <c r="B3166" i="49"/>
  <c r="B3167" i="49"/>
  <c r="B3168" i="49"/>
  <c r="B3169" i="49"/>
  <c r="B3170" i="49"/>
  <c r="B3171" i="49"/>
  <c r="B3172" i="49"/>
  <c r="B3173" i="49"/>
  <c r="B3174" i="49"/>
  <c r="B3175" i="49"/>
  <c r="B3176" i="49"/>
  <c r="B3177" i="49"/>
  <c r="B3178" i="49"/>
  <c r="B3179" i="49"/>
  <c r="B3180" i="49"/>
  <c r="B3181" i="49"/>
  <c r="B3182" i="49"/>
  <c r="B3183" i="49"/>
  <c r="B3184" i="49"/>
  <c r="B3185" i="49"/>
  <c r="B3186" i="49"/>
  <c r="B3187" i="49"/>
  <c r="B3188" i="49"/>
  <c r="B3189" i="49"/>
  <c r="B3190" i="49"/>
  <c r="B3191" i="49"/>
  <c r="B3192" i="49"/>
  <c r="B3193" i="49"/>
  <c r="B3194" i="49"/>
  <c r="B3195" i="49"/>
  <c r="B3196" i="49"/>
  <c r="B3197" i="49"/>
  <c r="B3198" i="49"/>
  <c r="B3199" i="49"/>
  <c r="B3200" i="49"/>
  <c r="B3201" i="49"/>
  <c r="B3202" i="49"/>
  <c r="B3203" i="49"/>
  <c r="B3204" i="49"/>
  <c r="B3205" i="49"/>
  <c r="B3206" i="49"/>
  <c r="B3207" i="49"/>
  <c r="B3208" i="49"/>
  <c r="B3209" i="49"/>
  <c r="B3210" i="49"/>
  <c r="B3211" i="49"/>
  <c r="B3212" i="49"/>
  <c r="B3213" i="49"/>
  <c r="B3214" i="49"/>
  <c r="B3215" i="49"/>
  <c r="B3216" i="49"/>
  <c r="B3217" i="49"/>
  <c r="B3218" i="49"/>
  <c r="B3219" i="49"/>
  <c r="B3220" i="49"/>
  <c r="B3221" i="49"/>
  <c r="B3222" i="49"/>
  <c r="B3223" i="49"/>
  <c r="B3224" i="49"/>
  <c r="B3225" i="49"/>
  <c r="B3226" i="49"/>
  <c r="B3227" i="49"/>
  <c r="B3228" i="49"/>
  <c r="B3229" i="49"/>
  <c r="B3230" i="49"/>
  <c r="B3231" i="49"/>
  <c r="B3232" i="49"/>
  <c r="B3233" i="49"/>
  <c r="B3234" i="49"/>
  <c r="B3235" i="49"/>
  <c r="B3236" i="49"/>
  <c r="B3237" i="49"/>
  <c r="B3238" i="49"/>
  <c r="B3239" i="49"/>
  <c r="B3240" i="49"/>
  <c r="B3241" i="49"/>
  <c r="B3242" i="49"/>
  <c r="B3243" i="49"/>
  <c r="B3244" i="49"/>
  <c r="B3245" i="49"/>
  <c r="B3246" i="49"/>
  <c r="B3247" i="49"/>
  <c r="B3248" i="49"/>
  <c r="B3249" i="49"/>
  <c r="B3250" i="49"/>
  <c r="B3251" i="49"/>
  <c r="B3252" i="49"/>
  <c r="B3253" i="49"/>
  <c r="B3254" i="49"/>
  <c r="B3255" i="49"/>
  <c r="B3256" i="49"/>
  <c r="B3257" i="49"/>
  <c r="B3258" i="49"/>
  <c r="B3259" i="49"/>
  <c r="B3260" i="49"/>
  <c r="B3261" i="49"/>
  <c r="B3262" i="49"/>
  <c r="B3263" i="49"/>
  <c r="B3264" i="49"/>
  <c r="B3265" i="49"/>
  <c r="B3266" i="49"/>
  <c r="B3267" i="49"/>
  <c r="B3268" i="49"/>
  <c r="B3269" i="49"/>
  <c r="B3270" i="49"/>
  <c r="B3271" i="49"/>
  <c r="B3272" i="49"/>
  <c r="B3273" i="49"/>
  <c r="B3274" i="49"/>
  <c r="B3275" i="49"/>
  <c r="B3276" i="49"/>
  <c r="B3277" i="49"/>
  <c r="B3278" i="49"/>
  <c r="B3279" i="49"/>
  <c r="B3280" i="49"/>
  <c r="B3281" i="49"/>
  <c r="B3282" i="49"/>
  <c r="B3283" i="49"/>
  <c r="B3284" i="49"/>
  <c r="B3285" i="49"/>
  <c r="B3286" i="49"/>
  <c r="B3287" i="49"/>
  <c r="B3288" i="49"/>
  <c r="B3289" i="49"/>
  <c r="B3290" i="49"/>
  <c r="B3291" i="49"/>
  <c r="B3292" i="49"/>
  <c r="B3293" i="49"/>
  <c r="B3294" i="49"/>
  <c r="B3295" i="49"/>
  <c r="B3296" i="49"/>
  <c r="B3297" i="49"/>
  <c r="B3298" i="49"/>
  <c r="B3299" i="49"/>
  <c r="B3300" i="49"/>
  <c r="B3301" i="49"/>
  <c r="B3302" i="49"/>
  <c r="B3303" i="49"/>
  <c r="B3304" i="49"/>
  <c r="B3305" i="49"/>
  <c r="B3306" i="49"/>
  <c r="B3307" i="49"/>
  <c r="B3308" i="49"/>
  <c r="B3309" i="49"/>
  <c r="B3310" i="49"/>
  <c r="B3311" i="49"/>
  <c r="B3312" i="49"/>
  <c r="B3313" i="49"/>
  <c r="B3314" i="49"/>
  <c r="B3315" i="49"/>
  <c r="B3316" i="49"/>
  <c r="B3317" i="49"/>
  <c r="B3318" i="49"/>
  <c r="B3319" i="49"/>
  <c r="B3320" i="49"/>
  <c r="B3321" i="49"/>
  <c r="B3322" i="49"/>
  <c r="B3323" i="49"/>
  <c r="B3324" i="49"/>
  <c r="B3325" i="49"/>
  <c r="B3326" i="49"/>
  <c r="B3327" i="49"/>
  <c r="B3328" i="49"/>
  <c r="B3329" i="49"/>
  <c r="B3330" i="49"/>
  <c r="B3331" i="49"/>
  <c r="B3332" i="49"/>
  <c r="B3333" i="49"/>
  <c r="B3334" i="49"/>
  <c r="B3335" i="49"/>
  <c r="B3336" i="49"/>
  <c r="B3337" i="49"/>
  <c r="B3338" i="49"/>
  <c r="B3339" i="49"/>
  <c r="B3340" i="49"/>
  <c r="B3341" i="49"/>
  <c r="B3342" i="49"/>
  <c r="B3343" i="49"/>
  <c r="B3344" i="49"/>
  <c r="B3345" i="49"/>
  <c r="B3346" i="49"/>
  <c r="B3347" i="49"/>
  <c r="B3348" i="49"/>
  <c r="B3349" i="49"/>
  <c r="B3350" i="49"/>
  <c r="B3351" i="49"/>
  <c r="B3352" i="49"/>
  <c r="B3353" i="49"/>
  <c r="B3354" i="49"/>
  <c r="B3355" i="49"/>
  <c r="B3356" i="49"/>
  <c r="B3357" i="49"/>
  <c r="B3358" i="49"/>
  <c r="B3359" i="49"/>
  <c r="B3360" i="49"/>
  <c r="B3361" i="49"/>
  <c r="B3362" i="49"/>
  <c r="B3363" i="49"/>
  <c r="B3364" i="49"/>
  <c r="B3365" i="49"/>
  <c r="B3366" i="49"/>
  <c r="B3367" i="49"/>
  <c r="B3368" i="49"/>
  <c r="B3369" i="49"/>
  <c r="B3370" i="49"/>
  <c r="B3371" i="49"/>
  <c r="B3372" i="49"/>
  <c r="B3373" i="49"/>
  <c r="B3374" i="49"/>
  <c r="B3375" i="49"/>
  <c r="B3376" i="49"/>
  <c r="B3377" i="49"/>
  <c r="B3378" i="49"/>
  <c r="B3379" i="49"/>
  <c r="B3380" i="49"/>
  <c r="B3381" i="49"/>
  <c r="B3382" i="49"/>
  <c r="B3383" i="49"/>
  <c r="B3384" i="49"/>
  <c r="B3385" i="49"/>
  <c r="B3386" i="49"/>
  <c r="B3387" i="49"/>
  <c r="B3388" i="49"/>
  <c r="B3389" i="49"/>
  <c r="B3390" i="49"/>
  <c r="B3391" i="49"/>
  <c r="B3392" i="49"/>
  <c r="B3393" i="49"/>
  <c r="B3394" i="49"/>
  <c r="B3395" i="49"/>
  <c r="B3396" i="49"/>
  <c r="B3397" i="49"/>
  <c r="B3398" i="49"/>
  <c r="B3399" i="49"/>
  <c r="B3400" i="49"/>
  <c r="B3401" i="49"/>
  <c r="B3402" i="49"/>
  <c r="B3403" i="49"/>
  <c r="B3404" i="49"/>
  <c r="B3405" i="49"/>
  <c r="B3406" i="49"/>
  <c r="B3407" i="49"/>
  <c r="B3408" i="49"/>
  <c r="B3409" i="49"/>
  <c r="B3410" i="49"/>
  <c r="B3411" i="49"/>
  <c r="B3412" i="49"/>
  <c r="B3413" i="49"/>
  <c r="B3414" i="49"/>
  <c r="B3415" i="49"/>
  <c r="B3416" i="49"/>
  <c r="B3417" i="49"/>
  <c r="B3418" i="49"/>
  <c r="B3419" i="49"/>
  <c r="B3420" i="49"/>
  <c r="B3421" i="49"/>
  <c r="B3422" i="49"/>
  <c r="B3423" i="49"/>
  <c r="B3424" i="49"/>
  <c r="B3425" i="49"/>
  <c r="B3426" i="49"/>
  <c r="B3427" i="49"/>
  <c r="B3428" i="49"/>
  <c r="B3429" i="49"/>
  <c r="B3430" i="49"/>
  <c r="B3431" i="49"/>
  <c r="B3432" i="49"/>
  <c r="B3433" i="49"/>
  <c r="B3434" i="49"/>
  <c r="B3435" i="49"/>
  <c r="B3436" i="49"/>
  <c r="B3437" i="49"/>
  <c r="B3438" i="49"/>
  <c r="B3439" i="49"/>
  <c r="B3440" i="49"/>
  <c r="B3441" i="49"/>
  <c r="B3442" i="49"/>
  <c r="B3443" i="49"/>
  <c r="B3444" i="49"/>
  <c r="B3445" i="49"/>
  <c r="B3446" i="49"/>
  <c r="B3447" i="49"/>
  <c r="B3448" i="49"/>
  <c r="B3449" i="49"/>
  <c r="B3450" i="49"/>
  <c r="B3451" i="49"/>
  <c r="B3452" i="49"/>
  <c r="B3453" i="49"/>
  <c r="B3454" i="49"/>
  <c r="B3455" i="49"/>
  <c r="B3456" i="49"/>
  <c r="B3457" i="49"/>
  <c r="B3458" i="49"/>
  <c r="B3459" i="49"/>
  <c r="B3460" i="49"/>
  <c r="B3461" i="49"/>
  <c r="B3462" i="49"/>
  <c r="B3463" i="49"/>
  <c r="B3464" i="49"/>
  <c r="B3465" i="49"/>
  <c r="B3466" i="49"/>
  <c r="B3467" i="49"/>
  <c r="B3468" i="49"/>
  <c r="B3469" i="49"/>
  <c r="B3470" i="49"/>
  <c r="B3471" i="49"/>
  <c r="B3472" i="49"/>
  <c r="B3473" i="49"/>
  <c r="B3474" i="49"/>
  <c r="B3475" i="49"/>
  <c r="B3476" i="49"/>
  <c r="B3477" i="49"/>
  <c r="B3478" i="49"/>
  <c r="B3479" i="49"/>
  <c r="B3480" i="49"/>
  <c r="B3481" i="49"/>
  <c r="B3482" i="49"/>
  <c r="B3483" i="49"/>
  <c r="B3484" i="49"/>
  <c r="B3485" i="49"/>
  <c r="B3486" i="49"/>
  <c r="B3487" i="49"/>
  <c r="B3488" i="49"/>
  <c r="B3489" i="49"/>
  <c r="B3490" i="49"/>
  <c r="B3491" i="49"/>
  <c r="B3492" i="49"/>
  <c r="B3493" i="49"/>
  <c r="B3494" i="49"/>
  <c r="B3495" i="49"/>
  <c r="B3496" i="49"/>
  <c r="B3497" i="49"/>
  <c r="B3498" i="49"/>
  <c r="B3499" i="49"/>
  <c r="B3500" i="49"/>
  <c r="B3501" i="49"/>
  <c r="B3502" i="49"/>
  <c r="B3503" i="49"/>
  <c r="B3504" i="49"/>
  <c r="B3505" i="49"/>
  <c r="B3506" i="49"/>
  <c r="B3507" i="49"/>
  <c r="B3508" i="49"/>
  <c r="B3509" i="49"/>
  <c r="B3510" i="49"/>
  <c r="B3511" i="49"/>
  <c r="B3512" i="49"/>
  <c r="B3513" i="49"/>
  <c r="B3514" i="49"/>
  <c r="B3515" i="49"/>
  <c r="B3516" i="49"/>
  <c r="B3517" i="49"/>
  <c r="B3518" i="49"/>
  <c r="B3519" i="49"/>
  <c r="B3520" i="49"/>
  <c r="B3521" i="49"/>
  <c r="B3522" i="49"/>
  <c r="B3523" i="49"/>
  <c r="B3524" i="49"/>
  <c r="B3525" i="49"/>
  <c r="B3526" i="49"/>
  <c r="B3527" i="49"/>
  <c r="B3528" i="49"/>
  <c r="B3529" i="49"/>
  <c r="B3530" i="49"/>
  <c r="B3531" i="49"/>
  <c r="B3532" i="49"/>
  <c r="B3533" i="49"/>
  <c r="B3534" i="49"/>
  <c r="B3535" i="49"/>
  <c r="B3536" i="49"/>
  <c r="B3537" i="49"/>
  <c r="B3538" i="49"/>
  <c r="B3539" i="49"/>
  <c r="B3540" i="49"/>
  <c r="B3541" i="49"/>
  <c r="B3542" i="49"/>
  <c r="B3543" i="49"/>
  <c r="B3544" i="49"/>
  <c r="B3545" i="49"/>
  <c r="B3546" i="49"/>
  <c r="B3547" i="49"/>
  <c r="B3548" i="49"/>
  <c r="B3549" i="49"/>
  <c r="B3550" i="49"/>
  <c r="B3551" i="49"/>
  <c r="B3552" i="49"/>
  <c r="B3553" i="49"/>
  <c r="B3554" i="49"/>
  <c r="B3555" i="49"/>
  <c r="B3556" i="49"/>
  <c r="B3557" i="49"/>
  <c r="B3558" i="49"/>
  <c r="B3559" i="49"/>
  <c r="B3560" i="49"/>
  <c r="B3561" i="49"/>
  <c r="B3562" i="49"/>
  <c r="B3563" i="49"/>
  <c r="B3564" i="49"/>
  <c r="B3565" i="49"/>
  <c r="B3566" i="49"/>
  <c r="B3567" i="49"/>
  <c r="B3568" i="49"/>
  <c r="B3569" i="49"/>
  <c r="B3570" i="49"/>
  <c r="B3571" i="49"/>
  <c r="B3572" i="49"/>
  <c r="B3573" i="49"/>
  <c r="B3574" i="49"/>
  <c r="B3575" i="49"/>
  <c r="B3576" i="49"/>
  <c r="B3577" i="49"/>
  <c r="B3578" i="49"/>
  <c r="B3579" i="49"/>
  <c r="B3580" i="49"/>
  <c r="B3581" i="49"/>
  <c r="B3582" i="49"/>
  <c r="B3583" i="49"/>
  <c r="B3584" i="49"/>
  <c r="B3585" i="49"/>
  <c r="B3586" i="49"/>
  <c r="B3587" i="49"/>
  <c r="B3588" i="49"/>
  <c r="B3589" i="49"/>
  <c r="B3590" i="49"/>
  <c r="B3591" i="49"/>
  <c r="B3592" i="49"/>
  <c r="B3593" i="49"/>
  <c r="B3594" i="49"/>
  <c r="B3595" i="49"/>
  <c r="B3596" i="49"/>
  <c r="B3597" i="49"/>
  <c r="B3598" i="49"/>
  <c r="B3599" i="49"/>
  <c r="B3600" i="49"/>
  <c r="B3601" i="49"/>
  <c r="B3602" i="49"/>
  <c r="B3603" i="49"/>
  <c r="B3604" i="49"/>
  <c r="B3605" i="49"/>
  <c r="B3606" i="49"/>
  <c r="B3607" i="49"/>
  <c r="B3608" i="49"/>
  <c r="B3609" i="49"/>
  <c r="B3610" i="49"/>
  <c r="B3611" i="49"/>
  <c r="B3612" i="49"/>
  <c r="B3613" i="49"/>
  <c r="B3614" i="49"/>
  <c r="B3615" i="49"/>
  <c r="B3616" i="49"/>
  <c r="B3617" i="49"/>
  <c r="B3618" i="49"/>
  <c r="B3619" i="49"/>
  <c r="B3620" i="49"/>
  <c r="B3621" i="49"/>
  <c r="B3622" i="49"/>
  <c r="B3623" i="49"/>
  <c r="B3624" i="49"/>
  <c r="B3625" i="49"/>
  <c r="B3626" i="49"/>
  <c r="B3627" i="49"/>
  <c r="B3628" i="49"/>
  <c r="B3629" i="49"/>
  <c r="B3630" i="49"/>
  <c r="B3631" i="49"/>
  <c r="B3632" i="49"/>
  <c r="B3633" i="49"/>
  <c r="B3634" i="49"/>
  <c r="B3635" i="49"/>
  <c r="B3636" i="49"/>
  <c r="B3637" i="49"/>
  <c r="B3638" i="49"/>
  <c r="B3639" i="49"/>
  <c r="B3640" i="49"/>
  <c r="B3641" i="49"/>
  <c r="B3642" i="49"/>
  <c r="B3643" i="49"/>
  <c r="B3644" i="49"/>
  <c r="B3645" i="49"/>
  <c r="B3646" i="49"/>
  <c r="B3647" i="49"/>
  <c r="B3648" i="49"/>
  <c r="B3649" i="49"/>
  <c r="B3650" i="49"/>
  <c r="B3651" i="49"/>
  <c r="B3652" i="49"/>
  <c r="B3653" i="49"/>
  <c r="B3654" i="49"/>
  <c r="B3655" i="49"/>
  <c r="B3656" i="49"/>
  <c r="B3657" i="49"/>
  <c r="B3658" i="49"/>
  <c r="B3659" i="49"/>
  <c r="B3660" i="49"/>
  <c r="B3661" i="49"/>
  <c r="B3662" i="49"/>
  <c r="B3663" i="49"/>
  <c r="B3664" i="49"/>
  <c r="B3665" i="49"/>
  <c r="B3666" i="49"/>
  <c r="B3667" i="49"/>
  <c r="B3668" i="49"/>
  <c r="B3669" i="49"/>
  <c r="B3670" i="49"/>
  <c r="B3671" i="49"/>
  <c r="B3672" i="49"/>
  <c r="B3673" i="49"/>
  <c r="B3674" i="49"/>
  <c r="B3675" i="49"/>
  <c r="B3676" i="49"/>
  <c r="B3677" i="49"/>
  <c r="B3678" i="49"/>
  <c r="B3679" i="49"/>
  <c r="B3680" i="49"/>
  <c r="B3681" i="49"/>
  <c r="B3682" i="49"/>
  <c r="B3683" i="49"/>
  <c r="B3684" i="49"/>
  <c r="B3685" i="49"/>
  <c r="B3686" i="49"/>
  <c r="B3687" i="49"/>
  <c r="B3688" i="49"/>
  <c r="B3689" i="49"/>
  <c r="B3690" i="49"/>
  <c r="B3691" i="49"/>
  <c r="B3692" i="49"/>
  <c r="B3693" i="49"/>
  <c r="B3694" i="49"/>
  <c r="B3695" i="49"/>
  <c r="B3696" i="49"/>
  <c r="B3697" i="49"/>
  <c r="B3698" i="49"/>
  <c r="B3699" i="49"/>
  <c r="B3700" i="49"/>
  <c r="B3701" i="49"/>
  <c r="B3702" i="49"/>
  <c r="B3703" i="49"/>
  <c r="B3704" i="49"/>
  <c r="B3705" i="49"/>
  <c r="B3706" i="49"/>
  <c r="B3707" i="49"/>
  <c r="B3708" i="49"/>
  <c r="B3709" i="49"/>
  <c r="B3710" i="49"/>
  <c r="B3711" i="49"/>
  <c r="B3712" i="49"/>
  <c r="B3713" i="49"/>
  <c r="B3714" i="49"/>
  <c r="B3715" i="49"/>
  <c r="B3716" i="49"/>
  <c r="B3717" i="49"/>
  <c r="B3718" i="49"/>
  <c r="B3719" i="49"/>
  <c r="B3720" i="49"/>
  <c r="B3721" i="49"/>
  <c r="B3722" i="49"/>
  <c r="B3723" i="49"/>
  <c r="B3724" i="49"/>
  <c r="B3725" i="49"/>
  <c r="B3726" i="49"/>
  <c r="B3727" i="49"/>
  <c r="B3728" i="49"/>
  <c r="B3729" i="49"/>
  <c r="B3730" i="49"/>
  <c r="B3731" i="49"/>
  <c r="B3732" i="49"/>
  <c r="B3733" i="49"/>
  <c r="B3734" i="49"/>
  <c r="B3735" i="49"/>
  <c r="B3736" i="49"/>
  <c r="B3737" i="49"/>
  <c r="B3738" i="49"/>
  <c r="B3739" i="49"/>
  <c r="B3740" i="49"/>
  <c r="B3741" i="49"/>
  <c r="B3742" i="49"/>
  <c r="B3743" i="49"/>
  <c r="B3744" i="49"/>
  <c r="B3745" i="49"/>
  <c r="B3746" i="49"/>
  <c r="B3747" i="49"/>
  <c r="B3748" i="49"/>
  <c r="B3749" i="49"/>
  <c r="B3750" i="49"/>
  <c r="B3751" i="49"/>
  <c r="B3752" i="49"/>
  <c r="B3753" i="49"/>
  <c r="B3754" i="49"/>
  <c r="B3755" i="49"/>
  <c r="B3756" i="49"/>
  <c r="B3757" i="49"/>
  <c r="B3758" i="49"/>
  <c r="B3759" i="49"/>
  <c r="B3760" i="49"/>
  <c r="B3761" i="49"/>
  <c r="B3762" i="49"/>
  <c r="B3763" i="49"/>
  <c r="B3764" i="49"/>
  <c r="B3765" i="49"/>
  <c r="B3766" i="49"/>
  <c r="B3767" i="49"/>
  <c r="B3768" i="49"/>
  <c r="B3769" i="49"/>
  <c r="B3770" i="49"/>
  <c r="B3771" i="49"/>
  <c r="B3772" i="49"/>
  <c r="B3773" i="49"/>
  <c r="B3774" i="49"/>
  <c r="B3775" i="49"/>
  <c r="B3776" i="49"/>
  <c r="B3777" i="49"/>
  <c r="B3778" i="49"/>
  <c r="B3779" i="49"/>
  <c r="B3780" i="49"/>
  <c r="B3781" i="49"/>
  <c r="B3782" i="49"/>
  <c r="B3783" i="49"/>
  <c r="B3784" i="49"/>
  <c r="B3785" i="49"/>
  <c r="B3786" i="49"/>
  <c r="B3787" i="49"/>
  <c r="B3788" i="49"/>
  <c r="B3789" i="49"/>
  <c r="B3790" i="49"/>
  <c r="B3791" i="49"/>
  <c r="B3792" i="49"/>
  <c r="B3793" i="49"/>
  <c r="B3794" i="49"/>
  <c r="B3795" i="49"/>
  <c r="B3796" i="49"/>
  <c r="B3797" i="49"/>
  <c r="B3798" i="49"/>
  <c r="B3799" i="49"/>
  <c r="B3800" i="49"/>
  <c r="B3801" i="49"/>
  <c r="B3802" i="49"/>
  <c r="B3803" i="49"/>
  <c r="B3804" i="49"/>
  <c r="B3805" i="49"/>
  <c r="B3806" i="49"/>
  <c r="B3807" i="49"/>
  <c r="B3808" i="49"/>
  <c r="B3809" i="49"/>
  <c r="B3810" i="49"/>
  <c r="B3811" i="49"/>
  <c r="B3812" i="49"/>
  <c r="B3813" i="49"/>
  <c r="B3814" i="49"/>
  <c r="B3815" i="49"/>
  <c r="B3816" i="49"/>
  <c r="B3817" i="49"/>
  <c r="B3818" i="49"/>
  <c r="B3819" i="49"/>
  <c r="B3820" i="49"/>
  <c r="B3821" i="49"/>
  <c r="B3822" i="49"/>
  <c r="B3823" i="49"/>
  <c r="B3824" i="49"/>
  <c r="B3825" i="49"/>
  <c r="B3826" i="49"/>
  <c r="B3827" i="49"/>
  <c r="B3828" i="49"/>
  <c r="B3829" i="49"/>
  <c r="B3830" i="49"/>
  <c r="B3831" i="49"/>
  <c r="B3832" i="49"/>
  <c r="B3833" i="49"/>
  <c r="B3834" i="49"/>
  <c r="B3835" i="49"/>
  <c r="B3836" i="49"/>
  <c r="B3837" i="49"/>
  <c r="B3838" i="49"/>
  <c r="B3839" i="49"/>
  <c r="B3840" i="49"/>
  <c r="B3841" i="49"/>
  <c r="B3842" i="49"/>
  <c r="B3843" i="49"/>
  <c r="B3844" i="49"/>
  <c r="B3845" i="49"/>
  <c r="B3846" i="49"/>
  <c r="B3847" i="49"/>
  <c r="B3848" i="49"/>
  <c r="B3849" i="49"/>
  <c r="B3850" i="49"/>
  <c r="B3851" i="49"/>
  <c r="B3852" i="49"/>
  <c r="B3853" i="49"/>
  <c r="B3854" i="49"/>
  <c r="B3855" i="49"/>
  <c r="B3856" i="49"/>
  <c r="B3857" i="49"/>
  <c r="B3858" i="49"/>
  <c r="B3859" i="49"/>
  <c r="B3860" i="49"/>
  <c r="B3861" i="49"/>
  <c r="B3862" i="49"/>
  <c r="B3863" i="49"/>
  <c r="B3864" i="49"/>
  <c r="B3865" i="49"/>
  <c r="B3866" i="49"/>
  <c r="B3867" i="49"/>
  <c r="B3868" i="49"/>
  <c r="B3869" i="49"/>
  <c r="B3870" i="49"/>
  <c r="B3871" i="49"/>
  <c r="B3872" i="49"/>
  <c r="B3873" i="49"/>
  <c r="B3874" i="49"/>
  <c r="B3875" i="49"/>
  <c r="B3876" i="49"/>
  <c r="B3877" i="49"/>
  <c r="B3878" i="49"/>
  <c r="B3879" i="49"/>
  <c r="B3880" i="49"/>
  <c r="B3881" i="49"/>
  <c r="B3882" i="49"/>
  <c r="B3883" i="49"/>
  <c r="B3884" i="49"/>
  <c r="B3885" i="49"/>
  <c r="B3886" i="49"/>
  <c r="B3887" i="49"/>
  <c r="B3888" i="49"/>
  <c r="B3889" i="49"/>
  <c r="B3890" i="49"/>
  <c r="B3891" i="49"/>
  <c r="B3892" i="49"/>
  <c r="B3893" i="49"/>
  <c r="B3894" i="49"/>
  <c r="B3895" i="49"/>
  <c r="B3896" i="49"/>
  <c r="B3897" i="49"/>
  <c r="B3898" i="49"/>
  <c r="B3899" i="49"/>
  <c r="B3900" i="49"/>
  <c r="B3901" i="49"/>
  <c r="B3902" i="49"/>
  <c r="B3903" i="49"/>
  <c r="B3904" i="49"/>
  <c r="B3905" i="49"/>
  <c r="B3906" i="49"/>
  <c r="B3907" i="49"/>
  <c r="B3908" i="49"/>
  <c r="B3909" i="49"/>
  <c r="B3910" i="49"/>
  <c r="B3911" i="49"/>
  <c r="B3912" i="49"/>
  <c r="B3913" i="49"/>
  <c r="B3914" i="49"/>
  <c r="B3915" i="49"/>
  <c r="B3916" i="49"/>
  <c r="B3917" i="49"/>
  <c r="B3918" i="49"/>
  <c r="B3919" i="49"/>
  <c r="B3920" i="49"/>
  <c r="B3921" i="49"/>
  <c r="B3922" i="49"/>
  <c r="B3923" i="49"/>
  <c r="B3924" i="49"/>
  <c r="B3925" i="49"/>
  <c r="B3926" i="49"/>
  <c r="B3927" i="49"/>
  <c r="B3928" i="49"/>
  <c r="B3929" i="49"/>
  <c r="B3930" i="49"/>
  <c r="B3931" i="49"/>
  <c r="B3932" i="49"/>
  <c r="B3933" i="49"/>
  <c r="B3934" i="49"/>
  <c r="B3935" i="49"/>
  <c r="B3936" i="49"/>
  <c r="B3937" i="49"/>
  <c r="B3938" i="49"/>
  <c r="B3939" i="49"/>
  <c r="B3940" i="49"/>
  <c r="B3941" i="49"/>
  <c r="B3942" i="49"/>
  <c r="B3943" i="49"/>
  <c r="B3944" i="49"/>
  <c r="B3945" i="49"/>
  <c r="B3946" i="49"/>
  <c r="B3947" i="49"/>
  <c r="B3948" i="49"/>
  <c r="B3949" i="49"/>
  <c r="B3950" i="49"/>
  <c r="B3951" i="49"/>
  <c r="B3952" i="49"/>
  <c r="B3953" i="49"/>
  <c r="B3954" i="49"/>
  <c r="B3955" i="49"/>
  <c r="B3956" i="49"/>
  <c r="B3957" i="49"/>
  <c r="B3958" i="49"/>
  <c r="B3959" i="49"/>
  <c r="B3960" i="49"/>
  <c r="B3961" i="49"/>
  <c r="B3962" i="49"/>
  <c r="B3963" i="49"/>
  <c r="B3964" i="49"/>
  <c r="B3965" i="49"/>
  <c r="B3966" i="49"/>
  <c r="B3967" i="49"/>
  <c r="B3968" i="49"/>
  <c r="B3969" i="49"/>
  <c r="B3970" i="49"/>
  <c r="B3971" i="49"/>
  <c r="B3972" i="49"/>
  <c r="B3973" i="49"/>
  <c r="B3974" i="49"/>
  <c r="B3975" i="49"/>
  <c r="B3976" i="49"/>
  <c r="B3977" i="49"/>
  <c r="B3978" i="49"/>
  <c r="B3979" i="49"/>
  <c r="B3980" i="49"/>
  <c r="B3981" i="49"/>
  <c r="B3982" i="49"/>
  <c r="B3983" i="49"/>
  <c r="B3984" i="49"/>
  <c r="B3985" i="49"/>
  <c r="B3986" i="49"/>
  <c r="B3987" i="49"/>
  <c r="B3988" i="49"/>
  <c r="B3989" i="49"/>
  <c r="B3990" i="49"/>
  <c r="B3991" i="49"/>
  <c r="B3992" i="49"/>
  <c r="B3993" i="49"/>
  <c r="B3994" i="49"/>
  <c r="B3995" i="49"/>
  <c r="B3996" i="49"/>
  <c r="B3997" i="49"/>
  <c r="B3998" i="49"/>
  <c r="B3999" i="49"/>
  <c r="B4000" i="49"/>
  <c r="B4001" i="49"/>
  <c r="B4002" i="49"/>
  <c r="B4003" i="49"/>
  <c r="B4004" i="49"/>
  <c r="B4005" i="49"/>
  <c r="B4006" i="49"/>
  <c r="B4007" i="49"/>
  <c r="B4008" i="49"/>
  <c r="B4009" i="49"/>
  <c r="B4010" i="49"/>
  <c r="B4011" i="49"/>
  <c r="B4012" i="49"/>
  <c r="B4013" i="49"/>
  <c r="B4014" i="49"/>
  <c r="B4015" i="49"/>
  <c r="B4016" i="49"/>
  <c r="B4017" i="49"/>
  <c r="B4018" i="49"/>
  <c r="B4019" i="49"/>
  <c r="B4020" i="49"/>
  <c r="B4021" i="49"/>
  <c r="B4022" i="49"/>
  <c r="B4023" i="49"/>
  <c r="B4024" i="49"/>
  <c r="B4025" i="49"/>
  <c r="B4026" i="49"/>
  <c r="B4027" i="49"/>
  <c r="B4028" i="49"/>
  <c r="B4029" i="49"/>
  <c r="B4030" i="49"/>
  <c r="B4031" i="49"/>
  <c r="B4032" i="49"/>
  <c r="B4033" i="49"/>
  <c r="B4034" i="49"/>
  <c r="B4035" i="49"/>
  <c r="B4036" i="49"/>
  <c r="B4037" i="49"/>
  <c r="B4038" i="49"/>
  <c r="B4039" i="49"/>
  <c r="B4040" i="49"/>
  <c r="B4041" i="49"/>
  <c r="B4042" i="49"/>
  <c r="B4043" i="49"/>
  <c r="B4044" i="49"/>
  <c r="B4045" i="49"/>
  <c r="B4046" i="49"/>
  <c r="B4047" i="49"/>
  <c r="B4048" i="49"/>
  <c r="B4049" i="49"/>
  <c r="B4050" i="49"/>
  <c r="B4051" i="49"/>
  <c r="B4052" i="49"/>
  <c r="B4053" i="49"/>
  <c r="B4054" i="49"/>
  <c r="B4055" i="49"/>
  <c r="B4056" i="49"/>
  <c r="B4057" i="49"/>
  <c r="B4058" i="49"/>
  <c r="B4059" i="49"/>
  <c r="B4060" i="49"/>
  <c r="B4061" i="49"/>
  <c r="B4062" i="49"/>
  <c r="B4063" i="49"/>
  <c r="B4064" i="49"/>
  <c r="B4065" i="49"/>
  <c r="B4066" i="49"/>
  <c r="B4067" i="49"/>
  <c r="B4068" i="49"/>
  <c r="B4069" i="49"/>
  <c r="B4070" i="49"/>
  <c r="B4071" i="49"/>
  <c r="B4072" i="49"/>
  <c r="B4073" i="49"/>
  <c r="B4074" i="49"/>
  <c r="B4075" i="49"/>
  <c r="B4076" i="49"/>
  <c r="B4077" i="49"/>
  <c r="B4078" i="49"/>
  <c r="B4079" i="49"/>
  <c r="B4080" i="49"/>
  <c r="B4081" i="49"/>
  <c r="B4082" i="49"/>
  <c r="B4083" i="49"/>
  <c r="B4084" i="49"/>
  <c r="B4085" i="49"/>
  <c r="B4086" i="49"/>
  <c r="B4087" i="49"/>
  <c r="B4088" i="49"/>
  <c r="B4089" i="49"/>
  <c r="B4090" i="49"/>
  <c r="B4091" i="49"/>
  <c r="B4092" i="49"/>
  <c r="B4093" i="49"/>
  <c r="B4094" i="49"/>
  <c r="B4095" i="49"/>
  <c r="B4096" i="49"/>
  <c r="B4097" i="49"/>
  <c r="B4098" i="49"/>
  <c r="B4099" i="49"/>
  <c r="B4100" i="49"/>
  <c r="B4101" i="49"/>
  <c r="B4102" i="49"/>
  <c r="B4103" i="49"/>
  <c r="B4104" i="49"/>
  <c r="B4105" i="49"/>
  <c r="B4106" i="49"/>
  <c r="B4107" i="49"/>
  <c r="B4108" i="49"/>
  <c r="B4109" i="49"/>
  <c r="B4110" i="49"/>
  <c r="B4111" i="49"/>
  <c r="B4112" i="49"/>
  <c r="B4113" i="49"/>
  <c r="B4114" i="49"/>
  <c r="B4115" i="49"/>
  <c r="B4116" i="49"/>
  <c r="B4117" i="49"/>
  <c r="B4118" i="49"/>
  <c r="B4119" i="49"/>
  <c r="B4120" i="49"/>
  <c r="B4121" i="49"/>
  <c r="B4122" i="49"/>
  <c r="B4123" i="49"/>
  <c r="B4124" i="49"/>
  <c r="B4125" i="49"/>
  <c r="B4126" i="49"/>
  <c r="B4127" i="49"/>
  <c r="B4128" i="49"/>
  <c r="B4129" i="49"/>
  <c r="B4130" i="49"/>
  <c r="B4131" i="49"/>
  <c r="B4132" i="49"/>
  <c r="B4133" i="49"/>
  <c r="B4134" i="49"/>
  <c r="B4135" i="49"/>
  <c r="B4136" i="49"/>
  <c r="B4137" i="49"/>
  <c r="B4138" i="49"/>
  <c r="B4139" i="49"/>
  <c r="B4140" i="49"/>
  <c r="B4141" i="49"/>
  <c r="B4142" i="49"/>
  <c r="B4143" i="49"/>
  <c r="B4144" i="49"/>
  <c r="B4145" i="49"/>
  <c r="B4146" i="49"/>
  <c r="B4147" i="49"/>
  <c r="B4148" i="49"/>
  <c r="B4149" i="49"/>
  <c r="B4150" i="49"/>
  <c r="B4151" i="49"/>
  <c r="B4152" i="49"/>
  <c r="B4153" i="49"/>
  <c r="B4154" i="49"/>
  <c r="B4155" i="49"/>
  <c r="B4156" i="49"/>
  <c r="B4157" i="49"/>
  <c r="B4158" i="49"/>
  <c r="B4159" i="49"/>
  <c r="B4160" i="49"/>
  <c r="B4161" i="49"/>
  <c r="B4162" i="49"/>
  <c r="B4163" i="49"/>
  <c r="B4164" i="49"/>
  <c r="B4165" i="49"/>
  <c r="B4166" i="49"/>
  <c r="B4167" i="49"/>
  <c r="B4168" i="49"/>
  <c r="B4169" i="49"/>
  <c r="B4170" i="49"/>
  <c r="B4171" i="49"/>
  <c r="B4172" i="49"/>
  <c r="B4173" i="49"/>
  <c r="B4174" i="49"/>
  <c r="B4175" i="49"/>
  <c r="B4176" i="49"/>
  <c r="B4177" i="49"/>
  <c r="B4178" i="49"/>
  <c r="B4179" i="49"/>
  <c r="B4180" i="49"/>
  <c r="B4181" i="49"/>
  <c r="B4182" i="49"/>
  <c r="B4183" i="49"/>
  <c r="B4184" i="49"/>
  <c r="B4185" i="49"/>
  <c r="B4186" i="49"/>
  <c r="B4187" i="49"/>
  <c r="B4188" i="49"/>
  <c r="B4189" i="49"/>
  <c r="B4190" i="49"/>
  <c r="B4191" i="49"/>
  <c r="B4192" i="49"/>
  <c r="B4193" i="49"/>
  <c r="B4194" i="49"/>
  <c r="B4195" i="49"/>
  <c r="B4196" i="49"/>
  <c r="B4197" i="49"/>
  <c r="B4198" i="49"/>
  <c r="B4199" i="49"/>
  <c r="B4200" i="49"/>
  <c r="B4201" i="49"/>
  <c r="B4202" i="49"/>
  <c r="B4203" i="49"/>
  <c r="B4204" i="49"/>
  <c r="B4205" i="49"/>
  <c r="B4206" i="49"/>
  <c r="B4207" i="49"/>
  <c r="B4208" i="49"/>
  <c r="B4209" i="49"/>
  <c r="B4210" i="49"/>
  <c r="B4211" i="49"/>
  <c r="B4212" i="49"/>
  <c r="B4213" i="49"/>
  <c r="B4214" i="49"/>
  <c r="B4215" i="49"/>
  <c r="B4216" i="49"/>
  <c r="B4217" i="49"/>
  <c r="B4218" i="49"/>
  <c r="B4219" i="49"/>
  <c r="B4220" i="49"/>
  <c r="B4221" i="49"/>
  <c r="B4222" i="49"/>
  <c r="B4223" i="49"/>
  <c r="B4224" i="49"/>
  <c r="B4225" i="49"/>
  <c r="B4226" i="49"/>
  <c r="B4227" i="49"/>
  <c r="B4228" i="49"/>
  <c r="B4229" i="49"/>
  <c r="B4230" i="49"/>
  <c r="B4231" i="49"/>
  <c r="B4232" i="49"/>
  <c r="B4233" i="49"/>
  <c r="B4234" i="49"/>
  <c r="B4235" i="49"/>
  <c r="B4236" i="49"/>
  <c r="B4237" i="49"/>
  <c r="B4238" i="49"/>
  <c r="B4239" i="49"/>
  <c r="B4240" i="49"/>
  <c r="B4241" i="49"/>
  <c r="B4242" i="49"/>
  <c r="B4243" i="49"/>
  <c r="B4244" i="49"/>
  <c r="B4245" i="49"/>
  <c r="B4246" i="49"/>
  <c r="B4247" i="49"/>
  <c r="B4248" i="49"/>
  <c r="B4249" i="49"/>
  <c r="B4250" i="49"/>
  <c r="B4251" i="49"/>
  <c r="B4252" i="49"/>
  <c r="B4253" i="49"/>
  <c r="B4254" i="49"/>
  <c r="B4255" i="49"/>
  <c r="B4256" i="49"/>
  <c r="B4257" i="49"/>
  <c r="B4258" i="49"/>
  <c r="B4259" i="49"/>
  <c r="B4260" i="49"/>
  <c r="B4261" i="49"/>
  <c r="B4262" i="49"/>
  <c r="B4263" i="49"/>
  <c r="B4264" i="49"/>
  <c r="B4265" i="49"/>
  <c r="B4266" i="49"/>
  <c r="B4267" i="49"/>
  <c r="B4268" i="49"/>
  <c r="B4269" i="49"/>
  <c r="B4270" i="49"/>
  <c r="B4271" i="49"/>
  <c r="B4272" i="49"/>
  <c r="B4273" i="49"/>
  <c r="B4274" i="49"/>
  <c r="B4275" i="49"/>
  <c r="B4276" i="49"/>
  <c r="B4277" i="49"/>
  <c r="B4278" i="49"/>
  <c r="B4279" i="49"/>
  <c r="B4280" i="49"/>
  <c r="B4281" i="49"/>
  <c r="B4282" i="49"/>
  <c r="B4283" i="49"/>
  <c r="B4284" i="49"/>
  <c r="B4285" i="49"/>
  <c r="B4286" i="49"/>
  <c r="B4287" i="49"/>
  <c r="B4288" i="49"/>
  <c r="B4289" i="49"/>
  <c r="B4290" i="49"/>
  <c r="B4291" i="49"/>
  <c r="B4292" i="49"/>
  <c r="B4293" i="49"/>
  <c r="B4294" i="49"/>
  <c r="B4295" i="49"/>
  <c r="B4296" i="49"/>
  <c r="B4297" i="49"/>
  <c r="B4298" i="49"/>
  <c r="B4299" i="49"/>
  <c r="B4300" i="49"/>
  <c r="B4301" i="49"/>
  <c r="B4302" i="49"/>
  <c r="B4303" i="49"/>
  <c r="B4304" i="49"/>
  <c r="B4305" i="49"/>
  <c r="B4306" i="49"/>
  <c r="B4307" i="49"/>
  <c r="B4308" i="49"/>
  <c r="B4309" i="49"/>
  <c r="B4310" i="49"/>
  <c r="B4311" i="49"/>
  <c r="B4312" i="49"/>
  <c r="B4313" i="49"/>
  <c r="B4314" i="49"/>
  <c r="B4315" i="49"/>
  <c r="B4316" i="49"/>
  <c r="B4317" i="49"/>
  <c r="B4318" i="49"/>
  <c r="B4319" i="49"/>
  <c r="B4320" i="49"/>
  <c r="B4321" i="49"/>
  <c r="B4322" i="49"/>
  <c r="B4323" i="49"/>
  <c r="B4324" i="49"/>
  <c r="B4325" i="49"/>
  <c r="B4326" i="49"/>
  <c r="B4327" i="49"/>
  <c r="B4328" i="49"/>
  <c r="B4329" i="49"/>
  <c r="B4330" i="49"/>
  <c r="B4331" i="49"/>
  <c r="B4332" i="49"/>
  <c r="B4333" i="49"/>
  <c r="B4334" i="49"/>
  <c r="B4335" i="49"/>
  <c r="B4336" i="49"/>
  <c r="B4337" i="49"/>
  <c r="B4338" i="49"/>
  <c r="B4339" i="49"/>
  <c r="B4340" i="49"/>
  <c r="B4341" i="49"/>
  <c r="B4342" i="49"/>
  <c r="B4343" i="49"/>
  <c r="B4344" i="49"/>
  <c r="B4345" i="49"/>
  <c r="B4346" i="49"/>
  <c r="B4347" i="49"/>
  <c r="B4348" i="49"/>
  <c r="B4349" i="49"/>
  <c r="B4350" i="49"/>
  <c r="B4351" i="49"/>
  <c r="B4352" i="49"/>
  <c r="B4353" i="49"/>
  <c r="B4354" i="49"/>
  <c r="B4355" i="49"/>
  <c r="B4356" i="49"/>
  <c r="B4357" i="49"/>
  <c r="B4358" i="49"/>
  <c r="B4359" i="49"/>
  <c r="B4360" i="49"/>
  <c r="B4361" i="49"/>
  <c r="B4362" i="49"/>
  <c r="B4363" i="49"/>
  <c r="B4364" i="49"/>
  <c r="B4365" i="49"/>
  <c r="B4366" i="49"/>
  <c r="B4367" i="49"/>
  <c r="B4368" i="49"/>
  <c r="B4369" i="49"/>
  <c r="B4370" i="49"/>
  <c r="B4371" i="49"/>
  <c r="B4372" i="49"/>
  <c r="B4373" i="49"/>
  <c r="B4374" i="49"/>
  <c r="B4375" i="49"/>
  <c r="B4376" i="49"/>
  <c r="B4377" i="49"/>
  <c r="B4378" i="49"/>
  <c r="B4379" i="49"/>
  <c r="B4380" i="49"/>
  <c r="B4381" i="49"/>
  <c r="B4382" i="49"/>
  <c r="B4383" i="49"/>
  <c r="B4384" i="49"/>
  <c r="B4385" i="49"/>
  <c r="B4386" i="49"/>
  <c r="B4387" i="49"/>
  <c r="B4388" i="49"/>
  <c r="B4389" i="49"/>
  <c r="B4390" i="49"/>
  <c r="B4391" i="49"/>
  <c r="B4392" i="49"/>
  <c r="B4393" i="49"/>
  <c r="B4394" i="49"/>
  <c r="B4395" i="49"/>
  <c r="B4396" i="49"/>
  <c r="B4397" i="49"/>
  <c r="B4398" i="49"/>
  <c r="B4399" i="49"/>
  <c r="B4400" i="49"/>
  <c r="B4401" i="49"/>
  <c r="B4402" i="49"/>
  <c r="B4403" i="49"/>
  <c r="B4404" i="49"/>
  <c r="B4405" i="49"/>
  <c r="B4406" i="49"/>
  <c r="B4407" i="49"/>
  <c r="B4408" i="49"/>
  <c r="B4409" i="49"/>
  <c r="B4410" i="49"/>
  <c r="B4411" i="49"/>
  <c r="B4412" i="49"/>
  <c r="B4413" i="49"/>
  <c r="B4414" i="49"/>
  <c r="B4415" i="49"/>
  <c r="B4416" i="49"/>
  <c r="B4417" i="49"/>
  <c r="B4418" i="49"/>
  <c r="B4419" i="49"/>
  <c r="B4420" i="49"/>
  <c r="B4421" i="49"/>
  <c r="B4422" i="49"/>
  <c r="B4423" i="49"/>
  <c r="B4424" i="49"/>
  <c r="B4425" i="49"/>
  <c r="B4426" i="49"/>
  <c r="B4427" i="49"/>
  <c r="B4428" i="49"/>
  <c r="B4429" i="49"/>
  <c r="B4430" i="49"/>
  <c r="B4431" i="49"/>
  <c r="B4432" i="49"/>
  <c r="B4433" i="49"/>
  <c r="B4434" i="49"/>
  <c r="B4435" i="49"/>
  <c r="B4436" i="49"/>
  <c r="B4437" i="49"/>
  <c r="B4438" i="49"/>
  <c r="B4439" i="49"/>
  <c r="B4440" i="49"/>
  <c r="B4441" i="49"/>
  <c r="B4442" i="49"/>
  <c r="B4443" i="49"/>
  <c r="B4444" i="49"/>
  <c r="B4445" i="49"/>
  <c r="B4446" i="49"/>
  <c r="B4447" i="49"/>
  <c r="B4448" i="49"/>
  <c r="B4449" i="49"/>
  <c r="B4450" i="49"/>
  <c r="B4451" i="49"/>
  <c r="B4452" i="49"/>
  <c r="B4453" i="49"/>
  <c r="B4454" i="49"/>
  <c r="B4455" i="49"/>
  <c r="B4456" i="49"/>
  <c r="B4457" i="49"/>
  <c r="B4458" i="49"/>
  <c r="B4459" i="49"/>
  <c r="B4460" i="49"/>
  <c r="B4461" i="49"/>
  <c r="B4462" i="49"/>
  <c r="B4463" i="49"/>
  <c r="B4464" i="49"/>
  <c r="B4465" i="49"/>
  <c r="B4466" i="49"/>
  <c r="B4467" i="49"/>
  <c r="B4468" i="49"/>
  <c r="B4469" i="49"/>
  <c r="B4470" i="49"/>
  <c r="B4471" i="49"/>
  <c r="B4472" i="49"/>
  <c r="B4473" i="49"/>
  <c r="B4474" i="49"/>
  <c r="B4475" i="49"/>
  <c r="B4476" i="49"/>
  <c r="B4477" i="49"/>
  <c r="B4478" i="49"/>
  <c r="B4479" i="49"/>
  <c r="B4480" i="49"/>
  <c r="B4481" i="49"/>
  <c r="B4482" i="49"/>
  <c r="B4483" i="49"/>
  <c r="B4484" i="49"/>
  <c r="B4485" i="49"/>
  <c r="B4486" i="49"/>
  <c r="B4487" i="49"/>
  <c r="B4488" i="49"/>
  <c r="B4489" i="49"/>
  <c r="B4490" i="49"/>
  <c r="B4491" i="49"/>
  <c r="B4492" i="49"/>
  <c r="B4493" i="49"/>
  <c r="B4494" i="49"/>
  <c r="B4495" i="49"/>
  <c r="B4496" i="49"/>
  <c r="B4497" i="49"/>
  <c r="B4498" i="49"/>
  <c r="B4499" i="49"/>
  <c r="B4500" i="49"/>
  <c r="B4501" i="49"/>
  <c r="B4502" i="49"/>
  <c r="B4503" i="49"/>
  <c r="B4504" i="49"/>
  <c r="B4505" i="49"/>
  <c r="B4506" i="49"/>
  <c r="B4507" i="49"/>
  <c r="B4508" i="49"/>
  <c r="B4509" i="49"/>
  <c r="B4510" i="49"/>
  <c r="B4511" i="49"/>
  <c r="B4512" i="49"/>
  <c r="B4513" i="49"/>
  <c r="B4514" i="49"/>
  <c r="B4515" i="49"/>
  <c r="B4516" i="49"/>
  <c r="B4517" i="49"/>
  <c r="B4518" i="49"/>
  <c r="B4519" i="49"/>
  <c r="B4520" i="49"/>
  <c r="B4521" i="49"/>
  <c r="B4522" i="49"/>
  <c r="B4523" i="49"/>
  <c r="B4524" i="49"/>
  <c r="B4525" i="49"/>
  <c r="B4526" i="49"/>
  <c r="B4527" i="49"/>
  <c r="B4528" i="49"/>
  <c r="B4529" i="49"/>
  <c r="B4530" i="49"/>
  <c r="B4531" i="49"/>
  <c r="B4532" i="49"/>
  <c r="B4533" i="49"/>
  <c r="B4534" i="49"/>
  <c r="B4535" i="49"/>
  <c r="B4536" i="49"/>
  <c r="B4537" i="49"/>
  <c r="B4538" i="49"/>
  <c r="B4539" i="49"/>
  <c r="B4540" i="49"/>
  <c r="B4541" i="49"/>
  <c r="B4542" i="49"/>
  <c r="B4543" i="49"/>
  <c r="B4544" i="49"/>
  <c r="B4545" i="49"/>
  <c r="B4546" i="49"/>
  <c r="B4547" i="49"/>
  <c r="B4548" i="49"/>
  <c r="B4549" i="49"/>
  <c r="B4550" i="49"/>
  <c r="B4551" i="49"/>
  <c r="B4552" i="49"/>
  <c r="B4553" i="49"/>
  <c r="B4554" i="49"/>
  <c r="B4555" i="49"/>
  <c r="B4556" i="49"/>
  <c r="B4557" i="49"/>
  <c r="B4558" i="49"/>
  <c r="B4559" i="49"/>
  <c r="B4560" i="49"/>
  <c r="B4561" i="49"/>
  <c r="B4562" i="49"/>
  <c r="B4563" i="49"/>
  <c r="B4564" i="49"/>
  <c r="B4565" i="49"/>
  <c r="B4566" i="49"/>
  <c r="B4567" i="49"/>
  <c r="B4568" i="49"/>
  <c r="B4569" i="49"/>
  <c r="B4570" i="49"/>
  <c r="B4571" i="49"/>
  <c r="B4572" i="49"/>
  <c r="B4573" i="49"/>
  <c r="B4574" i="49"/>
  <c r="B4575" i="49"/>
  <c r="B4576" i="49"/>
  <c r="B4577" i="49"/>
  <c r="B4578" i="49"/>
  <c r="B4579" i="49"/>
  <c r="B4580" i="49"/>
  <c r="B4581" i="49"/>
  <c r="B4582" i="49"/>
  <c r="B4583" i="49"/>
  <c r="B4584" i="49"/>
  <c r="B4585" i="49"/>
  <c r="B4586" i="49"/>
  <c r="B4587" i="49"/>
  <c r="B4588" i="49"/>
  <c r="B4589" i="49"/>
  <c r="B4590" i="49"/>
  <c r="B4591" i="49"/>
  <c r="B4592" i="49"/>
  <c r="B4593" i="49"/>
  <c r="B4594" i="49"/>
  <c r="B4595" i="49"/>
  <c r="B4596" i="49"/>
  <c r="B4597" i="49"/>
  <c r="B4598" i="49"/>
  <c r="B4599" i="49"/>
  <c r="B4600" i="49"/>
  <c r="B4601" i="49"/>
  <c r="B4602" i="49"/>
  <c r="B4603" i="49"/>
  <c r="B4604" i="49"/>
  <c r="B4605" i="49"/>
  <c r="B4606" i="49"/>
  <c r="B4607" i="49"/>
  <c r="B4608" i="49"/>
  <c r="B4609" i="49"/>
  <c r="B4610" i="49"/>
  <c r="B4611" i="49"/>
  <c r="B4612" i="49"/>
  <c r="B4613" i="49"/>
  <c r="B4614" i="49"/>
  <c r="B4615" i="49"/>
  <c r="B4616" i="49"/>
  <c r="B4617" i="49"/>
  <c r="B4618" i="49"/>
  <c r="B4619" i="49"/>
  <c r="B4620" i="49"/>
  <c r="B4621" i="49"/>
  <c r="B4622" i="49"/>
  <c r="B4623" i="49"/>
  <c r="B4624" i="49"/>
  <c r="B4625" i="49"/>
  <c r="B4626" i="49"/>
  <c r="B4627" i="49"/>
  <c r="B4628" i="49"/>
  <c r="B4629" i="49"/>
  <c r="B4630" i="49"/>
  <c r="B4631" i="49"/>
  <c r="B4632" i="49"/>
  <c r="B4633" i="49"/>
  <c r="B4634" i="49"/>
  <c r="B4635" i="49"/>
  <c r="B4636" i="49"/>
  <c r="B4637" i="49"/>
  <c r="B4638" i="49"/>
  <c r="B4639" i="49"/>
  <c r="B4640" i="49"/>
  <c r="B4641" i="49"/>
  <c r="B4642" i="49"/>
  <c r="B4643" i="49"/>
  <c r="B4644" i="49"/>
  <c r="B4645" i="49"/>
  <c r="B4646" i="49"/>
  <c r="B4647" i="49"/>
  <c r="B4648" i="49"/>
  <c r="B4649" i="49"/>
  <c r="B4650" i="49"/>
  <c r="B4651" i="49"/>
  <c r="B4652" i="49"/>
  <c r="B4653" i="49"/>
  <c r="B4654" i="49"/>
  <c r="B4655" i="49"/>
  <c r="B4656" i="49"/>
  <c r="B4657" i="49"/>
  <c r="B4658" i="49"/>
  <c r="B4659" i="49"/>
  <c r="B4660" i="49"/>
  <c r="B4661" i="49"/>
  <c r="B4662" i="49"/>
  <c r="B4663" i="49"/>
  <c r="B4664" i="49"/>
  <c r="B4665" i="49"/>
  <c r="B4666" i="49"/>
  <c r="B4667" i="49"/>
  <c r="B4668" i="49"/>
  <c r="B4669" i="49"/>
  <c r="B4670" i="49"/>
  <c r="B4671" i="49"/>
  <c r="B4672" i="49"/>
  <c r="B4673" i="49"/>
  <c r="B4674" i="49"/>
  <c r="B4675" i="49"/>
  <c r="B4676" i="49"/>
  <c r="B4677" i="49"/>
  <c r="B4678" i="49"/>
  <c r="B4679" i="49"/>
  <c r="B4680" i="49"/>
  <c r="B4681" i="49"/>
  <c r="B4682" i="49"/>
  <c r="B4683" i="49"/>
  <c r="B4684" i="49"/>
  <c r="B4685" i="49"/>
  <c r="B4686" i="49"/>
  <c r="B4687" i="49"/>
  <c r="B4688" i="49"/>
  <c r="B4689" i="49"/>
  <c r="B4690" i="49"/>
  <c r="B4691" i="49"/>
  <c r="B4692" i="49"/>
  <c r="B4693" i="49"/>
  <c r="B4694" i="49"/>
  <c r="B4695" i="49"/>
  <c r="B4696" i="49"/>
  <c r="B4697" i="49"/>
  <c r="B4698" i="49"/>
  <c r="B4699" i="49"/>
  <c r="B4700" i="49"/>
  <c r="B4701" i="49"/>
  <c r="B4702" i="49"/>
  <c r="B4703" i="49"/>
  <c r="B4704" i="49"/>
  <c r="B4705" i="49"/>
  <c r="B4706" i="49"/>
  <c r="B4707" i="49"/>
  <c r="B4708" i="49"/>
  <c r="B4709" i="49"/>
  <c r="B4710" i="49"/>
  <c r="B4711" i="49"/>
  <c r="B4712" i="49"/>
  <c r="B4713" i="49"/>
  <c r="B4714" i="49"/>
  <c r="B4715" i="49"/>
  <c r="B4716" i="49"/>
  <c r="B4717" i="49"/>
  <c r="B4718" i="49"/>
  <c r="B4719" i="49"/>
  <c r="B4720" i="49"/>
  <c r="B4721" i="49"/>
  <c r="B4722" i="49"/>
  <c r="B4723" i="49"/>
  <c r="B4724" i="49"/>
  <c r="B4725" i="49"/>
  <c r="B4726" i="49"/>
  <c r="B4727" i="49"/>
  <c r="B4728" i="49"/>
  <c r="B4729" i="49"/>
  <c r="B4730" i="49"/>
  <c r="B4731" i="49"/>
  <c r="B4732" i="49"/>
  <c r="B4733" i="49"/>
  <c r="B4734" i="49"/>
  <c r="B4735" i="49"/>
  <c r="B4736" i="49"/>
  <c r="B4737" i="49"/>
  <c r="B4738" i="49"/>
  <c r="B4739" i="49"/>
  <c r="B4740" i="49"/>
  <c r="B4741" i="49"/>
  <c r="B4742" i="49"/>
  <c r="B4743" i="49"/>
  <c r="B4744" i="49"/>
  <c r="B4745" i="49"/>
  <c r="B4746" i="49"/>
  <c r="B4747" i="49"/>
  <c r="B4748" i="49"/>
  <c r="B4749" i="49"/>
  <c r="B4750" i="49"/>
  <c r="B4751" i="49"/>
  <c r="B4752" i="49"/>
  <c r="B4753" i="49"/>
  <c r="B4754" i="49"/>
  <c r="B4755" i="49"/>
  <c r="B4756" i="49"/>
  <c r="B4757" i="49"/>
  <c r="B4758" i="49"/>
  <c r="B4759" i="49"/>
  <c r="B4760" i="49"/>
  <c r="B4761" i="49"/>
  <c r="B4762" i="49"/>
  <c r="B4763" i="49"/>
  <c r="B4764" i="49"/>
  <c r="B4765" i="49"/>
  <c r="B4766" i="49"/>
  <c r="B4767" i="49"/>
  <c r="B4768" i="49"/>
  <c r="B4769" i="49"/>
  <c r="B4770" i="49"/>
  <c r="B4771" i="49"/>
  <c r="B4772" i="49"/>
  <c r="B4773" i="49"/>
  <c r="B4774" i="49"/>
  <c r="B4775" i="49"/>
  <c r="B4776" i="49"/>
  <c r="B4777" i="49"/>
  <c r="B4778" i="49"/>
  <c r="B4779" i="49"/>
  <c r="B4780" i="49"/>
  <c r="B4781" i="49"/>
  <c r="B4782" i="49"/>
  <c r="B4783" i="49"/>
  <c r="B4784" i="49"/>
  <c r="B4785" i="49"/>
  <c r="B4786" i="49"/>
  <c r="B4787" i="49"/>
  <c r="B4788" i="49"/>
  <c r="B4789" i="49"/>
  <c r="B4790" i="49"/>
  <c r="B4791" i="49"/>
  <c r="B4792" i="49"/>
  <c r="B4793" i="49"/>
  <c r="B4794" i="49"/>
  <c r="B4795" i="49"/>
  <c r="B4796" i="49"/>
  <c r="B4797" i="49"/>
  <c r="B4798" i="49"/>
  <c r="B4799" i="49"/>
  <c r="B4800" i="49"/>
  <c r="B4801" i="49"/>
  <c r="B4802" i="49"/>
  <c r="B4803" i="49"/>
  <c r="B4804" i="49"/>
  <c r="B4805" i="49"/>
  <c r="B4806" i="49"/>
  <c r="B4807" i="49"/>
  <c r="B4808" i="49"/>
  <c r="B4809" i="49"/>
  <c r="B4810" i="49"/>
  <c r="B4811" i="49"/>
  <c r="B4812" i="49"/>
  <c r="B4813" i="49"/>
  <c r="B4814" i="49"/>
  <c r="B4815" i="49"/>
  <c r="B4816" i="49"/>
  <c r="B4817" i="49"/>
  <c r="B4818" i="49"/>
  <c r="B4819" i="49"/>
  <c r="B4820" i="49"/>
  <c r="B4821" i="49"/>
  <c r="B4822" i="49"/>
  <c r="B4823" i="49"/>
  <c r="B4824" i="49"/>
  <c r="B4825" i="49"/>
  <c r="B4826" i="49"/>
  <c r="B4827" i="49"/>
  <c r="B4828" i="49"/>
  <c r="B4829" i="49"/>
  <c r="B4830" i="49"/>
  <c r="B4831" i="49"/>
  <c r="B4832" i="49"/>
  <c r="B4833" i="49"/>
  <c r="B4834" i="49"/>
  <c r="B4835" i="49"/>
  <c r="B4836" i="49"/>
  <c r="B4837" i="49"/>
  <c r="B4838" i="49"/>
  <c r="B4839" i="49"/>
  <c r="B4840" i="49"/>
  <c r="B4841" i="49"/>
  <c r="B4842" i="49"/>
  <c r="B4843" i="49"/>
  <c r="B4844" i="49"/>
  <c r="B4845" i="49"/>
  <c r="B4846" i="49"/>
  <c r="B4847" i="49"/>
  <c r="B4848" i="49"/>
  <c r="B4849" i="49"/>
  <c r="B4850" i="49"/>
  <c r="B4851" i="49"/>
  <c r="B4852" i="49"/>
  <c r="B4853" i="49"/>
  <c r="B4854" i="49"/>
  <c r="B4855" i="49"/>
  <c r="B4856" i="49"/>
  <c r="B4857" i="49"/>
  <c r="B4858" i="49"/>
  <c r="B4859" i="49"/>
  <c r="B4860" i="49"/>
  <c r="B4861" i="49"/>
  <c r="B4862" i="49"/>
  <c r="B4863" i="49"/>
  <c r="B4864" i="49"/>
  <c r="B4865" i="49"/>
  <c r="B4866" i="49"/>
  <c r="B4867" i="49"/>
  <c r="B4868" i="49"/>
  <c r="B4869" i="49"/>
  <c r="B4870" i="49"/>
  <c r="B4871" i="49"/>
  <c r="B4872" i="49"/>
  <c r="B4873" i="49"/>
  <c r="B4874" i="49"/>
  <c r="B4875" i="49"/>
  <c r="B4876" i="49"/>
  <c r="B4877" i="49"/>
  <c r="B4878" i="49"/>
  <c r="B4879" i="49"/>
  <c r="B4880" i="49"/>
  <c r="B4881" i="49"/>
  <c r="B4882" i="49"/>
  <c r="B4883" i="49"/>
  <c r="B4884" i="49"/>
  <c r="B4885" i="49"/>
  <c r="B4886" i="49"/>
  <c r="B4887" i="49"/>
  <c r="B4888" i="49"/>
  <c r="B4889" i="49"/>
  <c r="B4890" i="49"/>
  <c r="B4891" i="49"/>
  <c r="B4892" i="49"/>
  <c r="B4893" i="49"/>
  <c r="B4894" i="49"/>
  <c r="B4895" i="49"/>
  <c r="B4896" i="49"/>
  <c r="B4897" i="49"/>
  <c r="B4898" i="49"/>
  <c r="B4899" i="49"/>
  <c r="B4900" i="49"/>
  <c r="B4901" i="49"/>
  <c r="B4902" i="49"/>
  <c r="B4903" i="49"/>
  <c r="B4904" i="49"/>
  <c r="B4905" i="49"/>
  <c r="B4906" i="49"/>
  <c r="B4907" i="49"/>
  <c r="B4908" i="49"/>
  <c r="B4909" i="49"/>
  <c r="B4910" i="49"/>
  <c r="B4911" i="49"/>
  <c r="B4912" i="49"/>
  <c r="B4913" i="49"/>
  <c r="B4914" i="49"/>
  <c r="B4915" i="49"/>
  <c r="B4916" i="49"/>
  <c r="B4917" i="49"/>
  <c r="B4918" i="49"/>
  <c r="B4919" i="49"/>
  <c r="B4920" i="49"/>
  <c r="B4921" i="49"/>
  <c r="B4922" i="49"/>
  <c r="B4923" i="49"/>
  <c r="B4924" i="49"/>
  <c r="B4925" i="49"/>
  <c r="B4926" i="49"/>
  <c r="B4927" i="49"/>
  <c r="B4928" i="49"/>
  <c r="B4929" i="49"/>
  <c r="B4930" i="49"/>
  <c r="B4931" i="49"/>
  <c r="B4932" i="49"/>
  <c r="B4933" i="49"/>
  <c r="B4934" i="49"/>
  <c r="B4935" i="49"/>
  <c r="B4936" i="49"/>
  <c r="B4937" i="49"/>
  <c r="B4938" i="49"/>
  <c r="B4939" i="49"/>
  <c r="B4940" i="49"/>
  <c r="B4941" i="49"/>
  <c r="B4942" i="49"/>
  <c r="B4943" i="49"/>
  <c r="B4944" i="49"/>
  <c r="B4945" i="49"/>
  <c r="B4946" i="49"/>
  <c r="B4947" i="49"/>
  <c r="B4948" i="49"/>
  <c r="B4949" i="49"/>
  <c r="B4950" i="49"/>
  <c r="B4951" i="49"/>
  <c r="B4952" i="49"/>
  <c r="B4953" i="49"/>
  <c r="B4954" i="49"/>
  <c r="B4955" i="49"/>
  <c r="B4956" i="49"/>
  <c r="B4957" i="49"/>
  <c r="B4958" i="49"/>
  <c r="B4959" i="49"/>
  <c r="B4960" i="49"/>
  <c r="B4961" i="49"/>
  <c r="B4962" i="49"/>
  <c r="B4963" i="49"/>
  <c r="B4964" i="49"/>
  <c r="B4965" i="49"/>
  <c r="B4966" i="49"/>
  <c r="B4967" i="49"/>
  <c r="B4968" i="49"/>
  <c r="B4969" i="49"/>
  <c r="B4970" i="49"/>
  <c r="B4971" i="49"/>
  <c r="B4972" i="49"/>
  <c r="B4973" i="49"/>
  <c r="B4974" i="49"/>
  <c r="B4975" i="49"/>
  <c r="B4976" i="49"/>
  <c r="B4977" i="49"/>
  <c r="B4978" i="49"/>
  <c r="B4979" i="49"/>
  <c r="B4980" i="49"/>
  <c r="B4981" i="49"/>
  <c r="B4982" i="49"/>
  <c r="B4983" i="49"/>
  <c r="B4984" i="49"/>
  <c r="B4985" i="49"/>
  <c r="B4986" i="49"/>
  <c r="B4987" i="49"/>
  <c r="B4988" i="49"/>
  <c r="B4989" i="49"/>
  <c r="B4990" i="49"/>
  <c r="B4991" i="49"/>
  <c r="B4992" i="49"/>
  <c r="B4993" i="49"/>
  <c r="B4994" i="49"/>
  <c r="B4995" i="49"/>
  <c r="B4996" i="49"/>
  <c r="B4997" i="49"/>
  <c r="B4998" i="49"/>
  <c r="B4999" i="49"/>
  <c r="B5000" i="49"/>
  <c r="B5001" i="49"/>
  <c r="B5002" i="49"/>
  <c r="B5003" i="49"/>
  <c r="B5004" i="49"/>
  <c r="B5005" i="49"/>
  <c r="B5006" i="49"/>
  <c r="B5007" i="49"/>
  <c r="B5008" i="49"/>
  <c r="B5009" i="49"/>
  <c r="B5010" i="49"/>
  <c r="B5011" i="49"/>
  <c r="B5012" i="49"/>
  <c r="B5013" i="49"/>
  <c r="B5014" i="49"/>
  <c r="B5015" i="49"/>
  <c r="B5016" i="49"/>
  <c r="B5017" i="49"/>
  <c r="B5018" i="49"/>
  <c r="B5019" i="49"/>
  <c r="B5020" i="49"/>
  <c r="B5021" i="49"/>
  <c r="B5022" i="49"/>
  <c r="B5023" i="49"/>
  <c r="B5024" i="49"/>
  <c r="B5025" i="49"/>
  <c r="B5026" i="49"/>
  <c r="B5027" i="49"/>
  <c r="B5028" i="49"/>
  <c r="B5029" i="49"/>
  <c r="B5030" i="49"/>
  <c r="B5031" i="49"/>
  <c r="B5032" i="49"/>
  <c r="B5033" i="49"/>
  <c r="B5034" i="49"/>
  <c r="B5035" i="49"/>
  <c r="B5036" i="49"/>
  <c r="B5037" i="49"/>
  <c r="B5038" i="49"/>
  <c r="B5039" i="49"/>
  <c r="B5040" i="49"/>
  <c r="B5041" i="49"/>
  <c r="B5042" i="49"/>
  <c r="B5043" i="49"/>
  <c r="B5044" i="49"/>
  <c r="B5045" i="49"/>
  <c r="B5046" i="49"/>
  <c r="B5047" i="49"/>
  <c r="B5048" i="49"/>
  <c r="B5049" i="49"/>
  <c r="B5050" i="49"/>
  <c r="B5051" i="49"/>
  <c r="B5052" i="49"/>
  <c r="B5053" i="49"/>
  <c r="B5054" i="49"/>
  <c r="B5055" i="49"/>
  <c r="B5056" i="49"/>
  <c r="B5057" i="49"/>
  <c r="B5058" i="49"/>
  <c r="B5059" i="49"/>
  <c r="B5060" i="49"/>
  <c r="B5061" i="49"/>
  <c r="B5062" i="49"/>
  <c r="B5063" i="49"/>
  <c r="B5064" i="49"/>
  <c r="B5065" i="49"/>
  <c r="B5066" i="49"/>
  <c r="B5067" i="49"/>
  <c r="B5068" i="49"/>
  <c r="B5069" i="49"/>
  <c r="B5070" i="49"/>
  <c r="B5071" i="49"/>
  <c r="B5072" i="49"/>
  <c r="B5073" i="49"/>
  <c r="B5074" i="49"/>
  <c r="B5075" i="49"/>
  <c r="B5076" i="49"/>
  <c r="B5077" i="49"/>
  <c r="B5078" i="49"/>
  <c r="B5079" i="49"/>
  <c r="B5080" i="49"/>
  <c r="B5081" i="49"/>
  <c r="B5082" i="49"/>
  <c r="B5083" i="49"/>
  <c r="B5084" i="49"/>
  <c r="B5085" i="49"/>
  <c r="B5086" i="49"/>
  <c r="B5087" i="49"/>
  <c r="B5088" i="49"/>
  <c r="B5089" i="49"/>
  <c r="B5090" i="49"/>
  <c r="B5091" i="49"/>
  <c r="B5092" i="49"/>
  <c r="B5093" i="49"/>
  <c r="B5094" i="49"/>
  <c r="B5095" i="49"/>
  <c r="B5096" i="49"/>
  <c r="B5097" i="49"/>
  <c r="B5098" i="49"/>
  <c r="B5099" i="49"/>
  <c r="B5100" i="49"/>
  <c r="B5101" i="49"/>
  <c r="B5102" i="49"/>
  <c r="B5103" i="49"/>
  <c r="B5104" i="49"/>
  <c r="B5105" i="49"/>
  <c r="B5106" i="49"/>
  <c r="B5107" i="49"/>
  <c r="B5108" i="49"/>
  <c r="B5109" i="49"/>
  <c r="B5110" i="49"/>
  <c r="B5111" i="49"/>
  <c r="B5112" i="49"/>
  <c r="B5113" i="49"/>
  <c r="B5114" i="49"/>
  <c r="B5115" i="49"/>
  <c r="B5116" i="49"/>
  <c r="B5117" i="49"/>
  <c r="B5118" i="49"/>
  <c r="B5119" i="49"/>
  <c r="B5120" i="49"/>
  <c r="B5121" i="49"/>
  <c r="B5122" i="49"/>
  <c r="B5123" i="49"/>
  <c r="B5124" i="49"/>
  <c r="B5125" i="49"/>
  <c r="B5126" i="49"/>
  <c r="B5127" i="49"/>
  <c r="B5128" i="49"/>
  <c r="B5129" i="49"/>
  <c r="B5130" i="49"/>
  <c r="B5131" i="49"/>
  <c r="B5132" i="49"/>
  <c r="B5133" i="49"/>
  <c r="B5134" i="49"/>
  <c r="B5135" i="49"/>
  <c r="B5136" i="49"/>
  <c r="B5137" i="49"/>
  <c r="B5138" i="49"/>
  <c r="B5139" i="49"/>
  <c r="B5140" i="49"/>
  <c r="B5141" i="49"/>
  <c r="B5142" i="49"/>
  <c r="B5143" i="49"/>
  <c r="B5144" i="49"/>
  <c r="B5145" i="49"/>
  <c r="B5146" i="49"/>
  <c r="B5147" i="49"/>
  <c r="B5148" i="49"/>
  <c r="B5149" i="49"/>
  <c r="B5150" i="49"/>
  <c r="B5151" i="49"/>
  <c r="B5152" i="49"/>
  <c r="B5153" i="49"/>
  <c r="B5154" i="49"/>
  <c r="B5155" i="49"/>
  <c r="B5156" i="49"/>
  <c r="B5157" i="49"/>
  <c r="B5158" i="49"/>
  <c r="B5159" i="49"/>
  <c r="B5160" i="49"/>
  <c r="B5161" i="49"/>
  <c r="B5162" i="49"/>
  <c r="B5163" i="49"/>
  <c r="B5164" i="49"/>
  <c r="B5165" i="49"/>
  <c r="B5166" i="49"/>
  <c r="B5167" i="49"/>
  <c r="B5168" i="49"/>
  <c r="B5169" i="49"/>
  <c r="B5170" i="49"/>
  <c r="B5171" i="49"/>
  <c r="B5172" i="49"/>
  <c r="B5173" i="49"/>
  <c r="B5174" i="49"/>
  <c r="B5175" i="49"/>
  <c r="B5176" i="49"/>
  <c r="B5177" i="49"/>
  <c r="B5178" i="49"/>
  <c r="B5179" i="49"/>
  <c r="B5180" i="49"/>
  <c r="B5181" i="49"/>
  <c r="B5182" i="49"/>
  <c r="B5183" i="49"/>
  <c r="B5184" i="49"/>
  <c r="B5185" i="49"/>
  <c r="B5186" i="49"/>
  <c r="B5187" i="49"/>
  <c r="B5188" i="49"/>
  <c r="B5189" i="49"/>
  <c r="B5190" i="49"/>
  <c r="B5191" i="49"/>
  <c r="B5192" i="49"/>
  <c r="B5193" i="49"/>
  <c r="B5194" i="49"/>
  <c r="B5195" i="49"/>
  <c r="B5196" i="49"/>
  <c r="B5197" i="49"/>
  <c r="B5198" i="49"/>
  <c r="B5199" i="49"/>
  <c r="B5200" i="49"/>
  <c r="B5201" i="49"/>
  <c r="B5202" i="49"/>
  <c r="B5203" i="49"/>
  <c r="B5204" i="49"/>
  <c r="B5205" i="49"/>
  <c r="B5206" i="49"/>
  <c r="B5207" i="49"/>
  <c r="B5208" i="49"/>
  <c r="B5209" i="49"/>
  <c r="B5210" i="49"/>
  <c r="B5211" i="49"/>
  <c r="B5212" i="49"/>
  <c r="B5213" i="49"/>
  <c r="B5214" i="49"/>
  <c r="B5215" i="49"/>
  <c r="B5216" i="49"/>
  <c r="B5217" i="49"/>
  <c r="B5218" i="49"/>
  <c r="B5219" i="49"/>
  <c r="B5220" i="49"/>
  <c r="B5221" i="49"/>
  <c r="B5222" i="49"/>
  <c r="B5223" i="49"/>
  <c r="B5224" i="49"/>
  <c r="B5225" i="49"/>
  <c r="B5226" i="49"/>
  <c r="B5227" i="49"/>
  <c r="B5228" i="49"/>
  <c r="B5229" i="49"/>
  <c r="B5230" i="49"/>
  <c r="B5231" i="49"/>
  <c r="B5232" i="49"/>
  <c r="B5233" i="49"/>
  <c r="B5234" i="49"/>
  <c r="B5235" i="49"/>
  <c r="B5236" i="49"/>
  <c r="B5237" i="49"/>
  <c r="B5238" i="49"/>
  <c r="B5239" i="49"/>
  <c r="B5240" i="49"/>
  <c r="B5241" i="49"/>
  <c r="B5242" i="49"/>
  <c r="B5243" i="49"/>
  <c r="B5244" i="49"/>
  <c r="B5245" i="49"/>
  <c r="B5246" i="49"/>
  <c r="B5247" i="49"/>
  <c r="B5248" i="49"/>
  <c r="B5249" i="49"/>
  <c r="B5250" i="49"/>
  <c r="B5251" i="49"/>
  <c r="B5252" i="49"/>
  <c r="B5253" i="49"/>
  <c r="B5254" i="49"/>
  <c r="B5255" i="49"/>
  <c r="B5256" i="49"/>
  <c r="B5257" i="49"/>
  <c r="B5258" i="49"/>
  <c r="B5259" i="49"/>
  <c r="B5260" i="49"/>
  <c r="B5261" i="49"/>
  <c r="B5262" i="49"/>
  <c r="B5263" i="49"/>
  <c r="B5264" i="49"/>
  <c r="B5265" i="49"/>
  <c r="B5266" i="49"/>
  <c r="B5267" i="49"/>
  <c r="B5268" i="49"/>
  <c r="B5269" i="49"/>
  <c r="B5270" i="49"/>
  <c r="B5271" i="49"/>
  <c r="B5272" i="49"/>
  <c r="B5273" i="49"/>
  <c r="B5274" i="49"/>
  <c r="B5275" i="49"/>
  <c r="B5276" i="49"/>
  <c r="B5277" i="49"/>
  <c r="B5278" i="49"/>
  <c r="B5279" i="49"/>
  <c r="B5280" i="49"/>
  <c r="B5281" i="49"/>
  <c r="B5282" i="49"/>
  <c r="B5283" i="49"/>
  <c r="B5284" i="49"/>
  <c r="B5285" i="49"/>
  <c r="B5286" i="49"/>
  <c r="B5287" i="49"/>
  <c r="B5288" i="49"/>
  <c r="B5289" i="49"/>
  <c r="B5290" i="49"/>
  <c r="B5291" i="49"/>
  <c r="B5292" i="49"/>
  <c r="B5293" i="49"/>
  <c r="B5294" i="49"/>
  <c r="B5295" i="49"/>
  <c r="B5296" i="49"/>
  <c r="B5297" i="49"/>
  <c r="B5298" i="49"/>
  <c r="B5299" i="49"/>
  <c r="B5300" i="49"/>
  <c r="B5301" i="49"/>
  <c r="B5302" i="49"/>
  <c r="B5303" i="49"/>
  <c r="B5304" i="49"/>
  <c r="B5305" i="49"/>
  <c r="B5306" i="49"/>
  <c r="B5307" i="49"/>
  <c r="B5308" i="49"/>
  <c r="B5309" i="49"/>
  <c r="B5310" i="49"/>
  <c r="B5311" i="49"/>
  <c r="B5312" i="49"/>
  <c r="B5313" i="49"/>
  <c r="B5314" i="49"/>
  <c r="B5315" i="49"/>
  <c r="B5316" i="49"/>
  <c r="B5317" i="49"/>
  <c r="B5318" i="49"/>
  <c r="B5319" i="49"/>
  <c r="B5320" i="49"/>
  <c r="B5321" i="49"/>
  <c r="B5322" i="49"/>
  <c r="B5323" i="49"/>
  <c r="B5324" i="49"/>
  <c r="B5325" i="49"/>
  <c r="B5326" i="49"/>
  <c r="B5327" i="49"/>
  <c r="B5328" i="49"/>
  <c r="B5329" i="49"/>
  <c r="B5330" i="49"/>
  <c r="B5331" i="49"/>
  <c r="B5332" i="49"/>
  <c r="B5333" i="49"/>
  <c r="B5334" i="49"/>
  <c r="B5335" i="49"/>
  <c r="B5336" i="49"/>
  <c r="B5337" i="49"/>
  <c r="B5338" i="49"/>
  <c r="B5339" i="49"/>
  <c r="B5340" i="49"/>
  <c r="B5341" i="49"/>
  <c r="B5342" i="49"/>
  <c r="B5343" i="49"/>
  <c r="B5344" i="49"/>
  <c r="B5345" i="49"/>
  <c r="B5346" i="49"/>
  <c r="B5347" i="49"/>
  <c r="B5348" i="49"/>
  <c r="B5349" i="49"/>
  <c r="B5350" i="49"/>
  <c r="B5351" i="49"/>
  <c r="B5352" i="49"/>
  <c r="B5353" i="49"/>
  <c r="B5354" i="49"/>
  <c r="B5355" i="49"/>
  <c r="B5356" i="49"/>
  <c r="B5357" i="49"/>
  <c r="B5358" i="49"/>
  <c r="B5359" i="49"/>
  <c r="B5360" i="49"/>
  <c r="B5361" i="49"/>
  <c r="B5362" i="49"/>
  <c r="B5363" i="49"/>
  <c r="B5364" i="49"/>
  <c r="B5365" i="49"/>
  <c r="B5366" i="49"/>
  <c r="B5367" i="49"/>
  <c r="B5368" i="49"/>
  <c r="B5369" i="49"/>
  <c r="B5370" i="49"/>
  <c r="B5371" i="49"/>
  <c r="B5372" i="49"/>
  <c r="B5373" i="49"/>
  <c r="B5374" i="49"/>
  <c r="B5375" i="49"/>
  <c r="B5376" i="49"/>
  <c r="B5377" i="49"/>
  <c r="B5378" i="49"/>
  <c r="B5379" i="49"/>
  <c r="B5380" i="49"/>
  <c r="B5381" i="49"/>
  <c r="B5382" i="49"/>
  <c r="B5383" i="49"/>
  <c r="B5384" i="49"/>
  <c r="B5385" i="49"/>
  <c r="B5386" i="49"/>
  <c r="B5387" i="49"/>
  <c r="B5388" i="49"/>
  <c r="B5389" i="49"/>
  <c r="B5390" i="49"/>
  <c r="B5391" i="49"/>
  <c r="B5392" i="49"/>
  <c r="B5393" i="49"/>
  <c r="B5394" i="49"/>
  <c r="B5395" i="49"/>
  <c r="B5396" i="49"/>
  <c r="B5397" i="49"/>
  <c r="B5398" i="49"/>
  <c r="B5399" i="49"/>
  <c r="B5400" i="49"/>
  <c r="B5401" i="49"/>
  <c r="B5402" i="49"/>
  <c r="B5403" i="49"/>
  <c r="B5404" i="49"/>
  <c r="B5405" i="49"/>
  <c r="B5406" i="49"/>
  <c r="B5407" i="49"/>
  <c r="B5408" i="49"/>
  <c r="B5409" i="49"/>
  <c r="B5410" i="49"/>
  <c r="B5411" i="49"/>
  <c r="B5412" i="49"/>
  <c r="B5413" i="49"/>
  <c r="B5414" i="49"/>
  <c r="B5415" i="49"/>
  <c r="B5416" i="49"/>
  <c r="B5417" i="49"/>
  <c r="B5418" i="49"/>
  <c r="B5419" i="49"/>
  <c r="B5420" i="49"/>
  <c r="B5421" i="49"/>
  <c r="B5422" i="49"/>
  <c r="B5423" i="49"/>
  <c r="B5424" i="49"/>
  <c r="B5425" i="49"/>
  <c r="B5426" i="49"/>
  <c r="B5427" i="49"/>
  <c r="B5428" i="49"/>
  <c r="B5429" i="49"/>
  <c r="B5430" i="49"/>
  <c r="B5431" i="49"/>
  <c r="B5432" i="49"/>
  <c r="B5433" i="49"/>
  <c r="B5434" i="49"/>
  <c r="B5435" i="49"/>
  <c r="B5436" i="49"/>
  <c r="B5437" i="49"/>
  <c r="B5438" i="49"/>
  <c r="B5439" i="49"/>
  <c r="B5440" i="49"/>
  <c r="B5441" i="49"/>
  <c r="B5442" i="49"/>
  <c r="B5443" i="49"/>
  <c r="B5444" i="49"/>
  <c r="B5445" i="49"/>
  <c r="B5446" i="49"/>
  <c r="B5447" i="49"/>
  <c r="B5448" i="49"/>
  <c r="B5449" i="49"/>
  <c r="B5450" i="49"/>
  <c r="B5451" i="49"/>
  <c r="B5452" i="49"/>
  <c r="B5453" i="49"/>
  <c r="B5454" i="49"/>
  <c r="B5455" i="49"/>
  <c r="B5456" i="49"/>
  <c r="B5457" i="49"/>
  <c r="B5458" i="49"/>
  <c r="B5459" i="49"/>
  <c r="B5460" i="49"/>
  <c r="B5461" i="49"/>
  <c r="B5462" i="49"/>
  <c r="B5463" i="49"/>
  <c r="B5464" i="49"/>
  <c r="B5465" i="49"/>
  <c r="B5466" i="49"/>
  <c r="B5467" i="49"/>
  <c r="B5468" i="49"/>
  <c r="B5469" i="49"/>
  <c r="B5470" i="49"/>
  <c r="B5471" i="49"/>
  <c r="B5472" i="49"/>
  <c r="B5473" i="49"/>
  <c r="B5474" i="49"/>
  <c r="B5475" i="49"/>
  <c r="B5476" i="49"/>
  <c r="B5477" i="49"/>
  <c r="B5478" i="49"/>
  <c r="B5479" i="49"/>
  <c r="B5480" i="49"/>
  <c r="B5481" i="49"/>
  <c r="B5482" i="49"/>
  <c r="B5483" i="49"/>
  <c r="B5484" i="49"/>
  <c r="B5485" i="49"/>
  <c r="B5486" i="49"/>
  <c r="B5487" i="49"/>
  <c r="B5488" i="49"/>
  <c r="B5489" i="49"/>
  <c r="B5490" i="49"/>
  <c r="B5491" i="49"/>
  <c r="B5492" i="49"/>
  <c r="B5493" i="49"/>
  <c r="B5494" i="49"/>
  <c r="B5495" i="49"/>
  <c r="B5496" i="49"/>
  <c r="B5497" i="49"/>
  <c r="B5498" i="49"/>
  <c r="B5499" i="49"/>
  <c r="B5500" i="49"/>
  <c r="B5501" i="49"/>
  <c r="B5502" i="49"/>
  <c r="B5503" i="49"/>
  <c r="B5504" i="49"/>
  <c r="B5505" i="49"/>
  <c r="B5506" i="49"/>
  <c r="B5507" i="49"/>
  <c r="B5508" i="49"/>
  <c r="B5509" i="49"/>
  <c r="B5510" i="49"/>
  <c r="B5511" i="49"/>
  <c r="B5512" i="49"/>
  <c r="B5513" i="49"/>
  <c r="B5514" i="49"/>
  <c r="B5515" i="49"/>
  <c r="B5516" i="49"/>
  <c r="B5517" i="49"/>
  <c r="B5518" i="49"/>
  <c r="B5519" i="49"/>
  <c r="B5520" i="49"/>
  <c r="B5521" i="49"/>
  <c r="B5522" i="49"/>
  <c r="B5523" i="49"/>
  <c r="B5524" i="49"/>
  <c r="B5525" i="49"/>
  <c r="B5526" i="49"/>
  <c r="B5527" i="49"/>
  <c r="B5528" i="49"/>
  <c r="B5529" i="49"/>
  <c r="B5530" i="49"/>
  <c r="B5531" i="49"/>
  <c r="B5532" i="49"/>
  <c r="B5533" i="49"/>
  <c r="B5534" i="49"/>
  <c r="B5535" i="49"/>
  <c r="B5536" i="49"/>
  <c r="B5537" i="49"/>
  <c r="B5538" i="49"/>
  <c r="B5539" i="49"/>
  <c r="B5540" i="49"/>
  <c r="B5541" i="49"/>
  <c r="B5542" i="49"/>
  <c r="B5543" i="49"/>
  <c r="B5544" i="49"/>
  <c r="B5545" i="49"/>
  <c r="B5546" i="49"/>
  <c r="B5547" i="49"/>
  <c r="B5548" i="49"/>
  <c r="B5549" i="49"/>
  <c r="B5550" i="49"/>
  <c r="B5551" i="49"/>
  <c r="B5552" i="49"/>
  <c r="B5553" i="49"/>
  <c r="B5554" i="49"/>
  <c r="B5555" i="49"/>
  <c r="B5556" i="49"/>
  <c r="B5557" i="49"/>
  <c r="B5558" i="49"/>
  <c r="B5559" i="49"/>
  <c r="B5560" i="49"/>
  <c r="B5561" i="49"/>
  <c r="B5562" i="49"/>
  <c r="B5563" i="49"/>
  <c r="B5564" i="49"/>
  <c r="B5565" i="49"/>
  <c r="B5566" i="49"/>
  <c r="B5567" i="49"/>
  <c r="B5568" i="49"/>
  <c r="B5569" i="49"/>
  <c r="B5570" i="49"/>
  <c r="B5571" i="49"/>
  <c r="B5572" i="49"/>
  <c r="B5573" i="49"/>
  <c r="B5574" i="49"/>
  <c r="B5575" i="49"/>
  <c r="B5576" i="49"/>
  <c r="B5577" i="49"/>
  <c r="B5578" i="49"/>
  <c r="B5579" i="49"/>
  <c r="B5580" i="49"/>
  <c r="B5581" i="49"/>
  <c r="B5582" i="49"/>
  <c r="B5583" i="49"/>
  <c r="B5584" i="49"/>
  <c r="B5585" i="49"/>
  <c r="B5586" i="49"/>
  <c r="B5587" i="49"/>
  <c r="B5588" i="49"/>
  <c r="B5589" i="49"/>
  <c r="B5590" i="49"/>
  <c r="B5591" i="49"/>
  <c r="B5592" i="49"/>
  <c r="B5593" i="49"/>
  <c r="B5594" i="49"/>
  <c r="B5595" i="49"/>
  <c r="B5596" i="49"/>
  <c r="B5597" i="49"/>
  <c r="B5598" i="49"/>
  <c r="B5599" i="49"/>
  <c r="B5600" i="49"/>
  <c r="B5601" i="49"/>
  <c r="B5602" i="49"/>
  <c r="B5603" i="49"/>
  <c r="B5604" i="49"/>
  <c r="B5605" i="49"/>
  <c r="B5606" i="49"/>
  <c r="B5607" i="49"/>
  <c r="B5608" i="49"/>
  <c r="B5609" i="49"/>
  <c r="B5610" i="49"/>
  <c r="B5611" i="49"/>
  <c r="B5612" i="49"/>
  <c r="B5613" i="49"/>
  <c r="B5614" i="49"/>
  <c r="B5615" i="49"/>
  <c r="B5616" i="49"/>
  <c r="B5617" i="49"/>
  <c r="B5618" i="49"/>
  <c r="B5619" i="49"/>
  <c r="B5620" i="49"/>
  <c r="B5621" i="49"/>
  <c r="B5622" i="49"/>
  <c r="B5623" i="49"/>
  <c r="B5624" i="49"/>
  <c r="B5625" i="49"/>
  <c r="B5626" i="49"/>
  <c r="B5627" i="49"/>
  <c r="B5628" i="49"/>
  <c r="B5629" i="49"/>
  <c r="B5630" i="49"/>
  <c r="B5631" i="49"/>
  <c r="B5632" i="49"/>
  <c r="B5633" i="49"/>
  <c r="B5634" i="49"/>
  <c r="B5635" i="49"/>
  <c r="B5636" i="49"/>
  <c r="B5637" i="49"/>
  <c r="B5638" i="49"/>
  <c r="B5639" i="49"/>
  <c r="B5640" i="49"/>
  <c r="B5641" i="49"/>
  <c r="B5642" i="49"/>
  <c r="B5643" i="49"/>
  <c r="B5644" i="49"/>
  <c r="B5645" i="49"/>
  <c r="B5646" i="49"/>
  <c r="B5647" i="49"/>
  <c r="B5648" i="49"/>
  <c r="B5649" i="49"/>
  <c r="B5650" i="49"/>
  <c r="B5651" i="49"/>
  <c r="B5652" i="49"/>
  <c r="B5653" i="49"/>
  <c r="B5654" i="49"/>
  <c r="B5655" i="49"/>
  <c r="B5656" i="49"/>
  <c r="B5657" i="49"/>
  <c r="B5658" i="49"/>
  <c r="B5659" i="49"/>
  <c r="B5660" i="49"/>
  <c r="B5661" i="49"/>
  <c r="B5662" i="49"/>
  <c r="B5663" i="49"/>
  <c r="B5664" i="49"/>
  <c r="B5665" i="49"/>
  <c r="B5666" i="49"/>
  <c r="B5667" i="49"/>
  <c r="B5668" i="49"/>
  <c r="B5669" i="49"/>
  <c r="B5670" i="49"/>
  <c r="B5671" i="49"/>
  <c r="B5672" i="49"/>
  <c r="B5673" i="49"/>
  <c r="B5674" i="49"/>
  <c r="B5675" i="49"/>
  <c r="B5676" i="49"/>
  <c r="B5677" i="49"/>
  <c r="B5678" i="49"/>
  <c r="B5679" i="49"/>
  <c r="B5680" i="49"/>
  <c r="B5681" i="49"/>
  <c r="B5682" i="49"/>
  <c r="B5683" i="49"/>
  <c r="B5684" i="49"/>
  <c r="B5685" i="49"/>
  <c r="B5686" i="49"/>
  <c r="B5687" i="49"/>
  <c r="B5688" i="49"/>
  <c r="B5689" i="49"/>
  <c r="B5690" i="49"/>
  <c r="B5691" i="49"/>
  <c r="B5692" i="49"/>
  <c r="B5693" i="49"/>
  <c r="B5694" i="49"/>
  <c r="B5695" i="49"/>
  <c r="B5696" i="49"/>
  <c r="B5697" i="49"/>
  <c r="B5698" i="49"/>
  <c r="B5699" i="49"/>
  <c r="B5700" i="49"/>
  <c r="B5701" i="49"/>
  <c r="B5702" i="49"/>
  <c r="B5703" i="49"/>
  <c r="B5704" i="49"/>
  <c r="B5705" i="49"/>
  <c r="B5706" i="49"/>
  <c r="B5707" i="49"/>
  <c r="B5708" i="49"/>
  <c r="B5709" i="49"/>
  <c r="B5710" i="49"/>
  <c r="B5711" i="49"/>
  <c r="B5712" i="49"/>
  <c r="B5713" i="49"/>
  <c r="B5714" i="49"/>
  <c r="B5715" i="49"/>
  <c r="B5716" i="49"/>
  <c r="B5717" i="49"/>
  <c r="B5718" i="49"/>
  <c r="B5719" i="49"/>
  <c r="B5720" i="49"/>
  <c r="B5721" i="49"/>
  <c r="B5722" i="49"/>
  <c r="B5723" i="49"/>
  <c r="B5724" i="49"/>
  <c r="B5725" i="49"/>
  <c r="B5726" i="49"/>
  <c r="B5727" i="49"/>
  <c r="B5728" i="49"/>
  <c r="B5729" i="49"/>
  <c r="B5730" i="49"/>
  <c r="B5731" i="49"/>
  <c r="B5732" i="49"/>
  <c r="B5733" i="49"/>
  <c r="B5734" i="49"/>
  <c r="B5735" i="49"/>
  <c r="B5736" i="49"/>
  <c r="B5737" i="49"/>
  <c r="B5738" i="49"/>
  <c r="B5739" i="49"/>
  <c r="B5740" i="49"/>
  <c r="B5741" i="49"/>
  <c r="B5742" i="49"/>
  <c r="B5743" i="49"/>
  <c r="B5744" i="49"/>
  <c r="B5745" i="49"/>
  <c r="B5746" i="49"/>
  <c r="B5747" i="49"/>
  <c r="B5748" i="49"/>
  <c r="B5749" i="49"/>
  <c r="B5750" i="49"/>
  <c r="B5751" i="49"/>
  <c r="B5752" i="49"/>
  <c r="B5753" i="49"/>
  <c r="B5754" i="49"/>
  <c r="B5755" i="49"/>
  <c r="B5756" i="49"/>
  <c r="B5757" i="49"/>
  <c r="B5758" i="49"/>
  <c r="B5759" i="49"/>
  <c r="B5760" i="49"/>
  <c r="B5761" i="49"/>
  <c r="B5762" i="49"/>
  <c r="B5763" i="49"/>
  <c r="B5764" i="49"/>
  <c r="B5765" i="49"/>
  <c r="B5766" i="49"/>
  <c r="B5767" i="49"/>
  <c r="B5768" i="49"/>
  <c r="B5769" i="49"/>
  <c r="B5770" i="49"/>
  <c r="B5771" i="49"/>
  <c r="B5772" i="49"/>
  <c r="B5773" i="49"/>
  <c r="B5774" i="49"/>
  <c r="B5775" i="49"/>
  <c r="B5776" i="49"/>
  <c r="B5777" i="49"/>
  <c r="B5778" i="49"/>
  <c r="B5779" i="49"/>
  <c r="B5780" i="49"/>
  <c r="B5781" i="49"/>
  <c r="B5782" i="49"/>
  <c r="B5783" i="49"/>
  <c r="B5784" i="49"/>
  <c r="B5785" i="49"/>
  <c r="B5786" i="49"/>
  <c r="B5787" i="49"/>
  <c r="B5788" i="49"/>
  <c r="B5789" i="49"/>
  <c r="B5790" i="49"/>
  <c r="B5791" i="49"/>
  <c r="B5792" i="49"/>
  <c r="B5793" i="49"/>
  <c r="B5794" i="49"/>
  <c r="B5795" i="49"/>
  <c r="B5796" i="49"/>
  <c r="B5797" i="49"/>
  <c r="B5798" i="49"/>
  <c r="B5799" i="49"/>
  <c r="B5800" i="49"/>
  <c r="B5801" i="49"/>
  <c r="B5802" i="49"/>
  <c r="B5803" i="49"/>
  <c r="B5804" i="49"/>
  <c r="B5805" i="49"/>
  <c r="B5806" i="49"/>
  <c r="B5807" i="49"/>
  <c r="B5808" i="49"/>
  <c r="B5809" i="49"/>
  <c r="B5810" i="49"/>
  <c r="B5811" i="49"/>
  <c r="B5812" i="49"/>
  <c r="B5813" i="49"/>
  <c r="B5814" i="49"/>
  <c r="B5815" i="49"/>
  <c r="B5816" i="49"/>
  <c r="B5817" i="49"/>
  <c r="B5818" i="49"/>
  <c r="B5819" i="49"/>
  <c r="B5820" i="49"/>
  <c r="B5821" i="49"/>
  <c r="B5822" i="49"/>
  <c r="B5823" i="49"/>
  <c r="B5824" i="49"/>
  <c r="B5825" i="49"/>
  <c r="B5826" i="49"/>
  <c r="B5827" i="49"/>
  <c r="B5828" i="49"/>
  <c r="B5829" i="49"/>
  <c r="B5830" i="49"/>
  <c r="B5831" i="49"/>
  <c r="B5832" i="49"/>
  <c r="B5833" i="49"/>
  <c r="B5834" i="49"/>
  <c r="B5835" i="49"/>
  <c r="B5836" i="49"/>
  <c r="B5837" i="49"/>
  <c r="B5838" i="49"/>
  <c r="B5839" i="49"/>
  <c r="B5840" i="49"/>
  <c r="B5841" i="49"/>
  <c r="B5842" i="49"/>
  <c r="B5843" i="49"/>
  <c r="B5844" i="49"/>
  <c r="B5845" i="49"/>
  <c r="B5846" i="49"/>
  <c r="B5847" i="49"/>
  <c r="B5848" i="49"/>
  <c r="B5849" i="49"/>
  <c r="B5850" i="49"/>
  <c r="B5851" i="49"/>
  <c r="B5852" i="49"/>
  <c r="B5853" i="49"/>
  <c r="B5854" i="49"/>
  <c r="B5855" i="49"/>
  <c r="B5856" i="49"/>
  <c r="B5857" i="49"/>
  <c r="B5858" i="49"/>
  <c r="B5859" i="49"/>
  <c r="B5860" i="49"/>
  <c r="B5861" i="49"/>
  <c r="B5862" i="49"/>
  <c r="B5863" i="49"/>
  <c r="B5864" i="49"/>
  <c r="B5865" i="49"/>
  <c r="B5866" i="49"/>
  <c r="B5867" i="49"/>
  <c r="B5868" i="49"/>
  <c r="B5869" i="49"/>
  <c r="B5870" i="49"/>
  <c r="B5871" i="49"/>
  <c r="B5872" i="49"/>
  <c r="B5873" i="49"/>
  <c r="B5874" i="49"/>
  <c r="B5875" i="49"/>
  <c r="B5876" i="49"/>
  <c r="B5877" i="49"/>
  <c r="B5878" i="49"/>
  <c r="B5879" i="49"/>
  <c r="B5880" i="49"/>
  <c r="B5881" i="49"/>
  <c r="B5882" i="49"/>
  <c r="B5883" i="49"/>
  <c r="B5884" i="49"/>
  <c r="B5885" i="49"/>
  <c r="B5886" i="49"/>
  <c r="B5887" i="49"/>
  <c r="B5888" i="49"/>
  <c r="B5889" i="49"/>
  <c r="B5890" i="49"/>
  <c r="B5891" i="49"/>
  <c r="B5892" i="49"/>
  <c r="B5893" i="49"/>
  <c r="B5894" i="49"/>
  <c r="B5895" i="49"/>
  <c r="B5896" i="49"/>
  <c r="B5897" i="49"/>
  <c r="B5898" i="49"/>
  <c r="B5899" i="49"/>
  <c r="B5900" i="49"/>
  <c r="B5901" i="49"/>
  <c r="B5902" i="49"/>
  <c r="B5903" i="49"/>
  <c r="B5904" i="49"/>
  <c r="B5905" i="49"/>
  <c r="B5906" i="49"/>
  <c r="B5907" i="49"/>
  <c r="B5908" i="49"/>
  <c r="B5909" i="49"/>
  <c r="B5910" i="49"/>
  <c r="B5911" i="49"/>
  <c r="B5912" i="49"/>
  <c r="B5913" i="49"/>
  <c r="B5914" i="49"/>
  <c r="B5915" i="49"/>
  <c r="B5916" i="49"/>
  <c r="B5917" i="49"/>
  <c r="B5918" i="49"/>
  <c r="B5919" i="49"/>
  <c r="B5920" i="49"/>
  <c r="B5921" i="49"/>
  <c r="B5922" i="49"/>
  <c r="B5923" i="49"/>
  <c r="B5924" i="49"/>
  <c r="B5925" i="49"/>
  <c r="B5926" i="49"/>
  <c r="B5927" i="49"/>
  <c r="B5928" i="49"/>
  <c r="B5929" i="49"/>
  <c r="B5930" i="49"/>
  <c r="B5931" i="49"/>
  <c r="B5932" i="49"/>
  <c r="B5933" i="49"/>
  <c r="B5934" i="49"/>
  <c r="B5935" i="49"/>
  <c r="B5936" i="49"/>
  <c r="B5937" i="49"/>
  <c r="B5938" i="49"/>
  <c r="B5939" i="49"/>
  <c r="B5940" i="49"/>
  <c r="B5941" i="49"/>
  <c r="B5942" i="49"/>
  <c r="B5943" i="49"/>
  <c r="B5944" i="49"/>
  <c r="B5945" i="49"/>
  <c r="B5946" i="49"/>
  <c r="B5947" i="49"/>
  <c r="B5948" i="49"/>
  <c r="B5949" i="49"/>
  <c r="B5950" i="49"/>
  <c r="B5951" i="49"/>
  <c r="B5952" i="49"/>
  <c r="B5953" i="49"/>
  <c r="B5954" i="49"/>
  <c r="B5955" i="49"/>
  <c r="B5956" i="49"/>
  <c r="B5957" i="49"/>
  <c r="B5958" i="49"/>
  <c r="B5959" i="49"/>
  <c r="B5960" i="49"/>
  <c r="B5961" i="49"/>
  <c r="B5962" i="49"/>
  <c r="B5963" i="49"/>
  <c r="B5964" i="49"/>
  <c r="B5965" i="49"/>
  <c r="B5966" i="49"/>
  <c r="B5967" i="49"/>
  <c r="B5968" i="49"/>
  <c r="B5969" i="49"/>
  <c r="B5970" i="49"/>
  <c r="B5971" i="49"/>
  <c r="B5972" i="49"/>
  <c r="B5973" i="49"/>
  <c r="B5974" i="49"/>
  <c r="B5975" i="49"/>
  <c r="B5976" i="49"/>
  <c r="B5977" i="49"/>
  <c r="B5978" i="49"/>
  <c r="B5979" i="49"/>
  <c r="B5980" i="49"/>
  <c r="B5981" i="49"/>
  <c r="B5982" i="49"/>
  <c r="B5983" i="49"/>
  <c r="B5984" i="49"/>
  <c r="B5985" i="49"/>
  <c r="B5986" i="49"/>
  <c r="B5987" i="49"/>
  <c r="B5988" i="49"/>
  <c r="B5989" i="49"/>
  <c r="B5990" i="49"/>
  <c r="B5991" i="49"/>
  <c r="B5992" i="49"/>
  <c r="B5993" i="49"/>
  <c r="B5994" i="49"/>
  <c r="B5995" i="49"/>
  <c r="B5996" i="49"/>
  <c r="B5997" i="49"/>
  <c r="B5998" i="49"/>
  <c r="B5999" i="49"/>
  <c r="B6000" i="49"/>
  <c r="B6001" i="49"/>
  <c r="B6002" i="49"/>
  <c r="B6003" i="49"/>
  <c r="B6004" i="49"/>
  <c r="B6005" i="49"/>
  <c r="B6006" i="49"/>
  <c r="B6007" i="49"/>
  <c r="B6008" i="49"/>
  <c r="B6009" i="49"/>
  <c r="B6010" i="49"/>
  <c r="B6011" i="49"/>
  <c r="B6012" i="49"/>
  <c r="B6013" i="49"/>
  <c r="B6014" i="49"/>
  <c r="B6015" i="49"/>
  <c r="B6016" i="49"/>
  <c r="B6017" i="49"/>
  <c r="B6018" i="49"/>
  <c r="B6019" i="49"/>
  <c r="B6020" i="49"/>
  <c r="B6021" i="49"/>
  <c r="B6022" i="49"/>
  <c r="B6023" i="49"/>
  <c r="B6024" i="49"/>
  <c r="B6025" i="49"/>
  <c r="B6026" i="49"/>
  <c r="B6027" i="49"/>
  <c r="B6028" i="49"/>
  <c r="B6029" i="49"/>
  <c r="B6030" i="49"/>
  <c r="B6031" i="49"/>
  <c r="B6032" i="49"/>
  <c r="B6033" i="49"/>
  <c r="B6034" i="49"/>
  <c r="B6035" i="49"/>
  <c r="B6036" i="49"/>
  <c r="B6037" i="49"/>
  <c r="B6038" i="49"/>
  <c r="B6039" i="49"/>
  <c r="B6040" i="49"/>
  <c r="B6041" i="49"/>
  <c r="B6042" i="49"/>
  <c r="B6043" i="49"/>
  <c r="B6044" i="49"/>
  <c r="B6045" i="49"/>
  <c r="B6046" i="49"/>
  <c r="B6047" i="49"/>
  <c r="B6048" i="49"/>
  <c r="B6049" i="49"/>
  <c r="B6050" i="49"/>
  <c r="B6051" i="49"/>
  <c r="B6052" i="49"/>
  <c r="B6053" i="49"/>
  <c r="B6054" i="49"/>
  <c r="B6055" i="49"/>
  <c r="B6056" i="49"/>
  <c r="B6057" i="49"/>
  <c r="B6058" i="49"/>
  <c r="B6059" i="49"/>
  <c r="B6060" i="49"/>
  <c r="B6061" i="49"/>
  <c r="B6062" i="49"/>
  <c r="B6063" i="49"/>
  <c r="B6064" i="49"/>
  <c r="B6065" i="49"/>
  <c r="B6066" i="49"/>
  <c r="B6067" i="49"/>
  <c r="B6068" i="49"/>
  <c r="B6069" i="49"/>
  <c r="B6070" i="49"/>
  <c r="B6071" i="49"/>
  <c r="B6072" i="49"/>
  <c r="B6073" i="49"/>
  <c r="B6074" i="49"/>
  <c r="B6075" i="49"/>
  <c r="B6076" i="49"/>
  <c r="B6077" i="49"/>
  <c r="B6078" i="49"/>
  <c r="B6079" i="49"/>
  <c r="B6080" i="49"/>
  <c r="B6081" i="49"/>
  <c r="B6082" i="49"/>
  <c r="B6083" i="49"/>
  <c r="B6084" i="49"/>
  <c r="B6085" i="49"/>
  <c r="B6086" i="49"/>
  <c r="B6087" i="49"/>
  <c r="B6088" i="49"/>
  <c r="B6089" i="49"/>
  <c r="B6090" i="49"/>
  <c r="B6091" i="49"/>
  <c r="B6092" i="49"/>
  <c r="B6093" i="49"/>
  <c r="B6094" i="49"/>
  <c r="B6095" i="49"/>
  <c r="B6096" i="49"/>
  <c r="B6097" i="49"/>
  <c r="B6098" i="49"/>
  <c r="B6099" i="49"/>
  <c r="B6100" i="49"/>
  <c r="B6101" i="49"/>
  <c r="B6102" i="49"/>
  <c r="B6103" i="49"/>
  <c r="B6104" i="49"/>
  <c r="B6105" i="49"/>
  <c r="B6106" i="49"/>
  <c r="B6107" i="49"/>
  <c r="B6108" i="49"/>
  <c r="B6109" i="49"/>
  <c r="B6110" i="49"/>
  <c r="B6111" i="49"/>
  <c r="B6112" i="49"/>
  <c r="B6113" i="49"/>
  <c r="B6114" i="49"/>
  <c r="B6115" i="49"/>
  <c r="B6116" i="49"/>
  <c r="B6117" i="49"/>
  <c r="B6118" i="49"/>
  <c r="B6119" i="49"/>
  <c r="B6120" i="49"/>
  <c r="B6121" i="49"/>
  <c r="B6122" i="49"/>
  <c r="B6123" i="49"/>
  <c r="B6124" i="49"/>
  <c r="B6125" i="49"/>
  <c r="B6126" i="49"/>
  <c r="B6127" i="49"/>
  <c r="B6128" i="49"/>
  <c r="B6129" i="49"/>
  <c r="B6130" i="49"/>
  <c r="B6131" i="49"/>
  <c r="B6132" i="49"/>
  <c r="B6133" i="49"/>
  <c r="B6134" i="49"/>
  <c r="B6135" i="49"/>
  <c r="B6136" i="49"/>
  <c r="B6137" i="49"/>
  <c r="B6138" i="49"/>
  <c r="B6139" i="49"/>
  <c r="B6140" i="49"/>
  <c r="B6141" i="49"/>
  <c r="B6142" i="49"/>
  <c r="B6143" i="49"/>
  <c r="B6144" i="49"/>
  <c r="B6145" i="49"/>
  <c r="B6146" i="49"/>
  <c r="B6147" i="49"/>
  <c r="B6148" i="49"/>
  <c r="B6149" i="49"/>
  <c r="B6150" i="49"/>
  <c r="B6151" i="49"/>
  <c r="B6152" i="49"/>
  <c r="B6153" i="49"/>
  <c r="B6154" i="49"/>
  <c r="B6155" i="49"/>
  <c r="B6156" i="49"/>
  <c r="B6157" i="49"/>
  <c r="B6158" i="49"/>
  <c r="B6159" i="49"/>
  <c r="B6160" i="49"/>
  <c r="B6161" i="49"/>
  <c r="B6162" i="49"/>
  <c r="B6163" i="49"/>
  <c r="B6164" i="49"/>
  <c r="B6165" i="49"/>
  <c r="B6166" i="49"/>
  <c r="B6167" i="49"/>
  <c r="B6168" i="49"/>
  <c r="B6169" i="49"/>
  <c r="B6170" i="49"/>
  <c r="B6171" i="49"/>
  <c r="B6172" i="49"/>
  <c r="B6173" i="49"/>
  <c r="B6174" i="49"/>
  <c r="B6175" i="49"/>
  <c r="B6176" i="49"/>
  <c r="B6177" i="49"/>
  <c r="B6178" i="49"/>
  <c r="B6179" i="49"/>
  <c r="B6180" i="49"/>
  <c r="B6181" i="49"/>
  <c r="B6182" i="49"/>
  <c r="B6183" i="49"/>
  <c r="B6184" i="49"/>
  <c r="B6185" i="49"/>
  <c r="B6186" i="49"/>
  <c r="B6187" i="49"/>
  <c r="B6188" i="49"/>
  <c r="B6189" i="49"/>
  <c r="B6190" i="49"/>
  <c r="B6191" i="49"/>
  <c r="B6192" i="49"/>
  <c r="B6193" i="49"/>
  <c r="B6194" i="49"/>
  <c r="B6195" i="49"/>
  <c r="B6196" i="49"/>
  <c r="B6197" i="49"/>
  <c r="B6198" i="49"/>
  <c r="B6199" i="49"/>
  <c r="B6200" i="49"/>
  <c r="B6201" i="49"/>
  <c r="B6202" i="49"/>
  <c r="B6203" i="49"/>
  <c r="B6204" i="49"/>
  <c r="B6205" i="49"/>
  <c r="B6206" i="49"/>
  <c r="B6207" i="49"/>
  <c r="B6208" i="49"/>
  <c r="B6209" i="49"/>
  <c r="B6210" i="49"/>
  <c r="B6211" i="49"/>
  <c r="B6212" i="49"/>
  <c r="B6213" i="49"/>
  <c r="B6214" i="49"/>
  <c r="B6215" i="49"/>
  <c r="B6216" i="49"/>
  <c r="B6217" i="49"/>
  <c r="B6218" i="49"/>
  <c r="B6219" i="49"/>
  <c r="B6220" i="49"/>
  <c r="B6221" i="49"/>
  <c r="B6222" i="49"/>
  <c r="B6223" i="49"/>
  <c r="B6224" i="49"/>
  <c r="B6225" i="49"/>
  <c r="B6226" i="49"/>
  <c r="B6227" i="49"/>
  <c r="B6228" i="49"/>
  <c r="B6229" i="49"/>
  <c r="B6230" i="49"/>
  <c r="B6231" i="49"/>
  <c r="B6232" i="49"/>
  <c r="B6233" i="49"/>
  <c r="B6234" i="49"/>
  <c r="B6235" i="49"/>
  <c r="B6236" i="49"/>
  <c r="B6237" i="49"/>
  <c r="B6238" i="49"/>
  <c r="B6239" i="49"/>
  <c r="B6240" i="49"/>
  <c r="B6241" i="49"/>
  <c r="B6242" i="49"/>
  <c r="B6243" i="49"/>
  <c r="B6244" i="49"/>
  <c r="B6245" i="49"/>
  <c r="B6246" i="49"/>
  <c r="B6247" i="49"/>
  <c r="B6248" i="49"/>
  <c r="B6249" i="49"/>
  <c r="B6250" i="49"/>
  <c r="B6251" i="49"/>
  <c r="B6252" i="49"/>
  <c r="B6253" i="49"/>
  <c r="B6254" i="49"/>
  <c r="B6255" i="49"/>
  <c r="B6256" i="49"/>
  <c r="B6257" i="49"/>
  <c r="B6258" i="49"/>
  <c r="B6259" i="49"/>
  <c r="B6260" i="49"/>
  <c r="B6261" i="49"/>
  <c r="B6262" i="49"/>
  <c r="B6263" i="49"/>
  <c r="B6264" i="49"/>
  <c r="B6265" i="49"/>
  <c r="B6266" i="49"/>
  <c r="B6267" i="49"/>
  <c r="B6268" i="49"/>
  <c r="B6269" i="49"/>
  <c r="B6270" i="49"/>
  <c r="B6271" i="49"/>
  <c r="B6272" i="49"/>
  <c r="B6273" i="49"/>
  <c r="B6274" i="49"/>
  <c r="B6275" i="49"/>
  <c r="B6276" i="49"/>
  <c r="B6277" i="49"/>
  <c r="B6278" i="49"/>
  <c r="B6279" i="49"/>
  <c r="B6280" i="49"/>
  <c r="B6281" i="49"/>
  <c r="B6282" i="49"/>
  <c r="B6283" i="49"/>
  <c r="B6284" i="49"/>
  <c r="B6285" i="49"/>
  <c r="B6286" i="49"/>
  <c r="B6287" i="49"/>
  <c r="B6288" i="49"/>
  <c r="B6289" i="49"/>
  <c r="B6290" i="49"/>
  <c r="B6291" i="49"/>
  <c r="B6292" i="49"/>
  <c r="B6293" i="49"/>
  <c r="B6294" i="49"/>
  <c r="B6295" i="49"/>
  <c r="B6296" i="49"/>
  <c r="B6297" i="49"/>
  <c r="B6298" i="49"/>
  <c r="B6299" i="49"/>
  <c r="B6300" i="49"/>
  <c r="B6301" i="49"/>
  <c r="B6302" i="49"/>
  <c r="B6303" i="49"/>
  <c r="B6304" i="49"/>
  <c r="B6305" i="49"/>
  <c r="B6306" i="49"/>
  <c r="B6307" i="49"/>
  <c r="B6308" i="49"/>
  <c r="B6309" i="49"/>
  <c r="B6310" i="49"/>
  <c r="B6311" i="49"/>
  <c r="B6312" i="49"/>
  <c r="B6313" i="49"/>
  <c r="B6314" i="49"/>
  <c r="B6315" i="49"/>
  <c r="B6316" i="49"/>
  <c r="B6317" i="49"/>
  <c r="B6318" i="49"/>
  <c r="B6319" i="49"/>
  <c r="B6320" i="49"/>
  <c r="B6321" i="49"/>
  <c r="B6322" i="49"/>
  <c r="B6323" i="49"/>
  <c r="B6324" i="49"/>
  <c r="B6325" i="49"/>
  <c r="B6326" i="49"/>
  <c r="B6327" i="49"/>
  <c r="B6328" i="49"/>
  <c r="B6329" i="49"/>
  <c r="B6330" i="49"/>
  <c r="B6331" i="49"/>
  <c r="B6332" i="49"/>
  <c r="B6333" i="49"/>
  <c r="B6334" i="49"/>
  <c r="B6335" i="49"/>
  <c r="B6336" i="49"/>
  <c r="B6337" i="49"/>
  <c r="B6338" i="49"/>
  <c r="B6339" i="49"/>
  <c r="B6340" i="49"/>
  <c r="B6341" i="49"/>
  <c r="B6342" i="49"/>
  <c r="B6343" i="49"/>
  <c r="B6344" i="49"/>
  <c r="B6345" i="49"/>
  <c r="B6346" i="49"/>
  <c r="B6347" i="49"/>
  <c r="B6348" i="49"/>
  <c r="B6349" i="49"/>
  <c r="B6350" i="49"/>
  <c r="B6351" i="49"/>
  <c r="B6352" i="49"/>
  <c r="B6353" i="49"/>
  <c r="B6354" i="49"/>
  <c r="B6355" i="49"/>
  <c r="B6356" i="49"/>
  <c r="B6357" i="49"/>
  <c r="B6358" i="49"/>
  <c r="B6359" i="49"/>
  <c r="B6360" i="49"/>
  <c r="B6361" i="49"/>
  <c r="B6362" i="49"/>
  <c r="B6363" i="49"/>
  <c r="B6364" i="49"/>
  <c r="B6365" i="49"/>
  <c r="B6366" i="49"/>
  <c r="B6367" i="49"/>
  <c r="B6368" i="49"/>
  <c r="B6369" i="49"/>
  <c r="B6370" i="49"/>
  <c r="B6371" i="49"/>
  <c r="B6372" i="49"/>
  <c r="B6373" i="49"/>
  <c r="B6374" i="49"/>
  <c r="B6375" i="49"/>
  <c r="B6376" i="49"/>
  <c r="B6377" i="49"/>
  <c r="B6378" i="49"/>
  <c r="B6379" i="49"/>
  <c r="B6380" i="49"/>
  <c r="B6381" i="49"/>
  <c r="B6382" i="49"/>
  <c r="B6383" i="49"/>
  <c r="B6384" i="49"/>
  <c r="B6385" i="49"/>
  <c r="B6386" i="49"/>
  <c r="B6387" i="49"/>
  <c r="B6388" i="49"/>
  <c r="B6389" i="49"/>
  <c r="B6390" i="49"/>
  <c r="B6391" i="49"/>
  <c r="B6392" i="49"/>
  <c r="B6393" i="49"/>
  <c r="B6394" i="49"/>
  <c r="B6395" i="49"/>
  <c r="B6396" i="49"/>
  <c r="B6397" i="49"/>
  <c r="B6398" i="49"/>
  <c r="B6399" i="49"/>
  <c r="B6400" i="49"/>
  <c r="B6401" i="49"/>
  <c r="B6402" i="49"/>
  <c r="B6403" i="49"/>
  <c r="B6404" i="49"/>
  <c r="B6405" i="49"/>
  <c r="B6406" i="49"/>
  <c r="B6407" i="49"/>
  <c r="B6408" i="49"/>
  <c r="B6409" i="49"/>
  <c r="B6410" i="49"/>
  <c r="B6411" i="49"/>
  <c r="B6412" i="49"/>
  <c r="B6413" i="49"/>
  <c r="B6414" i="49"/>
  <c r="B6415" i="49"/>
  <c r="B6416" i="49"/>
  <c r="B6417" i="49"/>
  <c r="B6418" i="49"/>
  <c r="B6419" i="49"/>
  <c r="B6420" i="49"/>
  <c r="B6421" i="49"/>
  <c r="B6422" i="49"/>
  <c r="B6423" i="49"/>
  <c r="B6424" i="49"/>
  <c r="B6425" i="49"/>
  <c r="B6426" i="49"/>
  <c r="B6427" i="49"/>
  <c r="B6428" i="49"/>
  <c r="B6429" i="49"/>
  <c r="B6430" i="49"/>
  <c r="B6431" i="49"/>
  <c r="B6432" i="49"/>
  <c r="B6433" i="49"/>
  <c r="B6434" i="49"/>
  <c r="B6435" i="49"/>
  <c r="B6436" i="49"/>
  <c r="B6437" i="49"/>
  <c r="B6438" i="49"/>
  <c r="B6439" i="49"/>
  <c r="B6440" i="49"/>
  <c r="B6441" i="49"/>
  <c r="B6442" i="49"/>
  <c r="B6443" i="49"/>
  <c r="B6444" i="49"/>
  <c r="B6445" i="49"/>
  <c r="B6446" i="49"/>
  <c r="B6447" i="49"/>
  <c r="B6448" i="49"/>
  <c r="B6449" i="49"/>
  <c r="B6450" i="49"/>
  <c r="B6451" i="49"/>
  <c r="B6452" i="49"/>
  <c r="B6453" i="49"/>
  <c r="B6454" i="49"/>
  <c r="B6455" i="49"/>
  <c r="B6456" i="49"/>
  <c r="B6457" i="49"/>
  <c r="B6458" i="49"/>
  <c r="B6459" i="49"/>
  <c r="B6460" i="49"/>
  <c r="B6461" i="49"/>
  <c r="B6462" i="49"/>
  <c r="B6463" i="49"/>
  <c r="B6464" i="49"/>
  <c r="B6465" i="49"/>
  <c r="B6466" i="49"/>
  <c r="B6467" i="49"/>
  <c r="B6468" i="49"/>
  <c r="B6469" i="49"/>
  <c r="B6470" i="49"/>
  <c r="B6471" i="49"/>
  <c r="B6472" i="49"/>
  <c r="B6473" i="49"/>
  <c r="B6474" i="49"/>
  <c r="B6475" i="49"/>
  <c r="B6476" i="49"/>
  <c r="B6477" i="49"/>
  <c r="B6478" i="49"/>
  <c r="B6479" i="49"/>
  <c r="B6480" i="49"/>
  <c r="B6481" i="49"/>
  <c r="B6482" i="49"/>
  <c r="B6483" i="49"/>
  <c r="B6484" i="49"/>
  <c r="B6485" i="49"/>
  <c r="B6486" i="49"/>
  <c r="B6487" i="49"/>
  <c r="B6488" i="49"/>
  <c r="B6489" i="49"/>
  <c r="B6490" i="49"/>
  <c r="B6491" i="49"/>
  <c r="B6492" i="49"/>
  <c r="B6493" i="49"/>
  <c r="B6494" i="49"/>
  <c r="B6495" i="49"/>
  <c r="B6496" i="49"/>
  <c r="B6497" i="49"/>
  <c r="B6498" i="49"/>
  <c r="B6499" i="49"/>
  <c r="B6500" i="49"/>
  <c r="B6501" i="49"/>
  <c r="B6502" i="49"/>
  <c r="B6503" i="49"/>
  <c r="B6504" i="49"/>
  <c r="B6505" i="49"/>
  <c r="B6506" i="49"/>
  <c r="B6507" i="49"/>
  <c r="B6508" i="49"/>
  <c r="B6509" i="49"/>
  <c r="B6510" i="49"/>
  <c r="B6511" i="49"/>
  <c r="B6512" i="49"/>
  <c r="B6513" i="49"/>
  <c r="B6514" i="49"/>
  <c r="B6515" i="49"/>
  <c r="B6516" i="49"/>
  <c r="B6517" i="49"/>
  <c r="B6518" i="49"/>
  <c r="B6519" i="49"/>
  <c r="B6520" i="49"/>
  <c r="B6521" i="49"/>
  <c r="B6522" i="49"/>
  <c r="B6523" i="49"/>
  <c r="B6524" i="49"/>
  <c r="B6525" i="49"/>
  <c r="B6526" i="49"/>
  <c r="B6527" i="49"/>
  <c r="B6528" i="49"/>
  <c r="B6529" i="49"/>
  <c r="B6530" i="49"/>
  <c r="B6531" i="49"/>
  <c r="B6532" i="49"/>
  <c r="B6533" i="49"/>
  <c r="B6534" i="49"/>
  <c r="B6535" i="49"/>
  <c r="B6536" i="49"/>
  <c r="B6537" i="49"/>
  <c r="B6538" i="49"/>
  <c r="B6539" i="49"/>
  <c r="B6540" i="49"/>
  <c r="B6541" i="49"/>
  <c r="B6542" i="49"/>
  <c r="B6543" i="49"/>
  <c r="B6544" i="49"/>
  <c r="B6545" i="49"/>
  <c r="B6546" i="49"/>
  <c r="B6547" i="49"/>
  <c r="B6548" i="49"/>
  <c r="B6549" i="49"/>
  <c r="B6550" i="49"/>
  <c r="B6551" i="49"/>
  <c r="B6552" i="49"/>
  <c r="B6553" i="49"/>
  <c r="B6554" i="49"/>
  <c r="B6555" i="49"/>
  <c r="B6556" i="49"/>
  <c r="B6557" i="49"/>
  <c r="B6558" i="49"/>
  <c r="B6559" i="49"/>
  <c r="B6560" i="49"/>
  <c r="B6561" i="49"/>
  <c r="B6562" i="49"/>
  <c r="B6563" i="49"/>
  <c r="B6564" i="49"/>
  <c r="B6565" i="49"/>
  <c r="B6566" i="49"/>
  <c r="B6567" i="49"/>
  <c r="B6568" i="49"/>
  <c r="B6569" i="49"/>
  <c r="B6570" i="49"/>
  <c r="B6571" i="49"/>
  <c r="B6572" i="49"/>
  <c r="B6573" i="49"/>
  <c r="B6574" i="49"/>
  <c r="B6575" i="49"/>
  <c r="B6576" i="49"/>
  <c r="B6577" i="49"/>
  <c r="B6578" i="49"/>
  <c r="B6579" i="49"/>
  <c r="B6580" i="49"/>
  <c r="B6581" i="49"/>
  <c r="B6582" i="49"/>
  <c r="B6583" i="49"/>
  <c r="B6584" i="49"/>
  <c r="B6585" i="49"/>
  <c r="B6586" i="49"/>
  <c r="B6587" i="49"/>
  <c r="B6588" i="49"/>
  <c r="B6589" i="49"/>
  <c r="B6590" i="49"/>
  <c r="B6591" i="49"/>
  <c r="B6592" i="49"/>
  <c r="B6593" i="49"/>
  <c r="B6594" i="49"/>
  <c r="B6595" i="49"/>
  <c r="B6596" i="49"/>
  <c r="B6597" i="49"/>
  <c r="B6598" i="49"/>
  <c r="B6599" i="49"/>
  <c r="B6600" i="49"/>
  <c r="B6601" i="49"/>
  <c r="B6602" i="49"/>
  <c r="B6603" i="49"/>
  <c r="B6604" i="49"/>
  <c r="B6605" i="49"/>
  <c r="B6606" i="49"/>
  <c r="B6607" i="49"/>
  <c r="B6608" i="49"/>
  <c r="B6609" i="49"/>
  <c r="B6610" i="49"/>
  <c r="B6611" i="49"/>
  <c r="B6612" i="49"/>
  <c r="B6613" i="49"/>
  <c r="B6614" i="49"/>
  <c r="B6615" i="49"/>
  <c r="B6616" i="49"/>
  <c r="B6617" i="49"/>
  <c r="B6618" i="49"/>
  <c r="B6619" i="49"/>
  <c r="B6620" i="49"/>
  <c r="B6621" i="49"/>
  <c r="B6622" i="49"/>
  <c r="B6623" i="49"/>
  <c r="B6624" i="49"/>
  <c r="B6625" i="49"/>
  <c r="B6626" i="49"/>
  <c r="B6627" i="49"/>
  <c r="B6628" i="49"/>
  <c r="B6629" i="49"/>
  <c r="B6630" i="49"/>
  <c r="B6631" i="49"/>
  <c r="B6632" i="49"/>
  <c r="B6633" i="49"/>
  <c r="B6634" i="49"/>
  <c r="B6635" i="49"/>
  <c r="B6636" i="49"/>
  <c r="B6637" i="49"/>
  <c r="B6638" i="49"/>
  <c r="B6639" i="49"/>
  <c r="B6640" i="49"/>
  <c r="B6641" i="49"/>
  <c r="B6642" i="49"/>
  <c r="B6643" i="49"/>
  <c r="B6644" i="49"/>
  <c r="B6645" i="49"/>
  <c r="B6646" i="49"/>
  <c r="B6647" i="49"/>
  <c r="B6648" i="49"/>
  <c r="B6649" i="49"/>
  <c r="B6650" i="49"/>
  <c r="B6651" i="49"/>
  <c r="B6652" i="49"/>
  <c r="B6653" i="49"/>
  <c r="B6654" i="49"/>
  <c r="B6655" i="49"/>
  <c r="B6656" i="49"/>
  <c r="B6657" i="49"/>
  <c r="B6658" i="49"/>
  <c r="B6659" i="49"/>
  <c r="B6660" i="49"/>
  <c r="B6661" i="49"/>
  <c r="B6662" i="49"/>
  <c r="B6663" i="49"/>
  <c r="B6664" i="49"/>
  <c r="B6665" i="49"/>
  <c r="B6666" i="49"/>
  <c r="B6667" i="49"/>
  <c r="B6668" i="49"/>
  <c r="B6669" i="49"/>
  <c r="B6670" i="49"/>
  <c r="B6671" i="49"/>
  <c r="B6672" i="49"/>
  <c r="B6673" i="49"/>
  <c r="B6674" i="49"/>
  <c r="B6675" i="49"/>
  <c r="B6676" i="49"/>
  <c r="B6677" i="49"/>
  <c r="B6678" i="49"/>
  <c r="B6679" i="49"/>
  <c r="B6680" i="49"/>
  <c r="B6681" i="49"/>
  <c r="B6682" i="49"/>
  <c r="B6683" i="49"/>
  <c r="B6684" i="49"/>
  <c r="B6685" i="49"/>
  <c r="B6686" i="49"/>
  <c r="B6687" i="49"/>
  <c r="B6688" i="49"/>
  <c r="B6689" i="49"/>
  <c r="B6690" i="49"/>
  <c r="B6691" i="49"/>
  <c r="B6692" i="49"/>
  <c r="B6693" i="49"/>
  <c r="B6694" i="49"/>
  <c r="B6695" i="49"/>
  <c r="B6696" i="49"/>
  <c r="B6697" i="49"/>
  <c r="B6698" i="49"/>
  <c r="B6699" i="49"/>
  <c r="B6700" i="49"/>
  <c r="B6701" i="49"/>
  <c r="B6702" i="49"/>
  <c r="B6703" i="49"/>
  <c r="B6704" i="49"/>
  <c r="B6705" i="49"/>
  <c r="B6706" i="49"/>
  <c r="B6707" i="49"/>
  <c r="B6708" i="49"/>
  <c r="B6709" i="49"/>
  <c r="B6710" i="49"/>
  <c r="B6711" i="49"/>
  <c r="B6712" i="49"/>
  <c r="B6713" i="49"/>
  <c r="B6714" i="49"/>
  <c r="B6715" i="49"/>
  <c r="B6716" i="49"/>
  <c r="B6717" i="49"/>
  <c r="B6718" i="49"/>
  <c r="B6719" i="49"/>
  <c r="B6720" i="49"/>
  <c r="B6721" i="49"/>
  <c r="B6722" i="49"/>
  <c r="B6723" i="49"/>
  <c r="B6724" i="49"/>
  <c r="B6725" i="49"/>
  <c r="B6726" i="49"/>
  <c r="B6727" i="49"/>
  <c r="B6728" i="49"/>
  <c r="B6729" i="49"/>
  <c r="B6730" i="49"/>
  <c r="B6731" i="49"/>
  <c r="B6732" i="49"/>
  <c r="B6733" i="49"/>
  <c r="B6734" i="49"/>
  <c r="B6735" i="49"/>
  <c r="B6736" i="49"/>
  <c r="B6737" i="49"/>
  <c r="B6738" i="49"/>
  <c r="B6739" i="49"/>
  <c r="B6740" i="49"/>
  <c r="B6741" i="49"/>
  <c r="B6742" i="49"/>
  <c r="B6743" i="49"/>
  <c r="B6744" i="49"/>
  <c r="B6745" i="49"/>
  <c r="B6746" i="49"/>
  <c r="B6747" i="49"/>
  <c r="B6748" i="49"/>
  <c r="B6749" i="49"/>
  <c r="B6750" i="49"/>
  <c r="B6751" i="49"/>
  <c r="B6752" i="49"/>
  <c r="B6753" i="49"/>
  <c r="B6754" i="49"/>
  <c r="B6755" i="49"/>
  <c r="B6756" i="49"/>
  <c r="B6757" i="49"/>
  <c r="B6758" i="49"/>
  <c r="B6759" i="49"/>
  <c r="B6760" i="49"/>
  <c r="B6761" i="49"/>
  <c r="B6762" i="49"/>
  <c r="B6763" i="49"/>
  <c r="B6764" i="49"/>
  <c r="B6765" i="49"/>
  <c r="B6766" i="49"/>
  <c r="B6767" i="49"/>
  <c r="B6768" i="49"/>
  <c r="B6769" i="49"/>
  <c r="B6770" i="49"/>
  <c r="B6771" i="49"/>
  <c r="B6772" i="49"/>
  <c r="B6773" i="49"/>
  <c r="B6774" i="49"/>
  <c r="B6775" i="49"/>
  <c r="B6776" i="49"/>
  <c r="B6777" i="49"/>
  <c r="B6778" i="49"/>
  <c r="B6779" i="49"/>
  <c r="B6780" i="49"/>
  <c r="B6781" i="49"/>
  <c r="B6782" i="49"/>
  <c r="B6783" i="49"/>
  <c r="B6784" i="49"/>
  <c r="B6785" i="49"/>
  <c r="B6786" i="49"/>
  <c r="B6787" i="49"/>
  <c r="B6788" i="49"/>
  <c r="B6789" i="49"/>
  <c r="B6790" i="49"/>
  <c r="B6791" i="49"/>
  <c r="B6792" i="49"/>
  <c r="B6793" i="49"/>
  <c r="B6794" i="49"/>
  <c r="B6795" i="49"/>
  <c r="B6796" i="49"/>
  <c r="B6797" i="49"/>
  <c r="B6798" i="49"/>
  <c r="B6799" i="49"/>
  <c r="B6800" i="49"/>
  <c r="B6801" i="49"/>
  <c r="B6802" i="49"/>
  <c r="B6803" i="49"/>
  <c r="B6804" i="49"/>
  <c r="B6805" i="49"/>
  <c r="B6806" i="49"/>
  <c r="B6807" i="49"/>
  <c r="B6808" i="49"/>
  <c r="B6809" i="49"/>
  <c r="B6810" i="49"/>
  <c r="B6811" i="49"/>
  <c r="B6812" i="49"/>
  <c r="B6813" i="49"/>
  <c r="B6814" i="49"/>
  <c r="B6815" i="49"/>
  <c r="B6816" i="49"/>
  <c r="B6817" i="49"/>
  <c r="B6818" i="49"/>
  <c r="B6819" i="49"/>
  <c r="B6820" i="49"/>
  <c r="B6821" i="49"/>
  <c r="B6822" i="49"/>
  <c r="B6823" i="49"/>
  <c r="B6824" i="49"/>
  <c r="B6825" i="49"/>
  <c r="B6826" i="49"/>
  <c r="B6827" i="49"/>
  <c r="B6828" i="49"/>
  <c r="B6829" i="49"/>
  <c r="B6830" i="49"/>
  <c r="B6831" i="49"/>
  <c r="B6832" i="49"/>
  <c r="B6833" i="49"/>
  <c r="B6834" i="49"/>
  <c r="B6835" i="49"/>
  <c r="B6836" i="49"/>
  <c r="B6837" i="49"/>
  <c r="B6838" i="49"/>
  <c r="B6839" i="49"/>
  <c r="B6840" i="49"/>
  <c r="B6841" i="49"/>
  <c r="B6842" i="49"/>
  <c r="B6843" i="49"/>
  <c r="B6844" i="49"/>
  <c r="B6845" i="49"/>
  <c r="B6846" i="49"/>
  <c r="B6847" i="49"/>
  <c r="B6848" i="49"/>
  <c r="B6849" i="49"/>
  <c r="B6850" i="49"/>
  <c r="B6851" i="49"/>
  <c r="B6852" i="49"/>
  <c r="B6853" i="49"/>
  <c r="B6854" i="49"/>
  <c r="B6855" i="49"/>
  <c r="B6856" i="49"/>
  <c r="B6857" i="49"/>
  <c r="B6858" i="49"/>
  <c r="B6859" i="49"/>
  <c r="B6860" i="49"/>
  <c r="B6861" i="49"/>
  <c r="B6862" i="49"/>
  <c r="B6863" i="49"/>
  <c r="B6864" i="49"/>
  <c r="B6865" i="49"/>
  <c r="B6866" i="49"/>
  <c r="B6867" i="49"/>
  <c r="B6868" i="49"/>
  <c r="B6869" i="49"/>
  <c r="B6870" i="49"/>
  <c r="B6871" i="49"/>
  <c r="B6872" i="49"/>
  <c r="B6873" i="49"/>
  <c r="B6874" i="49"/>
  <c r="B6875" i="49"/>
  <c r="B6876" i="49"/>
  <c r="B6877" i="49"/>
  <c r="B6878" i="49"/>
  <c r="B6879" i="49"/>
  <c r="B6880" i="49"/>
  <c r="B6881" i="49"/>
  <c r="B6882" i="49"/>
  <c r="B6883" i="49"/>
  <c r="B6884" i="49"/>
  <c r="B6885" i="49"/>
  <c r="B6886" i="49"/>
  <c r="B6887" i="49"/>
  <c r="B6888" i="49"/>
  <c r="B6889" i="49"/>
  <c r="B6890" i="49"/>
  <c r="B6891" i="49"/>
  <c r="B6892" i="49"/>
  <c r="B6893" i="49"/>
  <c r="B6894" i="49"/>
  <c r="B6895" i="49"/>
  <c r="B6896" i="49"/>
  <c r="B6897" i="49"/>
  <c r="B6898" i="49"/>
  <c r="B6899" i="49"/>
  <c r="B6900" i="49"/>
  <c r="B6901" i="49"/>
  <c r="B6902" i="49"/>
  <c r="B6903" i="49"/>
  <c r="B6904" i="49"/>
  <c r="B6905" i="49"/>
  <c r="B6906" i="49"/>
  <c r="B6907" i="49"/>
  <c r="B6908" i="49"/>
  <c r="B6909" i="49"/>
  <c r="B6910" i="49"/>
  <c r="B6911" i="49"/>
  <c r="B6912" i="49"/>
  <c r="B6913" i="49"/>
  <c r="B6914" i="49"/>
  <c r="B6915" i="49"/>
  <c r="B6916" i="49"/>
  <c r="B6917" i="49"/>
  <c r="B6918" i="49"/>
  <c r="B6919" i="49"/>
  <c r="B6920" i="49"/>
  <c r="B6921" i="49"/>
  <c r="B6922" i="49"/>
  <c r="B6923" i="49"/>
  <c r="B6924" i="49"/>
  <c r="B6925" i="49"/>
  <c r="B6926" i="49"/>
  <c r="B6927" i="49"/>
  <c r="B6928" i="49"/>
  <c r="B6929" i="49"/>
  <c r="B6930" i="49"/>
  <c r="B6931" i="49"/>
  <c r="B6932" i="49"/>
  <c r="B6933" i="49"/>
  <c r="B6934" i="49"/>
  <c r="B6935" i="49"/>
  <c r="B6936" i="49"/>
  <c r="B6937" i="49"/>
  <c r="B6938" i="49"/>
  <c r="B6939" i="49"/>
  <c r="B6940" i="49"/>
  <c r="B6941" i="49"/>
  <c r="B6942" i="49"/>
  <c r="B6943" i="49"/>
  <c r="B6944" i="49"/>
  <c r="B6945" i="49"/>
  <c r="B6946" i="49"/>
  <c r="B6947" i="49"/>
  <c r="B6948" i="49"/>
  <c r="B6949" i="49"/>
  <c r="B6950" i="49"/>
  <c r="B6951" i="49"/>
  <c r="B6952" i="49"/>
  <c r="B6953" i="49"/>
  <c r="B6954" i="49"/>
  <c r="B6955" i="49"/>
  <c r="B6956" i="49"/>
  <c r="B6957" i="49"/>
  <c r="B6958" i="49"/>
  <c r="B6959" i="49"/>
  <c r="B6960" i="49"/>
  <c r="B6961" i="49"/>
  <c r="B6962" i="49"/>
  <c r="B6963" i="49"/>
  <c r="B6964" i="49"/>
  <c r="B6965" i="49"/>
  <c r="B6966" i="49"/>
  <c r="B6967" i="49"/>
  <c r="B6968" i="49"/>
  <c r="B6969" i="49"/>
  <c r="B6970" i="49"/>
  <c r="B6971" i="49"/>
  <c r="B6972" i="49"/>
  <c r="B6973" i="49"/>
  <c r="B6974" i="49"/>
  <c r="B6975" i="49"/>
  <c r="B6976" i="49"/>
  <c r="B6977" i="49"/>
  <c r="B6978" i="49"/>
  <c r="B6979" i="49"/>
  <c r="B6980" i="49"/>
  <c r="B6981" i="49"/>
  <c r="B6982" i="49"/>
  <c r="B6983" i="49"/>
  <c r="B6984" i="49"/>
  <c r="B6985" i="49"/>
  <c r="B6986" i="49"/>
  <c r="B6987" i="49"/>
  <c r="B6988" i="49"/>
  <c r="B6989" i="49"/>
  <c r="B6990" i="49"/>
  <c r="B6991" i="49"/>
  <c r="B6992" i="49"/>
  <c r="B6993" i="49"/>
  <c r="B6994" i="49"/>
  <c r="B6995" i="49"/>
  <c r="B6996" i="49"/>
  <c r="B6997" i="49"/>
  <c r="B6998" i="49"/>
  <c r="B6999" i="49"/>
  <c r="B7000" i="49"/>
  <c r="B7001" i="49"/>
  <c r="B7002" i="49"/>
  <c r="B7003" i="49"/>
  <c r="B7004" i="49"/>
  <c r="B7005" i="49"/>
  <c r="B7006" i="49"/>
  <c r="B7007" i="49"/>
  <c r="B7008" i="49"/>
  <c r="B7009" i="49"/>
  <c r="B7010" i="49"/>
  <c r="B7011" i="49"/>
  <c r="B7012" i="49"/>
  <c r="B7013" i="49"/>
  <c r="B7014" i="49"/>
  <c r="B7015" i="49"/>
  <c r="B7016" i="49"/>
  <c r="B7017" i="49"/>
  <c r="B7018" i="49"/>
  <c r="B7019" i="49"/>
  <c r="B7020" i="49"/>
  <c r="B7021" i="49"/>
  <c r="B7022" i="49"/>
  <c r="B7023" i="49"/>
  <c r="B7024" i="49"/>
  <c r="B7025" i="49"/>
  <c r="B7026" i="49"/>
  <c r="B7027" i="49"/>
  <c r="B7028" i="49"/>
  <c r="B7029" i="49"/>
  <c r="B7030" i="49"/>
  <c r="B7031" i="49"/>
  <c r="B7032" i="49"/>
  <c r="B7033" i="49"/>
  <c r="B7034" i="49"/>
  <c r="B7035" i="49"/>
  <c r="B7036" i="49"/>
  <c r="B7037" i="49"/>
  <c r="B7038" i="49"/>
  <c r="B7039" i="49"/>
  <c r="B7040" i="49"/>
  <c r="B7041" i="49"/>
  <c r="B7042" i="49"/>
  <c r="B7043" i="49"/>
  <c r="B7044" i="49"/>
  <c r="B7045" i="49"/>
  <c r="B7046" i="49"/>
  <c r="B7047" i="49"/>
  <c r="B7048" i="49"/>
  <c r="B7049" i="49"/>
  <c r="B7050" i="49"/>
  <c r="B7051" i="49"/>
  <c r="B7052" i="49"/>
  <c r="B7053" i="49"/>
  <c r="B7054" i="49"/>
  <c r="B7055" i="49"/>
  <c r="B7056" i="49"/>
  <c r="B7057" i="49"/>
  <c r="B7058" i="49"/>
  <c r="B7059" i="49"/>
  <c r="B7060" i="49"/>
  <c r="B7061" i="49"/>
  <c r="B7062" i="49"/>
  <c r="B7063" i="49"/>
  <c r="B7064" i="49"/>
  <c r="B7065" i="49"/>
  <c r="B7066" i="49"/>
  <c r="B7067" i="49"/>
  <c r="B7068" i="49"/>
  <c r="B7069" i="49"/>
  <c r="B7070" i="49"/>
  <c r="B7071" i="49"/>
  <c r="B7072" i="49"/>
  <c r="B7073" i="49"/>
  <c r="B7074" i="49"/>
  <c r="B7075" i="49"/>
  <c r="B7076" i="49"/>
  <c r="B7077" i="49"/>
  <c r="B7078" i="49"/>
  <c r="B7079" i="49"/>
  <c r="B7080" i="49"/>
  <c r="B7081" i="49"/>
  <c r="B7082" i="49"/>
  <c r="B7083" i="49"/>
  <c r="B7084" i="49"/>
  <c r="B7085" i="49"/>
  <c r="B7086" i="49"/>
  <c r="B7087" i="49"/>
  <c r="B7088" i="49"/>
  <c r="B7089" i="49"/>
  <c r="B7090" i="49"/>
  <c r="B7091" i="49"/>
  <c r="B7092" i="49"/>
  <c r="B7093" i="49"/>
  <c r="B7094" i="49"/>
  <c r="B7095" i="49"/>
  <c r="B7096" i="49"/>
  <c r="B7097" i="49"/>
  <c r="B7098" i="49"/>
  <c r="B7099" i="49"/>
  <c r="B7100" i="49"/>
  <c r="B7101" i="49"/>
  <c r="B7102" i="49"/>
  <c r="B7103" i="49"/>
  <c r="B7104" i="49"/>
  <c r="B7105" i="49"/>
  <c r="B7106" i="49"/>
  <c r="B7107" i="49"/>
  <c r="B7108" i="49"/>
  <c r="B7109" i="49"/>
  <c r="B7110" i="49"/>
  <c r="B7111" i="49"/>
  <c r="B7112" i="49"/>
  <c r="B7113" i="49"/>
  <c r="B7114" i="49"/>
  <c r="B7115" i="49"/>
  <c r="B7116" i="49"/>
  <c r="B7117" i="49"/>
  <c r="B7118" i="49"/>
  <c r="B7119" i="49"/>
  <c r="B7120" i="49"/>
  <c r="B7121" i="49"/>
  <c r="B7122" i="49"/>
  <c r="B7123" i="49"/>
  <c r="B7124" i="49"/>
  <c r="B7125" i="49"/>
  <c r="B7126" i="49"/>
  <c r="B7127" i="49"/>
  <c r="B7128" i="49"/>
  <c r="B7129" i="49"/>
  <c r="B7130" i="49"/>
  <c r="B7131" i="49"/>
  <c r="B7132" i="49"/>
  <c r="B7133" i="49"/>
  <c r="B7134" i="49"/>
  <c r="B7135" i="49"/>
  <c r="B7136" i="49"/>
  <c r="B7137" i="49"/>
  <c r="B7138" i="49"/>
  <c r="B7139" i="49"/>
  <c r="B7140" i="49"/>
  <c r="B7141" i="49"/>
  <c r="B7142" i="49"/>
  <c r="B7143" i="49"/>
  <c r="B7144" i="49"/>
  <c r="B7145" i="49"/>
  <c r="B7146" i="49"/>
  <c r="B7147" i="49"/>
  <c r="B7148" i="49"/>
  <c r="B7149" i="49"/>
  <c r="B7150" i="49"/>
  <c r="B7151" i="49"/>
  <c r="B7152" i="49"/>
  <c r="B7153" i="49"/>
  <c r="B7154" i="49"/>
  <c r="B7155" i="49"/>
  <c r="B7156" i="49"/>
  <c r="B7157" i="49"/>
  <c r="B7158" i="49"/>
  <c r="B7159" i="49"/>
  <c r="B7160" i="49"/>
  <c r="B7161" i="49"/>
  <c r="B7162" i="49"/>
  <c r="B7163" i="49"/>
  <c r="B7164" i="49"/>
  <c r="B7165" i="49"/>
  <c r="B7166" i="49"/>
  <c r="B7167" i="49"/>
  <c r="B7168" i="49"/>
  <c r="B7169" i="49"/>
  <c r="B7170" i="49"/>
  <c r="B7171" i="49"/>
  <c r="B7172" i="49"/>
  <c r="B7173" i="49"/>
  <c r="B7174" i="49"/>
  <c r="B7175" i="49"/>
  <c r="B7176" i="49"/>
  <c r="B7177" i="49"/>
  <c r="B7178" i="49"/>
  <c r="B7179" i="49"/>
  <c r="B7180" i="49"/>
  <c r="B7181" i="49"/>
  <c r="B7182" i="49"/>
  <c r="B7183" i="49"/>
  <c r="B7184" i="49"/>
  <c r="B7185" i="49"/>
  <c r="B7186" i="49"/>
  <c r="B7187" i="49"/>
  <c r="B7188" i="49"/>
  <c r="B7189" i="49"/>
  <c r="B7190" i="49"/>
  <c r="B7191" i="49"/>
  <c r="B7192" i="49"/>
  <c r="B7193" i="49"/>
  <c r="B7194" i="49"/>
  <c r="B7195" i="49"/>
  <c r="B7196" i="49"/>
  <c r="B7197" i="49"/>
  <c r="B7198" i="49"/>
  <c r="B7199" i="49"/>
  <c r="B7200" i="49"/>
  <c r="B7201" i="49"/>
  <c r="B7202" i="49"/>
  <c r="B7203" i="49"/>
  <c r="B7204" i="49"/>
  <c r="B7205" i="49"/>
  <c r="B7206" i="49"/>
  <c r="B7207" i="49"/>
  <c r="B7208" i="49"/>
  <c r="B7209" i="49"/>
  <c r="B7210" i="49"/>
  <c r="B7211" i="49"/>
  <c r="B7212" i="49"/>
  <c r="B7213" i="49"/>
  <c r="B7214" i="49"/>
  <c r="B7215" i="49"/>
  <c r="B7216" i="49"/>
  <c r="B7217" i="49"/>
  <c r="B7218" i="49"/>
  <c r="B7219" i="49"/>
  <c r="B7220" i="49"/>
  <c r="B7221" i="49"/>
  <c r="B7222" i="49"/>
  <c r="B7223" i="49"/>
  <c r="B7224" i="49"/>
  <c r="B7225" i="49"/>
  <c r="B7226" i="49"/>
  <c r="B7227" i="49"/>
  <c r="B7228" i="49"/>
  <c r="B7229" i="49"/>
  <c r="B7230" i="49"/>
  <c r="B7231" i="49"/>
  <c r="B7232" i="49"/>
  <c r="B7233" i="49"/>
  <c r="B7234" i="49"/>
  <c r="B7235" i="49"/>
  <c r="B7236" i="49"/>
  <c r="B7237" i="49"/>
  <c r="B7238" i="49"/>
  <c r="B7239" i="49"/>
  <c r="B7240" i="49"/>
  <c r="B7241" i="49"/>
  <c r="B7242" i="49"/>
  <c r="B7243" i="49"/>
  <c r="B7244" i="49"/>
  <c r="B7245" i="49"/>
  <c r="B7246" i="49"/>
  <c r="B7247" i="49"/>
  <c r="B7248" i="49"/>
  <c r="B7249" i="49"/>
  <c r="B7250" i="49"/>
  <c r="B7251" i="49"/>
  <c r="B7252" i="49"/>
  <c r="B7253" i="49"/>
  <c r="B7254" i="49"/>
  <c r="B7255" i="49"/>
  <c r="B7256" i="49"/>
  <c r="B7257" i="49"/>
  <c r="B7258" i="49"/>
  <c r="B7259" i="49"/>
  <c r="B7260" i="49"/>
  <c r="B7261" i="49"/>
  <c r="B7262" i="49"/>
  <c r="B7263" i="49"/>
  <c r="B7264" i="49"/>
  <c r="B7265" i="49"/>
  <c r="B7266" i="49"/>
  <c r="B7267" i="49"/>
  <c r="B7268" i="49"/>
  <c r="B7269" i="49"/>
  <c r="B7270" i="49"/>
  <c r="B7271" i="49"/>
  <c r="B7272" i="49"/>
  <c r="B7273" i="49"/>
  <c r="B7274" i="49"/>
  <c r="B7275" i="49"/>
  <c r="B7276" i="49"/>
  <c r="B7277" i="49"/>
  <c r="B7278" i="49"/>
  <c r="B7279" i="49"/>
  <c r="B7280" i="49"/>
  <c r="B7281" i="49"/>
  <c r="B7282" i="49"/>
  <c r="B7283" i="49"/>
  <c r="B7284" i="49"/>
  <c r="B7285" i="49"/>
  <c r="B7286" i="49"/>
  <c r="B7287" i="49"/>
  <c r="B7288" i="49"/>
  <c r="B7289" i="49"/>
  <c r="B7290" i="49"/>
  <c r="B7291" i="49"/>
  <c r="B7292" i="49"/>
  <c r="B7293" i="49"/>
  <c r="B7294" i="49"/>
  <c r="B7295" i="49"/>
  <c r="B7296" i="49"/>
  <c r="B7297" i="49"/>
  <c r="B7298" i="49"/>
  <c r="B7299" i="49"/>
  <c r="B7300" i="49"/>
  <c r="B7301" i="49"/>
  <c r="B7302" i="49"/>
  <c r="B7303" i="49"/>
  <c r="B7304" i="49"/>
  <c r="B7305" i="49"/>
  <c r="B7306" i="49"/>
  <c r="B7307" i="49"/>
  <c r="B7308" i="49"/>
  <c r="B7309" i="49"/>
  <c r="B7310" i="49"/>
  <c r="B7311" i="49"/>
  <c r="B7312" i="49"/>
  <c r="B7313" i="49"/>
  <c r="B7314" i="49"/>
  <c r="B7315" i="49"/>
  <c r="B7316" i="49"/>
  <c r="B7317" i="49"/>
  <c r="B7318" i="49"/>
  <c r="B7319" i="49"/>
  <c r="B7320" i="49"/>
  <c r="B7321" i="49"/>
  <c r="B7322" i="49"/>
  <c r="B7323" i="49"/>
  <c r="B7324" i="49"/>
  <c r="B7325" i="49"/>
  <c r="B7326" i="49"/>
  <c r="B7327" i="49"/>
  <c r="B7328" i="49"/>
  <c r="B7329" i="49"/>
  <c r="B7330" i="49"/>
  <c r="B7331" i="49"/>
  <c r="B7332" i="49"/>
  <c r="B7333" i="49"/>
  <c r="B7334" i="49"/>
  <c r="B7335" i="49"/>
  <c r="B7336" i="49"/>
  <c r="B7337" i="49"/>
  <c r="B7338" i="49"/>
  <c r="B7339" i="49"/>
  <c r="B7340" i="49"/>
  <c r="B7341" i="49"/>
  <c r="B7342" i="49"/>
  <c r="B7343" i="49"/>
  <c r="B7344" i="49"/>
  <c r="B7345" i="49"/>
  <c r="B7346" i="49"/>
  <c r="B7347" i="49"/>
  <c r="B7348" i="49"/>
  <c r="B7349" i="49"/>
  <c r="B7350" i="49"/>
  <c r="B7351" i="49"/>
  <c r="B7352" i="49"/>
  <c r="B7353" i="49"/>
  <c r="B7354" i="49"/>
  <c r="B7355" i="49"/>
  <c r="B7356" i="49"/>
  <c r="B7357" i="49"/>
  <c r="B7358" i="49"/>
  <c r="B7359" i="49"/>
  <c r="B7360" i="49"/>
  <c r="B7361" i="49"/>
  <c r="B7362" i="49"/>
  <c r="B7363" i="49"/>
  <c r="B7364" i="49"/>
  <c r="B7365" i="49"/>
  <c r="B7366" i="49"/>
  <c r="B7367" i="49"/>
  <c r="B7368" i="49"/>
  <c r="B7369" i="49"/>
  <c r="B7370" i="49"/>
  <c r="B7371" i="49"/>
  <c r="B7372" i="49"/>
  <c r="B7373" i="49"/>
  <c r="B7374" i="49"/>
  <c r="B7375" i="49"/>
  <c r="B7376" i="49"/>
  <c r="B7377" i="49"/>
  <c r="B7378" i="49"/>
  <c r="B7379" i="49"/>
  <c r="B7380" i="49"/>
  <c r="B7381" i="49"/>
  <c r="B7382" i="49"/>
  <c r="B7383" i="49"/>
  <c r="B7384" i="49"/>
  <c r="B7385" i="49"/>
  <c r="B7386" i="49"/>
  <c r="B7387" i="49"/>
  <c r="B7388" i="49"/>
  <c r="B7389" i="49"/>
  <c r="B7390" i="49"/>
  <c r="B7391" i="49"/>
  <c r="B7392" i="49"/>
  <c r="B7393" i="49"/>
  <c r="B7394" i="49"/>
  <c r="B7395" i="49"/>
  <c r="B7396" i="49"/>
  <c r="B7397" i="49"/>
  <c r="B7398" i="49"/>
  <c r="B7399" i="49"/>
  <c r="B7400" i="49"/>
  <c r="B7401" i="49"/>
  <c r="B7402" i="49"/>
  <c r="B7403" i="49"/>
  <c r="B7404" i="49"/>
  <c r="B7405" i="49"/>
  <c r="B7406" i="49"/>
  <c r="B7407" i="49"/>
  <c r="B7408" i="49"/>
  <c r="B7409" i="49"/>
  <c r="B7410" i="49"/>
  <c r="B7411" i="49"/>
  <c r="B7412" i="49"/>
  <c r="B7413" i="49"/>
  <c r="B7414" i="49"/>
  <c r="B7415" i="49"/>
  <c r="B7416" i="49"/>
  <c r="B7417" i="49"/>
  <c r="B7418" i="49"/>
  <c r="B7419" i="49"/>
  <c r="B7420" i="49"/>
  <c r="B7421" i="49"/>
  <c r="B7422" i="49"/>
  <c r="B7423" i="49"/>
  <c r="B7424" i="49"/>
  <c r="B7425" i="49"/>
  <c r="B7426" i="49"/>
  <c r="B7427" i="49"/>
  <c r="B7428" i="49"/>
  <c r="B7429" i="49"/>
  <c r="B7430" i="49"/>
  <c r="B7431" i="49"/>
  <c r="B7432" i="49"/>
  <c r="B7433" i="49"/>
  <c r="B7434" i="49"/>
  <c r="B7435" i="49"/>
  <c r="B7436" i="49"/>
  <c r="B7437" i="49"/>
  <c r="B7438" i="49"/>
  <c r="B7439" i="49"/>
  <c r="B7440" i="49"/>
  <c r="B7441" i="49"/>
  <c r="B7442" i="49"/>
  <c r="B7443" i="49"/>
  <c r="B7444" i="49"/>
  <c r="B7445" i="49"/>
  <c r="B7446" i="49"/>
  <c r="B7447" i="49"/>
  <c r="B7448" i="49"/>
  <c r="B7449" i="49"/>
  <c r="B7450" i="49"/>
  <c r="B7451" i="49"/>
  <c r="B7452" i="49"/>
  <c r="B7453" i="49"/>
  <c r="B7454" i="49"/>
  <c r="B7455" i="49"/>
  <c r="B7456" i="49"/>
  <c r="B7457" i="49"/>
  <c r="B7458" i="49"/>
  <c r="B7459" i="49"/>
  <c r="B7460" i="49"/>
  <c r="B7461" i="49"/>
  <c r="B7462" i="49"/>
  <c r="B7463" i="49"/>
  <c r="B7464" i="49"/>
  <c r="B7465" i="49"/>
  <c r="B7466" i="49"/>
  <c r="B7467" i="49"/>
  <c r="B7468" i="49"/>
  <c r="B7469" i="49"/>
  <c r="B7470" i="49"/>
  <c r="B7471" i="49"/>
  <c r="B7472" i="49"/>
  <c r="B7473" i="49"/>
  <c r="B7474" i="49"/>
  <c r="B7475" i="49"/>
  <c r="B7476" i="49"/>
  <c r="B7477" i="49"/>
  <c r="B7478" i="49"/>
  <c r="B7479" i="49"/>
  <c r="B7480" i="49"/>
  <c r="B7481" i="49"/>
  <c r="B7482" i="49"/>
  <c r="B7483" i="49"/>
  <c r="B7484" i="49"/>
  <c r="B7485" i="49"/>
  <c r="B7486" i="49"/>
  <c r="B7487" i="49"/>
  <c r="B7488" i="49"/>
  <c r="B7489" i="49"/>
  <c r="B7490" i="49"/>
  <c r="B7491" i="49"/>
  <c r="B7492" i="49"/>
  <c r="B7493" i="49"/>
  <c r="B7494" i="49"/>
  <c r="B7495" i="49"/>
  <c r="B7496" i="49"/>
  <c r="B7497" i="49"/>
  <c r="B7498" i="49"/>
  <c r="B7499" i="49"/>
  <c r="B7500" i="49"/>
  <c r="B7501" i="49"/>
  <c r="B7502" i="49"/>
  <c r="B7503" i="49"/>
  <c r="B7504" i="49"/>
  <c r="B7505" i="49"/>
  <c r="B7506" i="49"/>
  <c r="B7507" i="49"/>
  <c r="B7508" i="49"/>
  <c r="B7509" i="49"/>
  <c r="B7510" i="49"/>
  <c r="B7511" i="49"/>
  <c r="B7512" i="49"/>
  <c r="B7513" i="49"/>
  <c r="B7514" i="49"/>
  <c r="B7515" i="49"/>
  <c r="B7516" i="49"/>
  <c r="B7517" i="49"/>
  <c r="B7518" i="49"/>
  <c r="B7519" i="49"/>
  <c r="B7520" i="49"/>
  <c r="B7521" i="49"/>
  <c r="B7522" i="49"/>
  <c r="B7523" i="49"/>
  <c r="B7524" i="49"/>
  <c r="B7525" i="49"/>
  <c r="B7526" i="49"/>
  <c r="B7527" i="49"/>
  <c r="B7528" i="49"/>
  <c r="B7529" i="49"/>
  <c r="B7530" i="49"/>
  <c r="B7531" i="49"/>
  <c r="B7532" i="49"/>
  <c r="B7533" i="49"/>
  <c r="B7534" i="49"/>
  <c r="B7535" i="49"/>
  <c r="B7536" i="49"/>
  <c r="B7537" i="49"/>
  <c r="B7538" i="49"/>
  <c r="B7539" i="49"/>
  <c r="B7540" i="49"/>
  <c r="B7541" i="49"/>
  <c r="B7542" i="49"/>
  <c r="B7543" i="49"/>
  <c r="B7544" i="49"/>
  <c r="B7545" i="49"/>
  <c r="B7546" i="49"/>
  <c r="B7547" i="49"/>
  <c r="B7548" i="49"/>
  <c r="B7549" i="49"/>
  <c r="B7550" i="49"/>
  <c r="B7551" i="49"/>
  <c r="B7552" i="49"/>
  <c r="B7553" i="49"/>
  <c r="B7554" i="49"/>
  <c r="B7555" i="49"/>
  <c r="B7556" i="49"/>
  <c r="B7557" i="49"/>
  <c r="B7558" i="49"/>
  <c r="B7559" i="49"/>
  <c r="B7560" i="49"/>
  <c r="B7561" i="49"/>
  <c r="B7562" i="49"/>
  <c r="B7563" i="49"/>
  <c r="B7564" i="49"/>
  <c r="B7565" i="49"/>
  <c r="B7566" i="49"/>
  <c r="B7567" i="49"/>
  <c r="B7568" i="49"/>
  <c r="B7569" i="49"/>
  <c r="B7570" i="49"/>
  <c r="B7571" i="49"/>
  <c r="B7572" i="49"/>
  <c r="B7573" i="49"/>
  <c r="B7574" i="49"/>
  <c r="B7575" i="49"/>
  <c r="B7576" i="49"/>
  <c r="B7577" i="49"/>
  <c r="B7578" i="49"/>
  <c r="B7579" i="49"/>
  <c r="B7580" i="49"/>
  <c r="B7581" i="49"/>
  <c r="B7582" i="49"/>
  <c r="B7583" i="49"/>
  <c r="B7584" i="49"/>
  <c r="B7585" i="49"/>
  <c r="B7586" i="49"/>
  <c r="B7587" i="49"/>
  <c r="B7588" i="49"/>
  <c r="B7589" i="49"/>
  <c r="B7590" i="49"/>
  <c r="B7591" i="49"/>
  <c r="B7592" i="49"/>
  <c r="B7593" i="49"/>
  <c r="B7594" i="49"/>
  <c r="B7595" i="49"/>
  <c r="B7596" i="49"/>
  <c r="B7597" i="49"/>
  <c r="B7598" i="49"/>
  <c r="B7599" i="49"/>
  <c r="B7600" i="49"/>
  <c r="B7601" i="49"/>
  <c r="B7602" i="49"/>
  <c r="B7603" i="49"/>
  <c r="B7604" i="49"/>
  <c r="B7605" i="49"/>
  <c r="B7606" i="49"/>
  <c r="B7607" i="49"/>
  <c r="B7608" i="49"/>
  <c r="B7609" i="49"/>
  <c r="B7610" i="49"/>
  <c r="B7611" i="49"/>
  <c r="B7612" i="49"/>
  <c r="B7613" i="49"/>
  <c r="B7614" i="49"/>
  <c r="B7615" i="49"/>
  <c r="B7616" i="49"/>
  <c r="B7617" i="49"/>
  <c r="B7618" i="49"/>
  <c r="B7619" i="49"/>
  <c r="B7620" i="49"/>
  <c r="B7621" i="49"/>
  <c r="B7622" i="49"/>
  <c r="B7623" i="49"/>
  <c r="B7624" i="49"/>
  <c r="B7625" i="49"/>
  <c r="B7626" i="49"/>
  <c r="B7627" i="49"/>
  <c r="B7628" i="49"/>
  <c r="B7629" i="49"/>
  <c r="B7630" i="49"/>
  <c r="B7631" i="49"/>
  <c r="B7632" i="49"/>
  <c r="B7633" i="49"/>
  <c r="B7634" i="49"/>
  <c r="B7635" i="49"/>
  <c r="B7636" i="49"/>
  <c r="B7637" i="49"/>
  <c r="B7638" i="49"/>
  <c r="B7639" i="49"/>
  <c r="B7640" i="49"/>
  <c r="B7641" i="49"/>
  <c r="B7642" i="49"/>
  <c r="B7643" i="49"/>
  <c r="B7644" i="49"/>
  <c r="B7645" i="49"/>
  <c r="B7646" i="49"/>
  <c r="B7647" i="49"/>
  <c r="B7648" i="49"/>
  <c r="B7649" i="49"/>
  <c r="B7650" i="49"/>
  <c r="B7651" i="49"/>
  <c r="B7652" i="49"/>
  <c r="B7653" i="49"/>
  <c r="B7654" i="49"/>
  <c r="B7655" i="49"/>
  <c r="B7656" i="49"/>
  <c r="B7657" i="49"/>
  <c r="B7658" i="49"/>
  <c r="B7659" i="49"/>
  <c r="B7660" i="49"/>
  <c r="B7661" i="49"/>
  <c r="B7662" i="49"/>
  <c r="B7663" i="49"/>
  <c r="B7664" i="49"/>
  <c r="B7665" i="49"/>
  <c r="B7666" i="49"/>
  <c r="B7667" i="49"/>
  <c r="B7668" i="49"/>
  <c r="B7669" i="49"/>
  <c r="B7670" i="49"/>
  <c r="B7671" i="49"/>
  <c r="B7672" i="49"/>
  <c r="B7673" i="49"/>
  <c r="B7674" i="49"/>
  <c r="B7675" i="49"/>
  <c r="B7676" i="49"/>
  <c r="B7677" i="49"/>
  <c r="B7678" i="49"/>
  <c r="B7679" i="49"/>
  <c r="B7680" i="49"/>
  <c r="B7681" i="49"/>
  <c r="B7682" i="49"/>
  <c r="B7683" i="49"/>
  <c r="B7684" i="49"/>
  <c r="B7685" i="49"/>
  <c r="B7686" i="49"/>
  <c r="B7687" i="49"/>
  <c r="B7688" i="49"/>
  <c r="B7689" i="49"/>
  <c r="B7690" i="49"/>
  <c r="B7691" i="49"/>
  <c r="B7692" i="49"/>
  <c r="B7693" i="49"/>
  <c r="B7694" i="49"/>
  <c r="B7695" i="49"/>
  <c r="B7696" i="49"/>
  <c r="B7697" i="49"/>
  <c r="B7698" i="49"/>
  <c r="B7699" i="49"/>
  <c r="B7700" i="49"/>
  <c r="B7701" i="49"/>
  <c r="B7702" i="49"/>
  <c r="B7703" i="49"/>
  <c r="B7704" i="49"/>
  <c r="B7705" i="49"/>
  <c r="B7706" i="49"/>
  <c r="B7707" i="49"/>
  <c r="B7708" i="49"/>
  <c r="B7709" i="49"/>
  <c r="B7710" i="49"/>
  <c r="B7711" i="49"/>
  <c r="B7712" i="49"/>
  <c r="B7713" i="49"/>
  <c r="B7714" i="49"/>
  <c r="B7715" i="49"/>
  <c r="B7716" i="49"/>
  <c r="B7717" i="49"/>
  <c r="B7718" i="49"/>
  <c r="B7719" i="49"/>
  <c r="B7720" i="49"/>
  <c r="B7721" i="49"/>
  <c r="B7722" i="49"/>
  <c r="B7723" i="49"/>
  <c r="B7724" i="49"/>
  <c r="B7725" i="49"/>
  <c r="B7726" i="49"/>
  <c r="B7727" i="49"/>
  <c r="B7728" i="49"/>
  <c r="B7729" i="49"/>
  <c r="B7730" i="49"/>
  <c r="B7731" i="49"/>
  <c r="B7732" i="49"/>
  <c r="B7733" i="49"/>
  <c r="B7734" i="49"/>
  <c r="B7735" i="49"/>
  <c r="B7736" i="49"/>
  <c r="B7737" i="49"/>
  <c r="B7738" i="49"/>
  <c r="B7739" i="49"/>
  <c r="B7740" i="49"/>
  <c r="B7741" i="49"/>
  <c r="B7742" i="49"/>
  <c r="B7743" i="49"/>
  <c r="B7744" i="49"/>
  <c r="B7745" i="49"/>
  <c r="B7746" i="49"/>
  <c r="B7747" i="49"/>
  <c r="B7748" i="49"/>
  <c r="B7749" i="49"/>
  <c r="B7750" i="49"/>
  <c r="B7751" i="49"/>
  <c r="B7752" i="49"/>
  <c r="B7753" i="49"/>
  <c r="B7754" i="49"/>
  <c r="B7755" i="49"/>
  <c r="B7756" i="49"/>
  <c r="B7757" i="49"/>
  <c r="B7758" i="49"/>
  <c r="B7759" i="49"/>
  <c r="B7760" i="49"/>
  <c r="B7761" i="49"/>
  <c r="B7762" i="49"/>
  <c r="B7763" i="49"/>
  <c r="B7764" i="49"/>
  <c r="B7765" i="49"/>
  <c r="B7766" i="49"/>
  <c r="B7767" i="49"/>
  <c r="B7768" i="49"/>
  <c r="B7769" i="49"/>
  <c r="B7770" i="49"/>
  <c r="B7771" i="49"/>
  <c r="B7772" i="49"/>
  <c r="B7773" i="49"/>
  <c r="B7774" i="49"/>
  <c r="B7775" i="49"/>
  <c r="B7776" i="49"/>
  <c r="B7777" i="49"/>
  <c r="B7778" i="49"/>
  <c r="B7779" i="49"/>
  <c r="B7780" i="49"/>
  <c r="B7781" i="49"/>
  <c r="B7782" i="49"/>
  <c r="B7783" i="49"/>
  <c r="B7784" i="49"/>
  <c r="B7785" i="49"/>
  <c r="B7786" i="49"/>
  <c r="B7787" i="49"/>
  <c r="B7788" i="49"/>
  <c r="B7789" i="49"/>
  <c r="B7790" i="49"/>
  <c r="B7791" i="49"/>
  <c r="B7792" i="49"/>
  <c r="B7793" i="49"/>
  <c r="B7794" i="49"/>
  <c r="B7795" i="49"/>
  <c r="B7796" i="49"/>
  <c r="B7797" i="49"/>
  <c r="B7798" i="49"/>
  <c r="B7799" i="49"/>
  <c r="B7800" i="49"/>
  <c r="B7801" i="49"/>
  <c r="B7802" i="49"/>
  <c r="B7803" i="49"/>
  <c r="B7804" i="49"/>
  <c r="B7805" i="49"/>
  <c r="B7806" i="49"/>
  <c r="B7807" i="49"/>
  <c r="B7808" i="49"/>
  <c r="B7809" i="49"/>
  <c r="B7810" i="49"/>
  <c r="B7811" i="49"/>
  <c r="B7812" i="49"/>
  <c r="B7813" i="49"/>
  <c r="B7814" i="49"/>
  <c r="B7815" i="49"/>
  <c r="B7816" i="49"/>
  <c r="B7817" i="49"/>
  <c r="B7818" i="49"/>
  <c r="B7819" i="49"/>
  <c r="B7820" i="49"/>
  <c r="B7821" i="49"/>
  <c r="B7822" i="49"/>
  <c r="B7823" i="49"/>
  <c r="B7824" i="49"/>
  <c r="B7825" i="49"/>
  <c r="B7826" i="49"/>
  <c r="B7827" i="49"/>
  <c r="B7828" i="49"/>
  <c r="B7829" i="49"/>
  <c r="B7830" i="49"/>
  <c r="B7831" i="49"/>
  <c r="B7832" i="49"/>
  <c r="B7833" i="49"/>
  <c r="B7834" i="49"/>
  <c r="B7835" i="49"/>
  <c r="B7836" i="49"/>
  <c r="B7837" i="49"/>
  <c r="B7838" i="49"/>
  <c r="B7839" i="49"/>
  <c r="B7840" i="49"/>
  <c r="B7841" i="49"/>
  <c r="B7842" i="49"/>
  <c r="B7843" i="49"/>
  <c r="B7844" i="49"/>
  <c r="B7845" i="49"/>
  <c r="B7846" i="49"/>
  <c r="B7847" i="49"/>
  <c r="B7848" i="49"/>
  <c r="B7849" i="49"/>
  <c r="B7850" i="49"/>
  <c r="B7851" i="49"/>
  <c r="B7852" i="49"/>
  <c r="B7853" i="49"/>
  <c r="B7854" i="49"/>
  <c r="B7855" i="49"/>
  <c r="B7856" i="49"/>
  <c r="B7857" i="49"/>
  <c r="B7858" i="49"/>
  <c r="B7859" i="49"/>
  <c r="B7860" i="49"/>
  <c r="B7861" i="49"/>
  <c r="B7862" i="49"/>
  <c r="B7863" i="49"/>
  <c r="B7864" i="49"/>
  <c r="B7865" i="49"/>
  <c r="B7866" i="49"/>
  <c r="B7867" i="49"/>
  <c r="B7868" i="49"/>
  <c r="B7869" i="49"/>
  <c r="B7870" i="49"/>
  <c r="B7871" i="49"/>
  <c r="B7872" i="49"/>
  <c r="B7873" i="49"/>
  <c r="B7874" i="49"/>
  <c r="B7875" i="49"/>
  <c r="B7876" i="49"/>
  <c r="B7877" i="49"/>
  <c r="B7878" i="49"/>
  <c r="B7879" i="49"/>
  <c r="B7880" i="49"/>
  <c r="B7881" i="49"/>
  <c r="B7882" i="49"/>
  <c r="B7883" i="49"/>
  <c r="B7884" i="49"/>
  <c r="B7885" i="49"/>
  <c r="B7886" i="49"/>
  <c r="B7887" i="49"/>
  <c r="B7888" i="49"/>
  <c r="B7889" i="49"/>
  <c r="B7890" i="49"/>
  <c r="B7891" i="49"/>
  <c r="B7892" i="49"/>
  <c r="B7893" i="49"/>
  <c r="B7894" i="49"/>
  <c r="B7895" i="49"/>
  <c r="B7896" i="49"/>
  <c r="B7897" i="49"/>
  <c r="B7898" i="49"/>
  <c r="B7899" i="49"/>
  <c r="B7900" i="49"/>
  <c r="B7901" i="49"/>
  <c r="B7902" i="49"/>
  <c r="B7903" i="49"/>
  <c r="B7904" i="49"/>
  <c r="B7905" i="49"/>
  <c r="B7906" i="49"/>
  <c r="B7907" i="49"/>
  <c r="B7908" i="49"/>
  <c r="B7909" i="49"/>
  <c r="B7910" i="49"/>
  <c r="B7911" i="49"/>
  <c r="B7912" i="49"/>
  <c r="B7913" i="49"/>
  <c r="B7914" i="49"/>
  <c r="B7915" i="49"/>
  <c r="B7916" i="49"/>
  <c r="B7917" i="49"/>
  <c r="B7918" i="49"/>
  <c r="B7919" i="49"/>
  <c r="B7920" i="49"/>
  <c r="B7921" i="49"/>
  <c r="B7922" i="49"/>
  <c r="B7923" i="49"/>
  <c r="B7924" i="49"/>
  <c r="B7925" i="49"/>
  <c r="B7926" i="49"/>
  <c r="B7927" i="49"/>
  <c r="B7928" i="49"/>
  <c r="B7929" i="49"/>
  <c r="B7930" i="49"/>
  <c r="B7931" i="49"/>
  <c r="B7932" i="49"/>
  <c r="B7933" i="49"/>
  <c r="B7934" i="49"/>
  <c r="B7935" i="49"/>
  <c r="B7936" i="49"/>
  <c r="B7937" i="49"/>
  <c r="B7938" i="49"/>
  <c r="B7939" i="49"/>
  <c r="B7940" i="49"/>
  <c r="B7941" i="49"/>
  <c r="B7942" i="49"/>
  <c r="B7943" i="49"/>
  <c r="B7944" i="49"/>
  <c r="B7945" i="49"/>
  <c r="B7946" i="49"/>
  <c r="B7947" i="49"/>
  <c r="B7948" i="49"/>
  <c r="B7949" i="49"/>
  <c r="B7950" i="49"/>
  <c r="B7951" i="49"/>
  <c r="B7952" i="49"/>
  <c r="B7953" i="49"/>
  <c r="B7954" i="49"/>
  <c r="B7955" i="49"/>
  <c r="B7956" i="49"/>
  <c r="B7957" i="49"/>
  <c r="B7958" i="49"/>
  <c r="B7959" i="49"/>
  <c r="B7960" i="49"/>
  <c r="B7961" i="49"/>
  <c r="B7962" i="49"/>
  <c r="B7963" i="49"/>
  <c r="B7964" i="49"/>
  <c r="B7965" i="49"/>
  <c r="B7966" i="49"/>
  <c r="B7967" i="49"/>
  <c r="B7968" i="49"/>
  <c r="B7969" i="49"/>
  <c r="B7970" i="49"/>
  <c r="B7971" i="49"/>
  <c r="B7972" i="49"/>
  <c r="B7973" i="49"/>
  <c r="B7974" i="49"/>
  <c r="B7975" i="49"/>
  <c r="B7976" i="49"/>
  <c r="B7977" i="49"/>
  <c r="B7978" i="49"/>
  <c r="B7979" i="49"/>
  <c r="B7980" i="49"/>
  <c r="B7981" i="49"/>
  <c r="B7982" i="49"/>
  <c r="B7983" i="49"/>
  <c r="B7984" i="49"/>
  <c r="B7985" i="49"/>
  <c r="B7986" i="49"/>
  <c r="B7987" i="49"/>
  <c r="B7988" i="49"/>
  <c r="B7989" i="49"/>
  <c r="B7990" i="49"/>
  <c r="B7991" i="49"/>
  <c r="B7992" i="49"/>
  <c r="B7993" i="49"/>
  <c r="B7994" i="49"/>
  <c r="B7995" i="49"/>
  <c r="B7996" i="49"/>
  <c r="B7997" i="49"/>
  <c r="B7998" i="49"/>
  <c r="B7999" i="49"/>
  <c r="B8000" i="49"/>
  <c r="B8001" i="49"/>
  <c r="B8002" i="49"/>
  <c r="B8003" i="49"/>
  <c r="B8004" i="49"/>
  <c r="B8005" i="49"/>
  <c r="B8006" i="49"/>
  <c r="B8007" i="49"/>
  <c r="B8008" i="49"/>
  <c r="B8009" i="49"/>
  <c r="B8010" i="49"/>
  <c r="B8011" i="49"/>
  <c r="B8012" i="49"/>
  <c r="B8013" i="49"/>
  <c r="B8014" i="49"/>
  <c r="B8015" i="49"/>
  <c r="B8016" i="49"/>
  <c r="B8017" i="49"/>
  <c r="B8018" i="49"/>
  <c r="B8019" i="49"/>
  <c r="B8020" i="49"/>
  <c r="B8021" i="49"/>
  <c r="B8022" i="49"/>
  <c r="B8023" i="49"/>
  <c r="B8024" i="49"/>
  <c r="B8025" i="49"/>
  <c r="B8026" i="49"/>
  <c r="B8027" i="49"/>
  <c r="B8028" i="49"/>
  <c r="B8029" i="49"/>
  <c r="B8030" i="49"/>
  <c r="B8031" i="49"/>
  <c r="B8032" i="49"/>
  <c r="B8033" i="49"/>
  <c r="B8034" i="49"/>
  <c r="B8035" i="49"/>
  <c r="B8036" i="49"/>
  <c r="B8037" i="49"/>
  <c r="B8038" i="49"/>
  <c r="B8039" i="49"/>
  <c r="B8040" i="49"/>
  <c r="B8041" i="49"/>
  <c r="B8042" i="49"/>
  <c r="B8043" i="49"/>
  <c r="B8044" i="49"/>
  <c r="B8045" i="49"/>
  <c r="B8046" i="49"/>
  <c r="B8047" i="49"/>
  <c r="B8048" i="49"/>
  <c r="B8049" i="49"/>
  <c r="B8050" i="49"/>
  <c r="B8051" i="49"/>
  <c r="B8052" i="49"/>
  <c r="B8053" i="49"/>
  <c r="B8054" i="49"/>
  <c r="B8055" i="49"/>
  <c r="B8056" i="49"/>
  <c r="B8057" i="49"/>
  <c r="B8058" i="49"/>
  <c r="B8059" i="49"/>
  <c r="B8060" i="49"/>
  <c r="B8061" i="49"/>
  <c r="B8062" i="49"/>
  <c r="B8063" i="49"/>
  <c r="B8064" i="49"/>
  <c r="B8065" i="49"/>
  <c r="B8066" i="49"/>
  <c r="B8067" i="49"/>
  <c r="B8068" i="49"/>
  <c r="B8069" i="49"/>
  <c r="B8070" i="49"/>
  <c r="B8071" i="49"/>
  <c r="B8072" i="49"/>
  <c r="B8073" i="49"/>
  <c r="B8074" i="49"/>
  <c r="B8075" i="49"/>
  <c r="B8076" i="49"/>
  <c r="B8077" i="49"/>
  <c r="B8078" i="49"/>
  <c r="B8079" i="49"/>
  <c r="B8080" i="49"/>
  <c r="B8081" i="49"/>
  <c r="B8082" i="49"/>
  <c r="B8083" i="49"/>
  <c r="B8084" i="49"/>
  <c r="B8085" i="49"/>
  <c r="B8086" i="49"/>
  <c r="B8087" i="49"/>
  <c r="B8088" i="49"/>
  <c r="B8089" i="49"/>
  <c r="B8090" i="49"/>
  <c r="B8091" i="49"/>
  <c r="B8092" i="49"/>
  <c r="B8093" i="49"/>
  <c r="B8094" i="49"/>
  <c r="B8095" i="49"/>
  <c r="B8096" i="49"/>
  <c r="B8097" i="49"/>
  <c r="B8098" i="49"/>
  <c r="B8099" i="49"/>
  <c r="B8100" i="49"/>
  <c r="B8101" i="49"/>
  <c r="B8102" i="49"/>
  <c r="B8103" i="49"/>
  <c r="B8104" i="49"/>
  <c r="B8105" i="49"/>
  <c r="B8106" i="49"/>
  <c r="B8107" i="49"/>
  <c r="B8108" i="49"/>
  <c r="B8109" i="49"/>
  <c r="B8110" i="49"/>
  <c r="B8111" i="49"/>
  <c r="B8112" i="49"/>
  <c r="B8113" i="49"/>
  <c r="B8114" i="49"/>
  <c r="B8115" i="49"/>
  <c r="B8116" i="49"/>
  <c r="B8117" i="49"/>
  <c r="B8118" i="49"/>
  <c r="B8119" i="49"/>
  <c r="B8120" i="49"/>
  <c r="B8121" i="49"/>
  <c r="B8122" i="49"/>
  <c r="B8123" i="49"/>
  <c r="B8124" i="49"/>
  <c r="B8125" i="49"/>
  <c r="B8126" i="49"/>
  <c r="B8127" i="49"/>
  <c r="B8128" i="49"/>
  <c r="B8129" i="49"/>
  <c r="B8130" i="49"/>
  <c r="B8131" i="49"/>
  <c r="B8132" i="49"/>
  <c r="B8133" i="49"/>
  <c r="B8134" i="49"/>
  <c r="B8135" i="49"/>
  <c r="B8136" i="49"/>
  <c r="B8137" i="49"/>
  <c r="B8138" i="49"/>
  <c r="B8139" i="49"/>
  <c r="B8140" i="49"/>
  <c r="B8141" i="49"/>
  <c r="B8142" i="49"/>
  <c r="B8143" i="49"/>
  <c r="B8144" i="49"/>
  <c r="B8145" i="49"/>
  <c r="B8146" i="49"/>
  <c r="B8147" i="49"/>
  <c r="B8148" i="49"/>
  <c r="B8149" i="49"/>
  <c r="B8150" i="49"/>
  <c r="B8151" i="49"/>
  <c r="B8152" i="49"/>
  <c r="B8153" i="49"/>
  <c r="B8154" i="49"/>
  <c r="B8155" i="49"/>
  <c r="B8156" i="49"/>
  <c r="B8157" i="49"/>
  <c r="B8158" i="49"/>
  <c r="B8159" i="49"/>
  <c r="B8160" i="49"/>
  <c r="B8161" i="49"/>
  <c r="B8162" i="49"/>
  <c r="B8163" i="49"/>
  <c r="B8164" i="49"/>
  <c r="B8165" i="49"/>
  <c r="B8166" i="49"/>
  <c r="B8167" i="49"/>
  <c r="B8168" i="49"/>
  <c r="B8169" i="49"/>
  <c r="B8170" i="49"/>
  <c r="B8171" i="49"/>
  <c r="B8172" i="49"/>
  <c r="B8173" i="49"/>
  <c r="B8174" i="49"/>
  <c r="B8175" i="49"/>
  <c r="B8176" i="49"/>
  <c r="B8177" i="49"/>
  <c r="B8178" i="49"/>
  <c r="B8179" i="49"/>
  <c r="B8180" i="49"/>
  <c r="B8181" i="49"/>
  <c r="B8182" i="49"/>
  <c r="B8183" i="49"/>
  <c r="B8184" i="49"/>
  <c r="B8185" i="49"/>
  <c r="B8186" i="49"/>
  <c r="B8187" i="49"/>
  <c r="B8188" i="49"/>
  <c r="B8189" i="49"/>
  <c r="B8190" i="49"/>
  <c r="B8191" i="49"/>
  <c r="B8192" i="49"/>
  <c r="B8193" i="49"/>
  <c r="B8194" i="49"/>
  <c r="B8195" i="49"/>
  <c r="B8196" i="49"/>
  <c r="B8197" i="49"/>
  <c r="B8198" i="49"/>
  <c r="B8199" i="49"/>
  <c r="B8200" i="49"/>
  <c r="B8201" i="49"/>
  <c r="B8202" i="49"/>
  <c r="B8203" i="49"/>
  <c r="B8204" i="49"/>
  <c r="B8205" i="49"/>
  <c r="B8206" i="49"/>
  <c r="B8207" i="49"/>
  <c r="B8208" i="49"/>
  <c r="B8209" i="49"/>
  <c r="B8210" i="49"/>
  <c r="B8211" i="49"/>
  <c r="B8212" i="49"/>
  <c r="B8213" i="49"/>
  <c r="B8214" i="49"/>
  <c r="B8215" i="49"/>
  <c r="B8216" i="49"/>
  <c r="B8217" i="49"/>
  <c r="B8218" i="49"/>
  <c r="B8219" i="49"/>
  <c r="B8220" i="49"/>
  <c r="B8221" i="49"/>
  <c r="B8222" i="49"/>
  <c r="B8223" i="49"/>
  <c r="B8224" i="49"/>
  <c r="B8225" i="49"/>
  <c r="B8226" i="49"/>
  <c r="B8227" i="49"/>
  <c r="B8228" i="49"/>
  <c r="B8229" i="49"/>
  <c r="B8230" i="49"/>
  <c r="B8231" i="49"/>
  <c r="B8232" i="49"/>
  <c r="B8233" i="49"/>
  <c r="B8234" i="49"/>
  <c r="B8235" i="49"/>
  <c r="B8236" i="49"/>
  <c r="B8237" i="49"/>
  <c r="B8238" i="49"/>
  <c r="B8239" i="49"/>
  <c r="B8240" i="49"/>
  <c r="B8241" i="49"/>
  <c r="B8242" i="49"/>
  <c r="B8243" i="49"/>
  <c r="B8244" i="49"/>
  <c r="B8245" i="49"/>
  <c r="B8246" i="49"/>
  <c r="B8247" i="49"/>
  <c r="B8248" i="49"/>
  <c r="B8249" i="49"/>
  <c r="B8250" i="49"/>
  <c r="B8251" i="49"/>
  <c r="B8252" i="49"/>
  <c r="B8253" i="49"/>
  <c r="B8254" i="49"/>
  <c r="B8255" i="49"/>
  <c r="B8256" i="49"/>
  <c r="B8257" i="49"/>
  <c r="B8258" i="49"/>
  <c r="B8259" i="49"/>
  <c r="B8260" i="49"/>
  <c r="B8261" i="49"/>
  <c r="B8262" i="49"/>
  <c r="B8263" i="49"/>
  <c r="B8264" i="49"/>
  <c r="B8265" i="49"/>
  <c r="B8266" i="49"/>
  <c r="B8267" i="49"/>
  <c r="B8268" i="49"/>
  <c r="B8269" i="49"/>
  <c r="B8270" i="49"/>
  <c r="B8271" i="49"/>
  <c r="B8272" i="49"/>
  <c r="B8273" i="49"/>
  <c r="B8274" i="49"/>
  <c r="B8275" i="49"/>
  <c r="B8276" i="49"/>
  <c r="B8277" i="49"/>
  <c r="B8278" i="49"/>
  <c r="B8279" i="49"/>
  <c r="B8280" i="49"/>
  <c r="B8281" i="49"/>
  <c r="B8282" i="49"/>
  <c r="B8283" i="49"/>
  <c r="B8284" i="49"/>
  <c r="B8285" i="49"/>
  <c r="B8286" i="49"/>
  <c r="B8287" i="49"/>
  <c r="B8288" i="49"/>
  <c r="B8289" i="49"/>
  <c r="B8290" i="49"/>
  <c r="B8291" i="49"/>
  <c r="B8292" i="49"/>
  <c r="B8293" i="49"/>
  <c r="B8294" i="49"/>
  <c r="B8295" i="49"/>
  <c r="B8296" i="49"/>
  <c r="B8297" i="49"/>
  <c r="B8298" i="49"/>
  <c r="B8299" i="49"/>
  <c r="B8300" i="49"/>
  <c r="B8301" i="49"/>
  <c r="B8302" i="49"/>
  <c r="B8303" i="49"/>
  <c r="B8304" i="49"/>
  <c r="B8305" i="49"/>
  <c r="B8306" i="49"/>
  <c r="B8307" i="49"/>
  <c r="B8308" i="49"/>
  <c r="B8309" i="49"/>
  <c r="B8310" i="49"/>
  <c r="B8311" i="49"/>
  <c r="B8312" i="49"/>
  <c r="B8313" i="49"/>
  <c r="B8314" i="49"/>
  <c r="B8315" i="49"/>
  <c r="B8316" i="49"/>
  <c r="B8317" i="49"/>
  <c r="B8318" i="49"/>
  <c r="B8319" i="49"/>
  <c r="B8320" i="49"/>
  <c r="B8321" i="49"/>
  <c r="B8322" i="49"/>
  <c r="B8323" i="49"/>
  <c r="B8324" i="49"/>
  <c r="B8325" i="49"/>
  <c r="B8326" i="49"/>
  <c r="B8327" i="49"/>
  <c r="B8328" i="49"/>
  <c r="B8329" i="49"/>
  <c r="B8330" i="49"/>
  <c r="B8331" i="49"/>
  <c r="B8332" i="49"/>
  <c r="B8333" i="49"/>
  <c r="B8334" i="49"/>
  <c r="B8335" i="49"/>
  <c r="B8336" i="49"/>
  <c r="B8337" i="49"/>
  <c r="B8338" i="49"/>
  <c r="B8339" i="49"/>
  <c r="B8340" i="49"/>
  <c r="B8341" i="49"/>
  <c r="B8342" i="49"/>
  <c r="B8343" i="49"/>
  <c r="B8344" i="49"/>
  <c r="B8345" i="49"/>
  <c r="B8346" i="49"/>
  <c r="B8347" i="49"/>
  <c r="B8348" i="49"/>
  <c r="B8349" i="49"/>
  <c r="B8350" i="49"/>
  <c r="B8351" i="49"/>
  <c r="B8352" i="49"/>
  <c r="B8353" i="49"/>
  <c r="B8354" i="49"/>
  <c r="B8355" i="49"/>
  <c r="B8356" i="49"/>
  <c r="B8357" i="49"/>
  <c r="B8358" i="49"/>
  <c r="B8359" i="49"/>
  <c r="B8360" i="49"/>
  <c r="B8361" i="49"/>
  <c r="B8362" i="49"/>
  <c r="B8363" i="49"/>
  <c r="B8364" i="49"/>
  <c r="B8365" i="49"/>
  <c r="B8366" i="49"/>
  <c r="B8367" i="49"/>
  <c r="B8368" i="49"/>
  <c r="B8369" i="49"/>
  <c r="B8370" i="49"/>
  <c r="B8371" i="49"/>
  <c r="B8372" i="49"/>
  <c r="B8373" i="49"/>
  <c r="B8374" i="49"/>
  <c r="B8375" i="49"/>
  <c r="B8376" i="49"/>
  <c r="B8377" i="49"/>
  <c r="B8378" i="49"/>
  <c r="B8379" i="49"/>
  <c r="B8380" i="49"/>
  <c r="B8381" i="49"/>
  <c r="B8382" i="49"/>
  <c r="B8383" i="49"/>
  <c r="B8384" i="49"/>
  <c r="B8385" i="49"/>
  <c r="B8386" i="49"/>
  <c r="B8387" i="49"/>
  <c r="B8388" i="49"/>
  <c r="B8389" i="49"/>
  <c r="B8390" i="49"/>
  <c r="B8391" i="49"/>
  <c r="B8392" i="49"/>
  <c r="B8393" i="49"/>
  <c r="B8394" i="49"/>
  <c r="B8395" i="49"/>
  <c r="B8396" i="49"/>
  <c r="B8397" i="49"/>
  <c r="B8398" i="49"/>
  <c r="B8399" i="49"/>
  <c r="B8400" i="49"/>
  <c r="B8401" i="49"/>
  <c r="B8402" i="49"/>
  <c r="B8403" i="49"/>
  <c r="B8404" i="49"/>
  <c r="B8405" i="49"/>
  <c r="B8406" i="49"/>
  <c r="B8407" i="49"/>
  <c r="B8408" i="49"/>
  <c r="B8409" i="49"/>
  <c r="B8410" i="49"/>
  <c r="B8411" i="49"/>
  <c r="B8412" i="49"/>
  <c r="B8413" i="49"/>
  <c r="B8414" i="49"/>
  <c r="B8415" i="49"/>
  <c r="B8416" i="49"/>
  <c r="B8417" i="49"/>
  <c r="B8418" i="49"/>
  <c r="B8419" i="49"/>
  <c r="B8420" i="49"/>
  <c r="B8421" i="49"/>
  <c r="B8422" i="49"/>
  <c r="B8423" i="49"/>
  <c r="B8424" i="49"/>
  <c r="B8425" i="49"/>
  <c r="B8426" i="49"/>
  <c r="B8427" i="49"/>
  <c r="B8428" i="49"/>
  <c r="B8429" i="49"/>
  <c r="B8430" i="49"/>
  <c r="B8431" i="49"/>
  <c r="B8432" i="49"/>
  <c r="B8433" i="49"/>
  <c r="B8434" i="49"/>
  <c r="B8435" i="49"/>
  <c r="B8436" i="49"/>
  <c r="B8437" i="49"/>
  <c r="B8438" i="49"/>
  <c r="B8439" i="49"/>
  <c r="B8440" i="49"/>
  <c r="B8441" i="49"/>
  <c r="B8442" i="49"/>
  <c r="B8443" i="49"/>
  <c r="B8444" i="49"/>
  <c r="B8445" i="49"/>
  <c r="B8446" i="49"/>
  <c r="B8447" i="49"/>
  <c r="B8448" i="49"/>
  <c r="B8449" i="49"/>
  <c r="B8450" i="49"/>
  <c r="B8451" i="49"/>
  <c r="B8452" i="49"/>
  <c r="B8453" i="49"/>
  <c r="B8454" i="49"/>
  <c r="B8455" i="49"/>
  <c r="B8456" i="49"/>
  <c r="B8457" i="49"/>
  <c r="B8458" i="49"/>
  <c r="B8459" i="49"/>
  <c r="B8460" i="49"/>
  <c r="B8461" i="49"/>
  <c r="B8462" i="49"/>
  <c r="B8463" i="49"/>
  <c r="B8464" i="49"/>
  <c r="B8465" i="49"/>
  <c r="B8466" i="49"/>
  <c r="B8467" i="49"/>
  <c r="B8468" i="49"/>
  <c r="B8469" i="49"/>
  <c r="B8470" i="49"/>
  <c r="B8471" i="49"/>
  <c r="B8472" i="49"/>
  <c r="B8473" i="49"/>
  <c r="B8474" i="49"/>
  <c r="B8475" i="49"/>
  <c r="B8476" i="49"/>
  <c r="B8477" i="49"/>
  <c r="B8478" i="49"/>
  <c r="B8479" i="49"/>
  <c r="B8480" i="49"/>
  <c r="B8481" i="49"/>
  <c r="B8482" i="49"/>
  <c r="B8483" i="49"/>
  <c r="B8484" i="49"/>
  <c r="B8485" i="49"/>
  <c r="B8486" i="49"/>
  <c r="B8487" i="49"/>
  <c r="B8488" i="49"/>
  <c r="B8489" i="49"/>
  <c r="B8490" i="49"/>
  <c r="B8491" i="49"/>
  <c r="B8492" i="49"/>
  <c r="B8493" i="49"/>
  <c r="B8494" i="49"/>
  <c r="B8495" i="49"/>
  <c r="B8496" i="49"/>
  <c r="B8497" i="49"/>
  <c r="B8498" i="49"/>
  <c r="B8499" i="49"/>
  <c r="B8500" i="49"/>
  <c r="B8501" i="49"/>
  <c r="B8502" i="49"/>
  <c r="B8503" i="49"/>
  <c r="B8504" i="49"/>
  <c r="B8505" i="49"/>
  <c r="B8506" i="49"/>
  <c r="B8507" i="49"/>
  <c r="B8508" i="49"/>
  <c r="B8509" i="49"/>
  <c r="B8510" i="49"/>
  <c r="B8511" i="49"/>
  <c r="B8512" i="49"/>
  <c r="B8513" i="49"/>
  <c r="B8514" i="49"/>
  <c r="B8515" i="49"/>
  <c r="B8516" i="49"/>
  <c r="B8517" i="49"/>
  <c r="B8518" i="49"/>
  <c r="B8519" i="49"/>
  <c r="B8520" i="49"/>
  <c r="B8521" i="49"/>
  <c r="B8522" i="49"/>
  <c r="B8523" i="49"/>
  <c r="B8524" i="49"/>
  <c r="B8525" i="49"/>
  <c r="B8526" i="49"/>
  <c r="B8527" i="49"/>
  <c r="B8528" i="49"/>
  <c r="B8529" i="49"/>
  <c r="B8530" i="49"/>
  <c r="B8531" i="49"/>
  <c r="B8532" i="49"/>
  <c r="B8533" i="49"/>
  <c r="B8534" i="49"/>
  <c r="B8535" i="49"/>
  <c r="B8536" i="49"/>
  <c r="B8537" i="49"/>
  <c r="B8538" i="49"/>
  <c r="B8539" i="49"/>
  <c r="B8540" i="49"/>
  <c r="B8541" i="49"/>
  <c r="B8542" i="49"/>
  <c r="B8543" i="49"/>
  <c r="B8544" i="49"/>
  <c r="B8545" i="49"/>
  <c r="B8546" i="49"/>
  <c r="B8547" i="49"/>
  <c r="B8548" i="49"/>
  <c r="B8549" i="49"/>
  <c r="B8550" i="49"/>
  <c r="B8551" i="49"/>
  <c r="B8552" i="49"/>
  <c r="B8553" i="49"/>
  <c r="B8554" i="49"/>
  <c r="B8555" i="49"/>
  <c r="B8556" i="49"/>
  <c r="B8557" i="49"/>
  <c r="B8558" i="49"/>
  <c r="B8559" i="49"/>
  <c r="B8560" i="49"/>
  <c r="B8561" i="49"/>
  <c r="B8562" i="49"/>
  <c r="B8563" i="49"/>
  <c r="B8564" i="49"/>
  <c r="B8565" i="49"/>
  <c r="B8566" i="49"/>
  <c r="B8567" i="49"/>
  <c r="B8568" i="49"/>
  <c r="B8569" i="49"/>
  <c r="B8570" i="49"/>
  <c r="B8571" i="49"/>
  <c r="B8572" i="49"/>
  <c r="B8573" i="49"/>
  <c r="B8574" i="49"/>
  <c r="B8575" i="49"/>
  <c r="B8576" i="49"/>
  <c r="B8577" i="49"/>
  <c r="B8578" i="49"/>
  <c r="B8579" i="49"/>
  <c r="B8580" i="49"/>
  <c r="B8581" i="49"/>
  <c r="B8582" i="49"/>
  <c r="B8583" i="49"/>
  <c r="B8584" i="49"/>
  <c r="B8585" i="49"/>
  <c r="B8586" i="49"/>
  <c r="B8587" i="49"/>
  <c r="B8588" i="49"/>
  <c r="B8589" i="49"/>
  <c r="B8590" i="49"/>
  <c r="B8591" i="49"/>
  <c r="B8592" i="49"/>
  <c r="B8593" i="49"/>
  <c r="B8594" i="49"/>
  <c r="B8595" i="49"/>
  <c r="B8596" i="49"/>
  <c r="B8597" i="49"/>
  <c r="B8598" i="49"/>
  <c r="B8599" i="49"/>
  <c r="B8600" i="49"/>
  <c r="B8601" i="49"/>
  <c r="B8602" i="49"/>
  <c r="B8603" i="49"/>
  <c r="B8604" i="49"/>
  <c r="B8605" i="49"/>
  <c r="B8606" i="49"/>
  <c r="B8607" i="49"/>
  <c r="B8608" i="49"/>
  <c r="B8609" i="49"/>
  <c r="B8610" i="49"/>
  <c r="B8611" i="49"/>
  <c r="B8612" i="49"/>
  <c r="B8613" i="49"/>
  <c r="B8614" i="49"/>
  <c r="B8615" i="49"/>
  <c r="B8616" i="49"/>
  <c r="B8617" i="49"/>
  <c r="B8618" i="49"/>
  <c r="B8619" i="49"/>
  <c r="B8620" i="49"/>
  <c r="B8621" i="49"/>
  <c r="B8622" i="49"/>
  <c r="B8623" i="49"/>
  <c r="B8624" i="49"/>
  <c r="B8625" i="49"/>
  <c r="B8626" i="49"/>
  <c r="B8627" i="49"/>
  <c r="B8628" i="49"/>
  <c r="B8629" i="49"/>
  <c r="B8630" i="49"/>
  <c r="B8631" i="49"/>
  <c r="B8632" i="49"/>
  <c r="B8633" i="49"/>
  <c r="B8634" i="49"/>
  <c r="B8635" i="49"/>
  <c r="B8636" i="49"/>
  <c r="B8637" i="49"/>
  <c r="B8638" i="49"/>
  <c r="B8639" i="49"/>
  <c r="B8640" i="49"/>
  <c r="B8641" i="49"/>
  <c r="B8642" i="49"/>
  <c r="B8643" i="49"/>
  <c r="B8644" i="49"/>
  <c r="B8645" i="49"/>
  <c r="B8646" i="49"/>
  <c r="B8647" i="49"/>
  <c r="B8648" i="49"/>
  <c r="B8649" i="49"/>
  <c r="B8650" i="49"/>
  <c r="B8651" i="49"/>
  <c r="B8652" i="49"/>
  <c r="B8653" i="49"/>
  <c r="B8654" i="49"/>
  <c r="B8655" i="49"/>
  <c r="B8656" i="49"/>
  <c r="B8657" i="49"/>
  <c r="B8658" i="49"/>
  <c r="B8659" i="49"/>
  <c r="B8660" i="49"/>
  <c r="B8661" i="49"/>
  <c r="B8662" i="49"/>
  <c r="B8663" i="49"/>
  <c r="B8664" i="49"/>
  <c r="B8665" i="49"/>
  <c r="B8666" i="49"/>
  <c r="B8667" i="49"/>
  <c r="B8668" i="49"/>
  <c r="B8669" i="49"/>
  <c r="B8670" i="49"/>
  <c r="B8671" i="49"/>
  <c r="B8672" i="49"/>
  <c r="B8673" i="49"/>
  <c r="B8674" i="49"/>
  <c r="B8675" i="49"/>
  <c r="B8676" i="49"/>
  <c r="B8677" i="49"/>
  <c r="B8678" i="49"/>
  <c r="B8679" i="49"/>
  <c r="B8680" i="49"/>
  <c r="B8681" i="49"/>
  <c r="B8682" i="49"/>
  <c r="B8683" i="49"/>
  <c r="B8684" i="49"/>
  <c r="B8685" i="49"/>
  <c r="B8686" i="49"/>
  <c r="B8687" i="49"/>
  <c r="B8688" i="49"/>
  <c r="B8689" i="49"/>
  <c r="B8690" i="49"/>
  <c r="B8691" i="49"/>
  <c r="B8692" i="49"/>
  <c r="B8693" i="49"/>
  <c r="B8694" i="49"/>
  <c r="B8695" i="49"/>
  <c r="B8696" i="49"/>
  <c r="B8697" i="49"/>
  <c r="B8698" i="49"/>
  <c r="B8699" i="49"/>
  <c r="B8700" i="49"/>
  <c r="B8701" i="49"/>
  <c r="B8702" i="49"/>
  <c r="B8703" i="49"/>
  <c r="B8704" i="49"/>
  <c r="B8705" i="49"/>
  <c r="B8706" i="49"/>
  <c r="B8707" i="49"/>
  <c r="B8708" i="49"/>
  <c r="B8709" i="49"/>
  <c r="B8710" i="49"/>
  <c r="B8711" i="49"/>
  <c r="B8712" i="49"/>
  <c r="B8713" i="49"/>
  <c r="B8714" i="49"/>
  <c r="B8715" i="49"/>
  <c r="B8716" i="49"/>
  <c r="B8717" i="49"/>
  <c r="B8718" i="49"/>
  <c r="B8719" i="49"/>
  <c r="B8720" i="49"/>
  <c r="B8721" i="49"/>
  <c r="B8722" i="49"/>
  <c r="B8723" i="49"/>
  <c r="B8724" i="49"/>
  <c r="B8725" i="49"/>
  <c r="B8726" i="49"/>
  <c r="B8727" i="49"/>
  <c r="B8728" i="49"/>
  <c r="B8729" i="49"/>
  <c r="B8730" i="49"/>
  <c r="B8731" i="49"/>
  <c r="B8732" i="49"/>
  <c r="B8733" i="49"/>
  <c r="B8734" i="49"/>
  <c r="B8735" i="49"/>
  <c r="B8736" i="49"/>
  <c r="B8737" i="49"/>
  <c r="B8738" i="49"/>
  <c r="B8739" i="49"/>
  <c r="B8740" i="49"/>
  <c r="B8741" i="49"/>
  <c r="B8742" i="49"/>
  <c r="B8743" i="49"/>
  <c r="B8744" i="49"/>
  <c r="B8745" i="49"/>
  <c r="B8746" i="49"/>
  <c r="B8747" i="49"/>
  <c r="B8748" i="49"/>
  <c r="B8749" i="49"/>
  <c r="B8750" i="49"/>
  <c r="B8751" i="49"/>
  <c r="B8752" i="49"/>
  <c r="B8753" i="49"/>
  <c r="B8754" i="49"/>
  <c r="B8755" i="49"/>
  <c r="B8756" i="49"/>
  <c r="B8757" i="49"/>
  <c r="B8758" i="49"/>
  <c r="B8759" i="49"/>
  <c r="B8760" i="49"/>
  <c r="B8761" i="49"/>
  <c r="B8762" i="49"/>
  <c r="B8763" i="49"/>
  <c r="B8764" i="49"/>
  <c r="B8765" i="49"/>
  <c r="B8766" i="49"/>
  <c r="B8767" i="49"/>
  <c r="B8768" i="49"/>
  <c r="B8769" i="49"/>
  <c r="B8770" i="49"/>
  <c r="B8771" i="49"/>
  <c r="B8772" i="49"/>
  <c r="B8773" i="49"/>
  <c r="B8774" i="49"/>
  <c r="B8775" i="49"/>
  <c r="B8776" i="49"/>
  <c r="B8777" i="49"/>
  <c r="B8778" i="49"/>
  <c r="B8779" i="49"/>
  <c r="B8780" i="49"/>
  <c r="B8781" i="49"/>
  <c r="B8782" i="49"/>
  <c r="B8783" i="49"/>
  <c r="B8784" i="49"/>
  <c r="B8785" i="49"/>
  <c r="B8786" i="49"/>
  <c r="B8787" i="49"/>
  <c r="B8788" i="49"/>
  <c r="B8789" i="49"/>
  <c r="B8790" i="49"/>
  <c r="B8791" i="49"/>
  <c r="B8792" i="49"/>
  <c r="B8793" i="49"/>
  <c r="B8794" i="49"/>
  <c r="B8795" i="49"/>
  <c r="B8796" i="49"/>
  <c r="B8797" i="49"/>
  <c r="B8798" i="49"/>
  <c r="B8799" i="49"/>
  <c r="B8800" i="49"/>
  <c r="B8801" i="49"/>
  <c r="B8802" i="49"/>
  <c r="B8803" i="49"/>
  <c r="B8804" i="49"/>
  <c r="B8805" i="49"/>
  <c r="B8806" i="49"/>
  <c r="B8807" i="49"/>
  <c r="B8808" i="49"/>
  <c r="B8809" i="49"/>
  <c r="B8810" i="49"/>
  <c r="B8811" i="49"/>
  <c r="B8812" i="49"/>
  <c r="B8813" i="49"/>
  <c r="B8814" i="49"/>
  <c r="B8815" i="49"/>
  <c r="B8816" i="49"/>
  <c r="B8817" i="49"/>
  <c r="B8818" i="49"/>
  <c r="B8819" i="49"/>
  <c r="B8820" i="49"/>
  <c r="B8821" i="49"/>
  <c r="B8822" i="49"/>
  <c r="B8823" i="49"/>
  <c r="B8824" i="49"/>
  <c r="B8825" i="49"/>
  <c r="B8826" i="49"/>
  <c r="B8827" i="49"/>
  <c r="B8828" i="49"/>
  <c r="B8829" i="49"/>
  <c r="B8830" i="49"/>
  <c r="B8831" i="49"/>
  <c r="B8832" i="49"/>
  <c r="B8833" i="49"/>
  <c r="B8834" i="49"/>
  <c r="B8835" i="49"/>
  <c r="B8836" i="49"/>
  <c r="B8837" i="49"/>
  <c r="B8838" i="49"/>
  <c r="B8839" i="49"/>
  <c r="B8840" i="49"/>
  <c r="B8841" i="49"/>
  <c r="B8842" i="49"/>
  <c r="B8843" i="49"/>
  <c r="B8844" i="49"/>
  <c r="B8845" i="49"/>
  <c r="B8846" i="49"/>
  <c r="B8847" i="49"/>
  <c r="B8848" i="49"/>
  <c r="B8849" i="49"/>
  <c r="B8850" i="49"/>
  <c r="B8851" i="49"/>
  <c r="B8852" i="49"/>
  <c r="B8853" i="49"/>
  <c r="B8854" i="49"/>
  <c r="B8855" i="49"/>
  <c r="B8856" i="49"/>
  <c r="B8857" i="49"/>
  <c r="B8858" i="49"/>
  <c r="B8859" i="49"/>
  <c r="B8860" i="49"/>
  <c r="B8861" i="49"/>
  <c r="B8862" i="49"/>
  <c r="B8863" i="49"/>
  <c r="B8864" i="49"/>
  <c r="B8865" i="49"/>
  <c r="B8866" i="49"/>
  <c r="B8867" i="49"/>
  <c r="B8868" i="49"/>
  <c r="B8869" i="49"/>
  <c r="B8870" i="49"/>
  <c r="B8871" i="49"/>
  <c r="B8872" i="49"/>
  <c r="B8873" i="49"/>
  <c r="B8874" i="49"/>
  <c r="B8875" i="49"/>
  <c r="B8876" i="49"/>
  <c r="B8877" i="49"/>
  <c r="B8878" i="49"/>
  <c r="B8879" i="49"/>
  <c r="B8880" i="49"/>
  <c r="B8881" i="49"/>
  <c r="B8882" i="49"/>
  <c r="B8883" i="49"/>
  <c r="B8884" i="49"/>
  <c r="B8885" i="49"/>
  <c r="B8886" i="49"/>
  <c r="B8887" i="49"/>
  <c r="B8888" i="49"/>
  <c r="B8889" i="49"/>
  <c r="B8890" i="49"/>
  <c r="B8891" i="49"/>
  <c r="B8892" i="49"/>
  <c r="B8893" i="49"/>
  <c r="B8894" i="49"/>
  <c r="B8895" i="49"/>
  <c r="B8896" i="49"/>
  <c r="B8897" i="49"/>
  <c r="B8898" i="49"/>
  <c r="B8899" i="49"/>
  <c r="B8900" i="49"/>
  <c r="B8901" i="49"/>
  <c r="B8902" i="49"/>
  <c r="B8903" i="49"/>
  <c r="B8904" i="49"/>
  <c r="B8905" i="49"/>
  <c r="B8906" i="49"/>
  <c r="B8907" i="49"/>
  <c r="B8908" i="49"/>
  <c r="B8909" i="49"/>
  <c r="B8910" i="49"/>
  <c r="B8911" i="49"/>
  <c r="B8912" i="49"/>
  <c r="B8913" i="49"/>
  <c r="B8914" i="49"/>
  <c r="B8915" i="49"/>
  <c r="B8916" i="49"/>
  <c r="B8917" i="49"/>
  <c r="B8918" i="49"/>
  <c r="B8919" i="49"/>
  <c r="B8920" i="49"/>
  <c r="B8921" i="49"/>
  <c r="B8922" i="49"/>
  <c r="B8923" i="49"/>
  <c r="B8924" i="49"/>
  <c r="B8925" i="49"/>
  <c r="B8926" i="49"/>
  <c r="B8927" i="49"/>
  <c r="B8928" i="49"/>
  <c r="B8929" i="49"/>
  <c r="B8930" i="49"/>
  <c r="B8931" i="49"/>
  <c r="B8932" i="49"/>
  <c r="B8933" i="49"/>
  <c r="B8934" i="49"/>
  <c r="B8935" i="49"/>
  <c r="B8936" i="49"/>
  <c r="B8937" i="49"/>
  <c r="B8938" i="49"/>
  <c r="B8939" i="49"/>
  <c r="B8940" i="49"/>
  <c r="B8941" i="49"/>
  <c r="B8942" i="49"/>
  <c r="B8943" i="49"/>
  <c r="B8944" i="49"/>
  <c r="B8945" i="49"/>
  <c r="B8946" i="49"/>
  <c r="B8947" i="49"/>
  <c r="B8948" i="49"/>
  <c r="B8949" i="49"/>
  <c r="B8950" i="49"/>
  <c r="B8951" i="49"/>
  <c r="B8952" i="49"/>
  <c r="B8953" i="49"/>
  <c r="B8954" i="49"/>
  <c r="B8955" i="49"/>
  <c r="B8956" i="49"/>
  <c r="B8957" i="49"/>
  <c r="B8958" i="49"/>
  <c r="B8959" i="49"/>
  <c r="B8960" i="49"/>
  <c r="B8961" i="49"/>
  <c r="B8962" i="49"/>
  <c r="B8963" i="49"/>
  <c r="B8964" i="49"/>
  <c r="B8965" i="49"/>
  <c r="B8966" i="49"/>
  <c r="B8967" i="49"/>
  <c r="B8968" i="49"/>
  <c r="B8969" i="49"/>
  <c r="B8970" i="49"/>
  <c r="B8971" i="49"/>
  <c r="B8972" i="49"/>
  <c r="B8973" i="49"/>
  <c r="B8974" i="49"/>
  <c r="B8975" i="49"/>
  <c r="B8976" i="49"/>
  <c r="B8977" i="49"/>
  <c r="B8978" i="49"/>
  <c r="B8979" i="49"/>
  <c r="B8980" i="49"/>
  <c r="B8981" i="49"/>
  <c r="B8982" i="49"/>
  <c r="B8983" i="49"/>
  <c r="B8984" i="49"/>
  <c r="B8985" i="49"/>
  <c r="B8986" i="49"/>
  <c r="B8987" i="49"/>
  <c r="B8988" i="49"/>
  <c r="B8989" i="49"/>
  <c r="B8990" i="49"/>
  <c r="B8991" i="49"/>
  <c r="B8992" i="49"/>
  <c r="B8993" i="49"/>
  <c r="B8994" i="49"/>
  <c r="B8995" i="49"/>
  <c r="B8996" i="49"/>
  <c r="B8997" i="49"/>
  <c r="B8998" i="49"/>
  <c r="B8999" i="49"/>
  <c r="B9000" i="49"/>
  <c r="B9001" i="49"/>
  <c r="B9002" i="49"/>
  <c r="B9003" i="49"/>
  <c r="B9004" i="49"/>
  <c r="B9005" i="49"/>
  <c r="B9006" i="49"/>
  <c r="B9007" i="49"/>
  <c r="B9008" i="49"/>
  <c r="B9009" i="49"/>
  <c r="B9010" i="49"/>
  <c r="B9011" i="49"/>
  <c r="B9012" i="49"/>
  <c r="B9013" i="49"/>
  <c r="B9014" i="49"/>
  <c r="B9015" i="49"/>
  <c r="B9016" i="49"/>
  <c r="B9017" i="49"/>
  <c r="B9018" i="49"/>
  <c r="B9019" i="49"/>
  <c r="B9020" i="49"/>
  <c r="B9021" i="49"/>
  <c r="B9022" i="49"/>
  <c r="B9023" i="49"/>
  <c r="B9024" i="49"/>
  <c r="B9025" i="49"/>
  <c r="B9026" i="49"/>
  <c r="B9027" i="49"/>
  <c r="B9028" i="49"/>
  <c r="B9029" i="49"/>
  <c r="B9030" i="49"/>
  <c r="B9031" i="49"/>
  <c r="B9032" i="49"/>
  <c r="B9033" i="49"/>
  <c r="B9034" i="49"/>
  <c r="B9035" i="49"/>
  <c r="B9036" i="49"/>
  <c r="B9037" i="49"/>
  <c r="B9038" i="49"/>
  <c r="B9039" i="49"/>
  <c r="B9040" i="49"/>
  <c r="B9041" i="49"/>
  <c r="B9042" i="49"/>
  <c r="B9043" i="49"/>
  <c r="B9044" i="49"/>
  <c r="B9045" i="49"/>
  <c r="B9046" i="49"/>
  <c r="B9047" i="49"/>
  <c r="B9048" i="49"/>
  <c r="B9049" i="49"/>
  <c r="B9050" i="49"/>
  <c r="B9051" i="49"/>
  <c r="B9052" i="49"/>
  <c r="B9053" i="49"/>
  <c r="B9054" i="49"/>
  <c r="B9055" i="49"/>
  <c r="B9056" i="49"/>
  <c r="B9057" i="49"/>
  <c r="B9058" i="49"/>
  <c r="B9059" i="49"/>
  <c r="B9060" i="49"/>
  <c r="B9061" i="49"/>
  <c r="B9062" i="49"/>
  <c r="B9063" i="49"/>
  <c r="B9064" i="49"/>
  <c r="B9065" i="49"/>
  <c r="B9066" i="49"/>
  <c r="B9067" i="49"/>
  <c r="B9068" i="49"/>
  <c r="B9069" i="49"/>
  <c r="B9070" i="49"/>
  <c r="B9071" i="49"/>
  <c r="B9072" i="49"/>
  <c r="B9073" i="49"/>
  <c r="B9074" i="49"/>
  <c r="B9075" i="49"/>
  <c r="B9076" i="49"/>
  <c r="B9077" i="49"/>
  <c r="B9078" i="49"/>
  <c r="B9079" i="49"/>
  <c r="B9080" i="49"/>
  <c r="B9081" i="49"/>
  <c r="B9082" i="49"/>
  <c r="B9083" i="49"/>
  <c r="B9084" i="49"/>
  <c r="B9085" i="49"/>
  <c r="B9086" i="49"/>
  <c r="B9087" i="49"/>
  <c r="B9088" i="49"/>
  <c r="B9089" i="49"/>
  <c r="B9090" i="49"/>
  <c r="B9091" i="49"/>
  <c r="B9092" i="49"/>
  <c r="B9093" i="49"/>
  <c r="B9094" i="49"/>
  <c r="B9095" i="49"/>
  <c r="B9096" i="49"/>
  <c r="B9097" i="49"/>
  <c r="B9098" i="49"/>
  <c r="B9099" i="49"/>
  <c r="B9100" i="49"/>
  <c r="B9101" i="49"/>
  <c r="B9102" i="49"/>
  <c r="B9103" i="49"/>
  <c r="B9104" i="49"/>
  <c r="B9105" i="49"/>
  <c r="B9106" i="49"/>
  <c r="B9107" i="49"/>
  <c r="B9108" i="49"/>
  <c r="B9109" i="49"/>
  <c r="B9110" i="49"/>
  <c r="B9111" i="49"/>
  <c r="B9112" i="49"/>
  <c r="B9113" i="49"/>
  <c r="B9114" i="49"/>
  <c r="B9115" i="49"/>
  <c r="B9116" i="49"/>
  <c r="B9117" i="49"/>
  <c r="B9118" i="49"/>
  <c r="B9119" i="49"/>
  <c r="B9120" i="49"/>
  <c r="B9121" i="49"/>
  <c r="B9122" i="49"/>
  <c r="B9123" i="49"/>
  <c r="B9124" i="49"/>
  <c r="B9125" i="49"/>
  <c r="B9126" i="49"/>
  <c r="B9127" i="49"/>
  <c r="B9128" i="49"/>
  <c r="B9129" i="49"/>
  <c r="B9130" i="49"/>
  <c r="B9131" i="49"/>
  <c r="B9132" i="49"/>
  <c r="B9133" i="49"/>
  <c r="B9134" i="49"/>
  <c r="B9135" i="49"/>
  <c r="B9136" i="49"/>
  <c r="B9137" i="49"/>
  <c r="B9138" i="49"/>
  <c r="B9139" i="49"/>
  <c r="B9140" i="49"/>
  <c r="B9141" i="49"/>
  <c r="B9142" i="49"/>
  <c r="B9143" i="49"/>
  <c r="B9144" i="49"/>
  <c r="B9145" i="49"/>
  <c r="B9146" i="49"/>
  <c r="B9147" i="49"/>
  <c r="B9148" i="49"/>
  <c r="B9149" i="49"/>
  <c r="B9150" i="49"/>
  <c r="B9151" i="49"/>
  <c r="B9152" i="49"/>
  <c r="B9153" i="49"/>
  <c r="B9154" i="49"/>
  <c r="B9155" i="49"/>
  <c r="B9156" i="49"/>
  <c r="B9157" i="49"/>
  <c r="B9158" i="49"/>
  <c r="B9159" i="49"/>
  <c r="B9160" i="49"/>
  <c r="B9161" i="49"/>
  <c r="B9162" i="49"/>
  <c r="B9163" i="49"/>
  <c r="B9164" i="49"/>
  <c r="B9165" i="49"/>
  <c r="B9166" i="49"/>
  <c r="B9167" i="49"/>
  <c r="B9168" i="49"/>
  <c r="B9169" i="49"/>
  <c r="B9170" i="49"/>
  <c r="B9171" i="49"/>
  <c r="B9172" i="49"/>
  <c r="B9173" i="49"/>
  <c r="B9174" i="49"/>
  <c r="B9175" i="49"/>
  <c r="B9176" i="49"/>
  <c r="B9177" i="49"/>
  <c r="B9178" i="49"/>
  <c r="B9179" i="49"/>
  <c r="B9180" i="49"/>
  <c r="B9181" i="49"/>
  <c r="B9182" i="49"/>
  <c r="B9183" i="49"/>
  <c r="B9184" i="49"/>
  <c r="B9185" i="49"/>
  <c r="B9186" i="49"/>
  <c r="B9187" i="49"/>
  <c r="B9188" i="49"/>
  <c r="B9189" i="49"/>
  <c r="B9190" i="49"/>
  <c r="B9191" i="49"/>
  <c r="B9192" i="49"/>
  <c r="B9193" i="49"/>
  <c r="B9194" i="49"/>
  <c r="B9195" i="49"/>
  <c r="B9196" i="49"/>
  <c r="B9197" i="49"/>
  <c r="B9198" i="49"/>
  <c r="B9199" i="49"/>
  <c r="B9200" i="49"/>
  <c r="B9201" i="49"/>
  <c r="B9202" i="49"/>
  <c r="B9203" i="49"/>
  <c r="B9204" i="49"/>
  <c r="B9205" i="49"/>
  <c r="B9206" i="49"/>
  <c r="B9207" i="49"/>
  <c r="B9208" i="49"/>
  <c r="B9209" i="49"/>
  <c r="B9210" i="49"/>
  <c r="B9211" i="49"/>
  <c r="B9212" i="49"/>
  <c r="B9213" i="49"/>
  <c r="B9214" i="49"/>
  <c r="B9215" i="49"/>
  <c r="B9216" i="49"/>
  <c r="B9217" i="49"/>
  <c r="B9218" i="49"/>
  <c r="B9219" i="49"/>
  <c r="B9220" i="49"/>
  <c r="B9221" i="49"/>
  <c r="B9222" i="49"/>
  <c r="B9223" i="49"/>
  <c r="B9224" i="49"/>
  <c r="B9225" i="49"/>
  <c r="B9226" i="49"/>
  <c r="B9227" i="49"/>
  <c r="B9228" i="49"/>
  <c r="B9229" i="49"/>
  <c r="B9230" i="49"/>
  <c r="B9231" i="49"/>
  <c r="B9232" i="49"/>
  <c r="B9233" i="49"/>
  <c r="B9234" i="49"/>
  <c r="B9235" i="49"/>
  <c r="B9236" i="49"/>
  <c r="B9237" i="49"/>
  <c r="B9238" i="49"/>
  <c r="B9239" i="49"/>
  <c r="B9240" i="49"/>
  <c r="B9241" i="49"/>
  <c r="B9242" i="49"/>
  <c r="B9243" i="49"/>
  <c r="B9244" i="49"/>
  <c r="B9245" i="49"/>
  <c r="B9246" i="49"/>
  <c r="B9247" i="49"/>
  <c r="B9248" i="49"/>
  <c r="B9249" i="49"/>
  <c r="B9250" i="49"/>
  <c r="B9251" i="49"/>
  <c r="B9252" i="49"/>
  <c r="B9253" i="49"/>
  <c r="B9254" i="49"/>
  <c r="B9255" i="49"/>
  <c r="B9256" i="49"/>
  <c r="B9257" i="49"/>
  <c r="B9258" i="49"/>
  <c r="B9259" i="49"/>
  <c r="B9260" i="49"/>
  <c r="B9261" i="49"/>
  <c r="B9262" i="49"/>
  <c r="B9263" i="49"/>
  <c r="B9264" i="49"/>
  <c r="B9265" i="49"/>
  <c r="B9266" i="49"/>
  <c r="B9267" i="49"/>
  <c r="B9268" i="49"/>
  <c r="B9269" i="49"/>
  <c r="B9270" i="49"/>
  <c r="B9271" i="49"/>
  <c r="B9272" i="49"/>
  <c r="B9273" i="49"/>
  <c r="B9274" i="49"/>
  <c r="B9275" i="49"/>
  <c r="B9276" i="49"/>
  <c r="B9277" i="49"/>
  <c r="B9278" i="49"/>
  <c r="B9279" i="49"/>
  <c r="B9280" i="49"/>
  <c r="B9281" i="49"/>
  <c r="B9282" i="49"/>
  <c r="B9283" i="49"/>
  <c r="B9284" i="49"/>
  <c r="B9285" i="49"/>
  <c r="B9286" i="49"/>
  <c r="B9287" i="49"/>
  <c r="B9288" i="49"/>
  <c r="B9289" i="49"/>
  <c r="B9290" i="49"/>
  <c r="B9291" i="49"/>
  <c r="B9292" i="49"/>
  <c r="B9293" i="49"/>
  <c r="B9294" i="49"/>
  <c r="B9295" i="49"/>
  <c r="B9296" i="49"/>
  <c r="B9297" i="49"/>
  <c r="B9298" i="49"/>
  <c r="B9299" i="49"/>
  <c r="B9300" i="49"/>
  <c r="B9301" i="49"/>
  <c r="B9302" i="49"/>
  <c r="B9303" i="49"/>
  <c r="B9304" i="49"/>
  <c r="B9305" i="49"/>
  <c r="B9306" i="49"/>
  <c r="B9307" i="49"/>
  <c r="B9308" i="49"/>
  <c r="B9309" i="49"/>
  <c r="B9310" i="49"/>
  <c r="B9311" i="49"/>
  <c r="B9312" i="49"/>
  <c r="B9313" i="49"/>
  <c r="B9314" i="49"/>
  <c r="B9315" i="49"/>
  <c r="B9316" i="49"/>
  <c r="B9317" i="49"/>
  <c r="B9318" i="49"/>
  <c r="B9319" i="49"/>
  <c r="B9320" i="49"/>
  <c r="B9321" i="49"/>
  <c r="B9322" i="49"/>
  <c r="B9323" i="49"/>
  <c r="B9324" i="49"/>
  <c r="B9325" i="49"/>
  <c r="B9326" i="49"/>
  <c r="B9327" i="49"/>
  <c r="B9328" i="49"/>
  <c r="B9329" i="49"/>
  <c r="B9330" i="49"/>
  <c r="B9331" i="49"/>
  <c r="B9332" i="49"/>
  <c r="B9333" i="49"/>
  <c r="B9334" i="49"/>
  <c r="B9335" i="49"/>
  <c r="B9336" i="49"/>
  <c r="B9337" i="49"/>
  <c r="B9338" i="49"/>
  <c r="B9339" i="49"/>
  <c r="B9340" i="49"/>
  <c r="B9341" i="49"/>
  <c r="B9342" i="49"/>
  <c r="B9343" i="49"/>
  <c r="B9344" i="49"/>
  <c r="B9345" i="49"/>
  <c r="B9346" i="49"/>
  <c r="B9347" i="49"/>
  <c r="B9348" i="49"/>
  <c r="B9349" i="49"/>
  <c r="B9350" i="49"/>
  <c r="B9351" i="49"/>
  <c r="B9352" i="49"/>
  <c r="B9353" i="49"/>
  <c r="B9354" i="49"/>
  <c r="B9355" i="49"/>
  <c r="B9356" i="49"/>
  <c r="B9357" i="49"/>
  <c r="B9358" i="49"/>
  <c r="B9359" i="49"/>
  <c r="B9360" i="49"/>
  <c r="B9361" i="49"/>
  <c r="B9362" i="49"/>
  <c r="B9363" i="49"/>
  <c r="B9364" i="49"/>
  <c r="B9365" i="49"/>
  <c r="B9366" i="49"/>
  <c r="B9367" i="49"/>
  <c r="B9368" i="49"/>
  <c r="B9369" i="49"/>
  <c r="B9370" i="49"/>
  <c r="B9371" i="49"/>
  <c r="B9372" i="49"/>
  <c r="B9373" i="49"/>
  <c r="B9374" i="49"/>
  <c r="B9375" i="49"/>
  <c r="B9376" i="49"/>
  <c r="B9377" i="49"/>
  <c r="B9378" i="49"/>
  <c r="B9379" i="49"/>
  <c r="B9380" i="49"/>
  <c r="B9381" i="49"/>
  <c r="B9382" i="49"/>
  <c r="B9383" i="49"/>
  <c r="B9384" i="49"/>
  <c r="B9385" i="49"/>
  <c r="B9386" i="49"/>
  <c r="B9387" i="49"/>
  <c r="B9388" i="49"/>
  <c r="B9389" i="49"/>
  <c r="B9390" i="49"/>
  <c r="B9391" i="49"/>
  <c r="B9392" i="49"/>
  <c r="B9393" i="49"/>
  <c r="B9394" i="49"/>
  <c r="B9395" i="49"/>
  <c r="B9396" i="49"/>
  <c r="B9397" i="49"/>
  <c r="B9398" i="49"/>
  <c r="B9399" i="49"/>
  <c r="B9400" i="49"/>
  <c r="B9401" i="49"/>
  <c r="B9402" i="49"/>
  <c r="B9403" i="49"/>
  <c r="B9404" i="49"/>
  <c r="B9405" i="49"/>
  <c r="B9406" i="49"/>
  <c r="B9407" i="49"/>
  <c r="B9408" i="49"/>
  <c r="B9409" i="49"/>
  <c r="B9410" i="49"/>
  <c r="B9411" i="49"/>
  <c r="B9412" i="49"/>
  <c r="B9413" i="49"/>
  <c r="B9414" i="49"/>
  <c r="B9415" i="49"/>
  <c r="B9416" i="49"/>
  <c r="B9417" i="49"/>
  <c r="B9418" i="49"/>
  <c r="B9419" i="49"/>
  <c r="B9420" i="49"/>
  <c r="B9421" i="49"/>
  <c r="B9422" i="49"/>
  <c r="B9423" i="49"/>
  <c r="B9424" i="49"/>
  <c r="B9425" i="49"/>
  <c r="B9426" i="49"/>
  <c r="B9427" i="49"/>
  <c r="B9428" i="49"/>
  <c r="B9429" i="49"/>
  <c r="B9430" i="49"/>
  <c r="B9431" i="49"/>
  <c r="B9432" i="49"/>
  <c r="B9433" i="49"/>
  <c r="B9434" i="49"/>
  <c r="B9435" i="49"/>
  <c r="B9436" i="49"/>
  <c r="B9437" i="49"/>
  <c r="B9438" i="49"/>
  <c r="B9439" i="49"/>
  <c r="B9440" i="49"/>
  <c r="B9441" i="49"/>
  <c r="B9442" i="49"/>
  <c r="B9443" i="49"/>
  <c r="B9444" i="49"/>
  <c r="B9445" i="49"/>
  <c r="B9446" i="49"/>
  <c r="B9447" i="49"/>
  <c r="B9448" i="49"/>
  <c r="B9449" i="49"/>
  <c r="B9450" i="49"/>
  <c r="B9451" i="49"/>
  <c r="B9452" i="49"/>
  <c r="B9453" i="49"/>
  <c r="B9454" i="49"/>
  <c r="B9455" i="49"/>
  <c r="B9456" i="49"/>
  <c r="B9457" i="49"/>
  <c r="B9458" i="49"/>
  <c r="B9459" i="49"/>
  <c r="B9460" i="49"/>
  <c r="B9461" i="49"/>
  <c r="B9462" i="49"/>
  <c r="B9463" i="49"/>
  <c r="B9464" i="49"/>
  <c r="B9465" i="49"/>
  <c r="B9466" i="49"/>
  <c r="B9467" i="49"/>
  <c r="B9468" i="49"/>
  <c r="B9469" i="49"/>
  <c r="B9470" i="49"/>
  <c r="B9471" i="49"/>
  <c r="B9472" i="49"/>
  <c r="B9473" i="49"/>
  <c r="B9474" i="49"/>
  <c r="B9475" i="49"/>
  <c r="B9476" i="49"/>
  <c r="B9477" i="49"/>
  <c r="B9478" i="49"/>
  <c r="B9479" i="49"/>
  <c r="B9480" i="49"/>
  <c r="B9481" i="49"/>
  <c r="B9482" i="49"/>
  <c r="B9483" i="49"/>
  <c r="B9484" i="49"/>
  <c r="B9485" i="49"/>
  <c r="B9486" i="49"/>
  <c r="B9487" i="49"/>
  <c r="B9488" i="49"/>
  <c r="B9489" i="49"/>
  <c r="B9490" i="49"/>
  <c r="B9491" i="49"/>
  <c r="B9492" i="49"/>
  <c r="B9493" i="49"/>
  <c r="B9494" i="49"/>
  <c r="B9495" i="49"/>
  <c r="B9496" i="49"/>
  <c r="B9497" i="49"/>
  <c r="B9498" i="49"/>
  <c r="B9499" i="49"/>
  <c r="B9500" i="49"/>
  <c r="B9501" i="49"/>
  <c r="B9502" i="49"/>
  <c r="B9503" i="49"/>
  <c r="B9504" i="49"/>
  <c r="B9505" i="49"/>
  <c r="B9506" i="49"/>
  <c r="B9507" i="49"/>
  <c r="B9508" i="49"/>
  <c r="B9509" i="49"/>
  <c r="B9510" i="49"/>
  <c r="B9511" i="49"/>
  <c r="B9512" i="49"/>
  <c r="B9513" i="49"/>
  <c r="B9514" i="49"/>
  <c r="B9515" i="49"/>
  <c r="B9516" i="49"/>
  <c r="B9517" i="49"/>
  <c r="B9518" i="49"/>
  <c r="B9519" i="49"/>
  <c r="B9520" i="49"/>
  <c r="B9521" i="49"/>
  <c r="B9522" i="49"/>
  <c r="B9523" i="49"/>
  <c r="B9524" i="49"/>
  <c r="B9525" i="49"/>
  <c r="B9526" i="49"/>
  <c r="B9527" i="49"/>
  <c r="B9528" i="49"/>
  <c r="B9529" i="49"/>
  <c r="B9530" i="49"/>
  <c r="B9531" i="49"/>
  <c r="B9532" i="49"/>
  <c r="B9533" i="49"/>
  <c r="B9534" i="49"/>
  <c r="B9535" i="49"/>
  <c r="B9536" i="49"/>
  <c r="B9537" i="49"/>
  <c r="B9538" i="49"/>
  <c r="B9539" i="49"/>
  <c r="B9540" i="49"/>
  <c r="B9541" i="49"/>
  <c r="B9542" i="49"/>
  <c r="B9543" i="49"/>
  <c r="B9544" i="49"/>
  <c r="B9545" i="49"/>
  <c r="B9546" i="49"/>
  <c r="B9547" i="49"/>
  <c r="B9548" i="49"/>
  <c r="B9549" i="49"/>
  <c r="B9550" i="49"/>
  <c r="B9551" i="49"/>
  <c r="B9552" i="49"/>
  <c r="B9553" i="49"/>
  <c r="B9554" i="49"/>
  <c r="B9555" i="49"/>
  <c r="B9556" i="49"/>
  <c r="B9557" i="49"/>
  <c r="B9558" i="49"/>
  <c r="B9559" i="49"/>
  <c r="B9560" i="49"/>
  <c r="B9561" i="49"/>
  <c r="B9562" i="49"/>
  <c r="B9563" i="49"/>
  <c r="B9564" i="49"/>
  <c r="B9565" i="49"/>
  <c r="B9566" i="49"/>
  <c r="B9567" i="49"/>
  <c r="B9568" i="49"/>
  <c r="B9569" i="49"/>
  <c r="B9570" i="49"/>
  <c r="B9571" i="49"/>
  <c r="B9572" i="49"/>
  <c r="B9573" i="49"/>
  <c r="B9574" i="49"/>
  <c r="B9575" i="49"/>
  <c r="B9576" i="49"/>
  <c r="B9577" i="49"/>
  <c r="B9578" i="49"/>
  <c r="B9579" i="49"/>
  <c r="B9580" i="49"/>
  <c r="B9581" i="49"/>
  <c r="B9582" i="49"/>
  <c r="B9583" i="49"/>
  <c r="B9584" i="49"/>
  <c r="B9585" i="49"/>
  <c r="B9586" i="49"/>
  <c r="B9587" i="49"/>
  <c r="B9588" i="49"/>
  <c r="B9589" i="49"/>
  <c r="B9590" i="49"/>
  <c r="B9591" i="49"/>
  <c r="B9592" i="49"/>
  <c r="B9593" i="49"/>
  <c r="B9594" i="49"/>
  <c r="B9595" i="49"/>
  <c r="B9596" i="49"/>
  <c r="B9597" i="49"/>
  <c r="B9598" i="49"/>
  <c r="B9599" i="49"/>
  <c r="B9600" i="49"/>
  <c r="B9601" i="49"/>
  <c r="B9602" i="49"/>
  <c r="B9603" i="49"/>
  <c r="B9604" i="49"/>
  <c r="B9605" i="49"/>
  <c r="B9606" i="49"/>
  <c r="B9607" i="49"/>
  <c r="B9608" i="49"/>
  <c r="B9609" i="49"/>
  <c r="B9610" i="49"/>
  <c r="B9611" i="49"/>
  <c r="B9612" i="49"/>
  <c r="B9613" i="49"/>
  <c r="B9614" i="49"/>
  <c r="B9615" i="49"/>
  <c r="B9616" i="49"/>
  <c r="B9617" i="49"/>
  <c r="B9618" i="49"/>
  <c r="B9619" i="49"/>
  <c r="B9620" i="49"/>
  <c r="B9621" i="49"/>
  <c r="B9622" i="49"/>
  <c r="B9623" i="49"/>
  <c r="B9624" i="49"/>
  <c r="B9625" i="49"/>
  <c r="B9626" i="49"/>
  <c r="B9627" i="49"/>
  <c r="B9628" i="49"/>
  <c r="B9629" i="49"/>
  <c r="B9630" i="49"/>
  <c r="B9631" i="49"/>
  <c r="B9632" i="49"/>
  <c r="B9633" i="49"/>
  <c r="B9634" i="49"/>
  <c r="B9635" i="49"/>
  <c r="B9636" i="49"/>
  <c r="B9637" i="49"/>
  <c r="B9638" i="49"/>
  <c r="B9639" i="49"/>
  <c r="B9640" i="49"/>
  <c r="B9641" i="49"/>
  <c r="B9642" i="49"/>
  <c r="B9643" i="49"/>
  <c r="B9644" i="49"/>
  <c r="B9645" i="49"/>
  <c r="B9646" i="49"/>
  <c r="B9647" i="49"/>
  <c r="B9648" i="49"/>
  <c r="B9649" i="49"/>
  <c r="B9650" i="49"/>
  <c r="B9651" i="49"/>
  <c r="B9652" i="49"/>
  <c r="B9653" i="49"/>
  <c r="B9654" i="49"/>
  <c r="B9655" i="49"/>
  <c r="B9656" i="49"/>
  <c r="B9657" i="49"/>
  <c r="B9658" i="49"/>
  <c r="B9659" i="49"/>
  <c r="B9660" i="49"/>
  <c r="B9661" i="49"/>
  <c r="B9662" i="49"/>
  <c r="B9663" i="49"/>
  <c r="B9664" i="49"/>
  <c r="B9665" i="49"/>
  <c r="B9666" i="49"/>
  <c r="B9667" i="49"/>
  <c r="B9668" i="49"/>
  <c r="B9669" i="49"/>
  <c r="B9670" i="49"/>
  <c r="B9671" i="49"/>
  <c r="B9672" i="49"/>
  <c r="B9673" i="49"/>
  <c r="B9674" i="49"/>
  <c r="B9675" i="49"/>
  <c r="B9676" i="49"/>
  <c r="B9677" i="49"/>
  <c r="B9678" i="49"/>
  <c r="B9679" i="49"/>
  <c r="B9680" i="49"/>
  <c r="B9681" i="49"/>
  <c r="B9682" i="49"/>
  <c r="B9683" i="49"/>
  <c r="B9684" i="49"/>
  <c r="B9685" i="49"/>
  <c r="B9686" i="49"/>
  <c r="B9687" i="49"/>
  <c r="B9688" i="49"/>
  <c r="B9689" i="49"/>
  <c r="B9690" i="49"/>
  <c r="B9691" i="49"/>
  <c r="B9692" i="49"/>
  <c r="B9693" i="49"/>
  <c r="B9694" i="49"/>
  <c r="B9695" i="49"/>
  <c r="B9696" i="49"/>
  <c r="B9697" i="49"/>
  <c r="B9698" i="49"/>
  <c r="B9699" i="49"/>
  <c r="B9700" i="49"/>
  <c r="B9701" i="49"/>
  <c r="B9702" i="49"/>
  <c r="B9703" i="49"/>
  <c r="B9704" i="49"/>
  <c r="B9705" i="49"/>
  <c r="B9706" i="49"/>
  <c r="B9707" i="49"/>
  <c r="B9708" i="49"/>
  <c r="B9709" i="49"/>
  <c r="B9710" i="49"/>
  <c r="B9711" i="49"/>
  <c r="B9712" i="49"/>
  <c r="B9713" i="49"/>
  <c r="B9714" i="49"/>
  <c r="B9715" i="49"/>
  <c r="B9716" i="49"/>
  <c r="B9717" i="49"/>
  <c r="B9718" i="49"/>
  <c r="B9719" i="49"/>
  <c r="B9720" i="49"/>
  <c r="B9721" i="49"/>
  <c r="B9722" i="49"/>
  <c r="B9723" i="49"/>
  <c r="B9724" i="49"/>
  <c r="B9725" i="49"/>
  <c r="B9726" i="49"/>
  <c r="B9727" i="49"/>
  <c r="B9728" i="49"/>
  <c r="B9729" i="49"/>
  <c r="B9730" i="49"/>
  <c r="B9731" i="49"/>
  <c r="B9732" i="49"/>
  <c r="B9733" i="49"/>
  <c r="B9734" i="49"/>
  <c r="B9735" i="49"/>
  <c r="B9736" i="49"/>
  <c r="B9737" i="49"/>
  <c r="B9738" i="49"/>
  <c r="B9739" i="49"/>
  <c r="B9740" i="49"/>
  <c r="B9741" i="49"/>
  <c r="B9742" i="49"/>
  <c r="B9743" i="49"/>
  <c r="B9744" i="49"/>
  <c r="B9745" i="49"/>
  <c r="B9746" i="49"/>
  <c r="B9747" i="49"/>
  <c r="B9748" i="49"/>
  <c r="B9749" i="49"/>
  <c r="B9750" i="49"/>
  <c r="B9751" i="49"/>
  <c r="B9752" i="49"/>
  <c r="B9753" i="49"/>
  <c r="B9754" i="49"/>
  <c r="B9755" i="49"/>
  <c r="B9756" i="49"/>
  <c r="B9757" i="49"/>
  <c r="B9758" i="49"/>
  <c r="B9759" i="49"/>
  <c r="B9760" i="49"/>
  <c r="B9761" i="49"/>
  <c r="B9762" i="49"/>
  <c r="B9763" i="49"/>
  <c r="B9764" i="49"/>
  <c r="B9765" i="49"/>
  <c r="B9766" i="49"/>
  <c r="B9767" i="49"/>
  <c r="B9768" i="49"/>
  <c r="B9769" i="49"/>
  <c r="B9770" i="49"/>
  <c r="B9771" i="49"/>
  <c r="B9772" i="49"/>
  <c r="B9773" i="49"/>
  <c r="B9774" i="49"/>
  <c r="B9775" i="49"/>
  <c r="B9776" i="49"/>
  <c r="B9777" i="49"/>
  <c r="B9778" i="49"/>
  <c r="B9779" i="49"/>
  <c r="B9780" i="49"/>
  <c r="B9781" i="49"/>
  <c r="B9782" i="49"/>
  <c r="B9783" i="49"/>
  <c r="B9784" i="49"/>
  <c r="B9785" i="49"/>
  <c r="B9786" i="49"/>
  <c r="B9787" i="49"/>
  <c r="B9788" i="49"/>
  <c r="B9789" i="49"/>
  <c r="B9790" i="49"/>
  <c r="B9791" i="49"/>
  <c r="B9792" i="49"/>
  <c r="B9793" i="49"/>
  <c r="B9794" i="49"/>
  <c r="B9795" i="49"/>
  <c r="B9796" i="49"/>
  <c r="B9797" i="49"/>
  <c r="B9798" i="49"/>
  <c r="B9799" i="49"/>
  <c r="B9800" i="49"/>
  <c r="B9801" i="49"/>
  <c r="B9802" i="49"/>
  <c r="B9803" i="49"/>
  <c r="B9804" i="49"/>
  <c r="B9805" i="49"/>
  <c r="B9806" i="49"/>
  <c r="B9807" i="49"/>
  <c r="B9808" i="49"/>
  <c r="B9809" i="49"/>
  <c r="B9810" i="49"/>
  <c r="B9811" i="49"/>
  <c r="B9812" i="49"/>
  <c r="B9813" i="49"/>
  <c r="B9814" i="49"/>
  <c r="B9815" i="49"/>
  <c r="B9816" i="49"/>
  <c r="B9817" i="49"/>
  <c r="B9818" i="49"/>
  <c r="B9819" i="49"/>
  <c r="B9820" i="49"/>
  <c r="B9821" i="49"/>
  <c r="B9822" i="49"/>
  <c r="B9823" i="49"/>
  <c r="B9824" i="49"/>
  <c r="B9825" i="49"/>
  <c r="B9826" i="49"/>
  <c r="B9827" i="49"/>
  <c r="B9828" i="49"/>
  <c r="B9829" i="49"/>
  <c r="B9830" i="49"/>
  <c r="B9831" i="49"/>
  <c r="B9832" i="49"/>
  <c r="B9833" i="49"/>
  <c r="B9834" i="49"/>
  <c r="B9835" i="49"/>
  <c r="B9836" i="49"/>
  <c r="B9837" i="49"/>
  <c r="B9838" i="49"/>
  <c r="B9839" i="49"/>
  <c r="B9840" i="49"/>
  <c r="B9841" i="49"/>
  <c r="B9842" i="49"/>
  <c r="B9843" i="49"/>
  <c r="B9844" i="49"/>
  <c r="B9845" i="49"/>
  <c r="B9846" i="49"/>
  <c r="B9847" i="49"/>
  <c r="B9848" i="49"/>
  <c r="B9849" i="49"/>
  <c r="B9850" i="49"/>
  <c r="B9851" i="49"/>
  <c r="B9852" i="49"/>
  <c r="B9853" i="49"/>
  <c r="B9854" i="49"/>
  <c r="B9855" i="49"/>
  <c r="B9856" i="49"/>
  <c r="B9857" i="49"/>
  <c r="B9858" i="49"/>
  <c r="B9859" i="49"/>
  <c r="B9860" i="49"/>
  <c r="B9861" i="49"/>
  <c r="B9862" i="49"/>
  <c r="B9863" i="49"/>
  <c r="B9864" i="49"/>
  <c r="B9865" i="49"/>
  <c r="B9866" i="49"/>
  <c r="B9867" i="49"/>
  <c r="B9868" i="49"/>
  <c r="B9869" i="49"/>
  <c r="B9870" i="49"/>
  <c r="B9871" i="49"/>
  <c r="B9872" i="49"/>
  <c r="B9873" i="49"/>
  <c r="B9874" i="49"/>
  <c r="B9875" i="49"/>
  <c r="B9876" i="49"/>
  <c r="B9877" i="49"/>
  <c r="B9878" i="49"/>
  <c r="B9879" i="49"/>
  <c r="B9880" i="49"/>
  <c r="B9881" i="49"/>
  <c r="B9882" i="49"/>
  <c r="B9883" i="49"/>
  <c r="B9884" i="49"/>
  <c r="B9885" i="49"/>
  <c r="B9886" i="49"/>
  <c r="B9887" i="49"/>
  <c r="B9888" i="49"/>
  <c r="B9889" i="49"/>
  <c r="B9890" i="49"/>
  <c r="B9891" i="49"/>
  <c r="B9892" i="49"/>
  <c r="B9893" i="49"/>
  <c r="B9894" i="49"/>
  <c r="B9895" i="49"/>
  <c r="B9896" i="49"/>
  <c r="B9897" i="49"/>
  <c r="B9898" i="49"/>
  <c r="B9899" i="49"/>
  <c r="B9900" i="49"/>
  <c r="B9901" i="49"/>
  <c r="B9902" i="49"/>
  <c r="B9903" i="49"/>
  <c r="B9904" i="49"/>
  <c r="B9905" i="49"/>
  <c r="B9906" i="49"/>
  <c r="B9907" i="49"/>
  <c r="B9908" i="49"/>
  <c r="B9909" i="49"/>
  <c r="B9910" i="49"/>
  <c r="B9911" i="49"/>
  <c r="B9912" i="49"/>
  <c r="B9913" i="49"/>
  <c r="B9914" i="49"/>
  <c r="B9915" i="49"/>
  <c r="B9916" i="49"/>
  <c r="B9917" i="49"/>
  <c r="B9918" i="49"/>
  <c r="B9919" i="49"/>
  <c r="B9920" i="49"/>
  <c r="B9921" i="49"/>
  <c r="B9922" i="49"/>
  <c r="B9923" i="49"/>
  <c r="B9924" i="49"/>
  <c r="B9925" i="49"/>
  <c r="B9926" i="49"/>
  <c r="B9927" i="49"/>
  <c r="B9928" i="49"/>
  <c r="B9929" i="49"/>
  <c r="B9930" i="49"/>
  <c r="B9931" i="49"/>
  <c r="B9932" i="49"/>
  <c r="B9933" i="49"/>
  <c r="B9934" i="49"/>
  <c r="B9935" i="49"/>
  <c r="B9936" i="49"/>
  <c r="B9937" i="49"/>
  <c r="B9938" i="49"/>
  <c r="B9939" i="49"/>
  <c r="B9940" i="49"/>
  <c r="B9941" i="49"/>
  <c r="B9942" i="49"/>
  <c r="B9943" i="49"/>
  <c r="B9944" i="49"/>
  <c r="B9945" i="49"/>
  <c r="B9946" i="49"/>
  <c r="B9947" i="49"/>
  <c r="B9948" i="49"/>
  <c r="B9949" i="49"/>
  <c r="B9950" i="49"/>
  <c r="B9951" i="49"/>
  <c r="B9952" i="49"/>
  <c r="B9953" i="49"/>
  <c r="B9954" i="49"/>
  <c r="B9955" i="49"/>
  <c r="B9956" i="49"/>
  <c r="B9957" i="49"/>
  <c r="B9958" i="49"/>
  <c r="B9959" i="49"/>
  <c r="B9960" i="49"/>
  <c r="B9961" i="49"/>
  <c r="B9962" i="49"/>
  <c r="B9963" i="49"/>
  <c r="B9964" i="49"/>
  <c r="B9965" i="49"/>
  <c r="B9966" i="49"/>
  <c r="B9967" i="49"/>
  <c r="B9968" i="49"/>
  <c r="B9969" i="49"/>
  <c r="B9970" i="49"/>
  <c r="B9971" i="49"/>
  <c r="B9972" i="49"/>
  <c r="B9973" i="49"/>
  <c r="B9974" i="49"/>
  <c r="B9975" i="49"/>
  <c r="B9976" i="49"/>
  <c r="B9977" i="49"/>
  <c r="B9978" i="49"/>
  <c r="B9979" i="49"/>
  <c r="B9980" i="49"/>
  <c r="B9981" i="49"/>
  <c r="B9982" i="49"/>
  <c r="B9983" i="49"/>
  <c r="B9984" i="49"/>
  <c r="B9985" i="49"/>
  <c r="B9986" i="49"/>
  <c r="B9987" i="49"/>
  <c r="B9988" i="49"/>
  <c r="B9989" i="49"/>
  <c r="B9990" i="49"/>
  <c r="B9991" i="49"/>
  <c r="B9992" i="49"/>
  <c r="B9993" i="49"/>
  <c r="B9994" i="49"/>
  <c r="B9995" i="49"/>
  <c r="B9996" i="49"/>
  <c r="B9997" i="49"/>
  <c r="B9998" i="49"/>
  <c r="B9999" i="49"/>
  <c r="B10000" i="49"/>
  <c r="C3" i="35"/>
  <c r="C4" i="35"/>
  <c r="C5" i="35"/>
  <c r="C6" i="35"/>
  <c r="C2" i="35"/>
  <c r="G4" i="32"/>
  <c r="A1" i="30" a="1"/>
  <c r="A1" i="29"/>
  <c r="K44" i="28" a="1"/>
  <c r="Q23" i="28" a="1"/>
  <c r="K23" i="28" a="1"/>
  <c r="K18" i="28" a="1"/>
  <c r="K4" i="28" a="1"/>
  <c r="X18" i="28" a="1"/>
  <c r="AD18" i="28" a="1"/>
  <c r="V6" i="28"/>
  <c r="B15" i="27"/>
  <c r="D10" i="27"/>
  <c r="F3" i="27"/>
  <c r="F4" i="27"/>
  <c r="F5" i="27"/>
  <c r="F6" i="27"/>
  <c r="F7" i="27"/>
  <c r="F8" i="27"/>
  <c r="F9" i="27"/>
  <c r="F2" i="27"/>
  <c r="E3" i="27"/>
  <c r="E4" i="27"/>
  <c r="E5" i="27"/>
  <c r="E6" i="27"/>
  <c r="E7" i="27"/>
  <c r="E8" i="27"/>
  <c r="E9" i="27"/>
  <c r="E2" i="27"/>
  <c r="D6" i="26"/>
  <c r="F3" i="26"/>
  <c r="F4" i="26"/>
  <c r="F5" i="26"/>
  <c r="F2" i="26"/>
  <c r="E3" i="26"/>
  <c r="E4" i="26"/>
  <c r="E5" i="26"/>
  <c r="E2" i="26"/>
  <c r="L2" i="59" l="1"/>
  <c r="H48" i="58" s="1" a="1"/>
  <c r="K31" i="58" s="1" a="1"/>
  <c r="M6" i="30"/>
  <c r="N2" i="30"/>
  <c r="O2" i="30"/>
  <c r="K60" i="28" a="1"/>
  <c r="H4" i="30"/>
  <c r="G9" i="27"/>
  <c r="G8" i="27"/>
  <c r="G7" i="27"/>
  <c r="G5" i="27"/>
  <c r="G6" i="27"/>
  <c r="G4" i="27"/>
  <c r="G3" i="27"/>
  <c r="E10" i="27"/>
  <c r="F10" i="27"/>
  <c r="G2" i="27"/>
  <c r="E6" i="26"/>
  <c r="G5" i="26"/>
  <c r="G4" i="26"/>
  <c r="G3" i="26"/>
  <c r="G2" i="26"/>
  <c r="D5" i="25"/>
  <c r="E3" i="25"/>
  <c r="E4" i="25"/>
  <c r="E2" i="25"/>
  <c r="F3" i="25"/>
  <c r="F4" i="25"/>
  <c r="F2" i="25"/>
  <c r="H27" i="24"/>
  <c r="H26" i="24"/>
  <c r="H25" i="24"/>
  <c r="H24" i="24"/>
  <c r="B8" i="24" a="1"/>
  <c r="H8" i="24" s="1" a="1"/>
  <c r="M4" i="24" a="1"/>
  <c r="D3" i="24"/>
  <c r="M37" i="23" a="1"/>
  <c r="I38" i="23" a="1"/>
  <c r="I37" i="23" a="1"/>
  <c r="E30" i="23" a="1"/>
  <c r="M1" i="23" a="1"/>
  <c r="I1" i="23" a="1"/>
  <c r="D24" i="23" a="1"/>
  <c r="B24" i="22" a="1"/>
  <c r="C18" i="22" a="1"/>
  <c r="C19" i="22" a="1"/>
  <c r="C17" i="22" a="1"/>
  <c r="B13" i="22"/>
  <c r="B10" i="22"/>
  <c r="B9" i="22"/>
  <c r="C7" i="22"/>
  <c r="B7" i="22"/>
  <c r="B4" i="22"/>
  <c r="C1" i="22"/>
  <c r="B1" i="22"/>
  <c r="O5" i="29" a="1"/>
  <c r="G5" i="29"/>
  <c r="I5" i="29"/>
  <c r="A3" i="29" a="1"/>
  <c r="G10" i="27"/>
  <c r="G6" i="26"/>
  <c r="G2" i="25"/>
  <c r="G4" i="25"/>
  <c r="E5" i="25"/>
  <c r="G3" i="25"/>
  <c r="C6" i="21"/>
  <c r="E17" i="21" s="1"/>
  <c r="C3" i="21"/>
  <c r="C26" i="20"/>
  <c r="D29" i="20"/>
  <c r="J20" i="19"/>
  <c r="B13" i="19"/>
  <c r="J9" i="19"/>
  <c r="E2" i="15"/>
  <c r="D8" i="14"/>
  <c r="D3" i="14"/>
  <c r="D4" i="14"/>
  <c r="D5" i="14"/>
  <c r="D2" i="14"/>
  <c r="C3" i="14"/>
  <c r="C4" i="14"/>
  <c r="C5" i="14"/>
  <c r="C2" i="14"/>
  <c r="B1" i="12" a="1"/>
  <c r="B7" i="11"/>
  <c r="B2" i="11"/>
  <c r="E19" i="10"/>
  <c r="E17" i="10"/>
  <c r="F1" i="10" a="1"/>
  <c r="E1" i="10" a="1"/>
  <c r="A1" i="10" a="1"/>
  <c r="G11" i="8" a="1"/>
  <c r="G7" i="8"/>
  <c r="H7" i="8"/>
  <c r="I7" i="8"/>
  <c r="J7" i="8"/>
  <c r="F7" i="8"/>
  <c r="F3" i="8"/>
  <c r="E19" i="8"/>
  <c r="E18" i="8"/>
  <c r="G3" i="8"/>
  <c r="B2" i="7" a="1"/>
  <c r="C4" i="6"/>
  <c r="D10" i="4"/>
  <c r="E3" i="4"/>
  <c r="E4" i="4"/>
  <c r="E2" i="4"/>
  <c r="C8" i="4"/>
  <c r="D3" i="4"/>
  <c r="D4" i="4"/>
  <c r="D2" i="4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2" i="1"/>
  <c r="G2" i="1" a="1"/>
  <c r="D5" i="6" a="1"/>
  <c r="E9" i="8" a="1"/>
  <c r="G5" i="25" l="1"/>
  <c r="E44" i="21"/>
  <c r="E29" i="21"/>
  <c r="E24" i="21"/>
  <c r="E3" i="12"/>
  <c r="E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331B48-F0C4-468A-AC09-E84012009ED2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2" xr16:uid="{F566FA82-DA89-4B13-83D6-8C339013A19B}" keepAlive="1" interval="60" name="Consulta - Combinar1" description="Conexión a la consulta 'Combinar1' en el libro." type="5" refreshedVersion="8" background="1" saveData="1">
    <dbPr connection="Provider=Microsoft.Mashup.OleDb.1;Data Source=$Workbook$;Location=Combinar1;Extended Properties=&quot;&quot;" command="SELECT * FROM [Combinar1]"/>
  </connection>
  <connection id="3" xr16:uid="{74E30284-481D-43D6-AF7C-B10DB5AB6FF7}" keepAlive="1" name="Consulta - Combinar2" description="Conexión a la consulta 'Combinar2' en el libro." type="5" refreshedVersion="8" background="1" saveData="1">
    <dbPr connection="Provider=Microsoft.Mashup.OleDb.1;Data Source=$Workbook$;Location=Combinar2;Extended Properties=&quot;&quot;" command="SELECT * FROM [Combinar2]"/>
  </connection>
  <connection id="4" xr16:uid="{5CED8C74-FF0F-4181-943F-37B6B47CAB87}" keepAlive="1" name="Consulta - DATOS DE PRUEBA 1 PARA COMBINAR" description="Conexión a la consulta 'DATOS DE PRUEBA 1 PARA COMBINAR' en el libro." type="5" refreshedVersion="8" background="1" saveData="1">
    <dbPr connection="Provider=Microsoft.Mashup.OleDb.1;Data Source=$Workbook$;Location=&quot;DATOS DE PRUEBA 1 PARA COMBINAR&quot;;Extended Properties=&quot;&quot;" command="SELECT * FROM [DATOS DE PRUEBA 1 PARA COMBINAR]"/>
  </connection>
  <connection id="5" xr16:uid="{1F613A84-8E4A-44E2-AD74-0D1A6EEDC18F}" keepAlive="1" name="Consulta - DATOS DE PRUEBA 2 PARA COMBINAR" description="Conexión a la consulta 'DATOS DE PRUEBA 2 PARA COMBINAR' en el libro." type="5" refreshedVersion="8" background="1" saveData="1">
    <dbPr connection="Provider=Microsoft.Mashup.OleDb.1;Data Source=$Workbook$;Location=&quot;DATOS DE PRUEBA 2 PARA COMBINAR&quot;;Extended Properties=&quot;&quot;" command="SELECT * FROM [DATOS DE PRUEBA 2 PARA COMBINAR]"/>
  </connection>
  <connection id="6" xr16:uid="{4B53EC5F-A526-45D2-9FBD-9EB143EF90B9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  <connection id="7" xr16:uid="{9C8857DB-38E7-4560-B3BD-197EB976FC7B}" keepAlive="1" name="Consulta - Hoja1 (2)" description="Conexión a la consulta 'Hoja1 (2)' en el libro." type="5" refreshedVersion="0" background="1">
    <dbPr connection="Provider=Microsoft.Mashup.OleDb.1;Data Source=$Workbook$;Location=&quot;Hoja1 (2)&quot;;Extended Properties=&quot;&quot;" command="SELECT * FROM [Hoja1 (2)]"/>
  </connection>
  <connection id="8" xr16:uid="{564798FB-560F-41D7-AD66-E58772BF9A3C}" keepAlive="1" name="Consulta - Hoja1 (2)1" description="Conexión a la consulta 'Hoja1 (2)' en el libro." type="5" refreshedVersion="8" background="1" saveData="1">
    <dbPr connection="Provider=Microsoft.Mashup.OleDb.1;Data Source=$Workbook$;Location=&quot;Hoja1 (2)&quot;;Extended Properties=&quot;&quot;" command="SELECT * FROM [Hoja1 (2)]"/>
  </connection>
  <connection id="9" xr16:uid="{4AD82B36-4936-4985-9F0B-246205C10067}" keepAlive="1" name="Consulta - Hoja1 (3)" description="Conexión a la consulta 'Hoja1 (3)' en el libro." type="5" refreshedVersion="0" background="1">
    <dbPr connection="Provider=Microsoft.Mashup.OleDb.1;Data Source=$Workbook$;Location=&quot;Hoja1 (3)&quot;;Extended Properties=&quot;&quot;" command="SELECT * FROM [Hoja1 (3)]"/>
  </connection>
  <connection id="10" xr16:uid="{85556F57-62A7-4D7B-9740-9C8F2CF1DB2E}" keepAlive="1" name="Consulta - Hoja1 (3)1" description="Conexión a la consulta 'Hoja1 (3)' en el libro." type="5" refreshedVersion="8" background="1" saveData="1">
    <dbPr connection="Provider=Microsoft.Mashup.OleDb.1;Data Source=$Workbook$;Location=&quot;Hoja1 (3)&quot;;Extended Properties=&quot;&quot;" command="SELECT * FROM [Hoja1 (3)]"/>
  </connection>
  <connection id="11" xr16:uid="{3B188CBD-BA5A-4393-886F-E3F5DCCE4704}" keepAlive="1" name="Consulta - Hoja2" description="Conexión a la consulta 'Hoja2' en el libro." type="5" refreshedVersion="8" background="1" saveData="1">
    <dbPr connection="Provider=Microsoft.Mashup.OleDb.1;Data Source=$Workbook$;Location=Hoja2;Extended Properties=&quot;&quot;" command="SELECT * FROM [Hoja2]"/>
  </connection>
  <connection id="12" xr16:uid="{65B70BFD-DE5E-4C75-888D-E02055366257}" keepAlive="1" name="Consulta - Hoja3" description="Conexión a la consulta 'Hoja3' en el libro." type="5" refreshedVersion="8" background="1" saveData="1">
    <dbPr connection="Provider=Microsoft.Mashup.OleDb.1;Data Source=$Workbook$;Location=Hoja3;Extended Properties=&quot;&quot;" command="SELECT * FROM [Hoja3]"/>
  </connection>
  <connection id="13" xr16:uid="{06ECB1D3-F19B-4C5D-938C-CA1DB514E279}" keepAlive="1" name="Consulta - Hoja4" description="Conexión a la consulta 'Hoja4' en el libro." type="5" refreshedVersion="8" background="1" saveData="1">
    <dbPr connection="Provider=Microsoft.Mashup.OleDb.1;Data Source=$Workbook$;Location=Hoja4;Extended Properties=&quot;&quot;" command="SELECT * FROM [Hoja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<sst xmlns="http://schemas.openxmlformats.org/spreadsheetml/2006/main" count="1672" uniqueCount="566">
  <si>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</si>
  <si>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</si>
  <si>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</si>
  <si>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</si>
  <si>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</si>
  <si>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</si>
  <si>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</si>
  <si>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</si>
  <si>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</si>
  <si>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</si>
  <si>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</si>
  <si>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</si>
  <si>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</si>
  <si>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Luz</t>
  </si>
  <si>
    <t>Agua</t>
  </si>
  <si>
    <t>Teléfono</t>
  </si>
  <si>
    <t>FUNCION Y</t>
  </si>
  <si>
    <t>Tiempo</t>
  </si>
  <si>
    <t>Dinero</t>
  </si>
  <si>
    <t>FUNCION O</t>
  </si>
  <si>
    <t>Papá</t>
  </si>
  <si>
    <t>Mamá</t>
  </si>
  <si>
    <t>Productos</t>
  </si>
  <si>
    <t>Precio</t>
  </si>
  <si>
    <t xml:space="preserve">Cantidad </t>
  </si>
  <si>
    <t>Subtotal</t>
  </si>
  <si>
    <t>A</t>
  </si>
  <si>
    <t>B</t>
  </si>
  <si>
    <t>C</t>
  </si>
  <si>
    <t>Con Impuesto</t>
  </si>
  <si>
    <t>ZARAGOZA</t>
  </si>
  <si>
    <t>HUESCA</t>
  </si>
  <si>
    <t>TERUEL</t>
  </si>
  <si>
    <t>PATATA</t>
  </si>
  <si>
    <t>C1</t>
  </si>
  <si>
    <t>Meses</t>
  </si>
  <si>
    <t>* CON ESTO CREAMOS UNA INTERSECCIÓN DE DATOS</t>
  </si>
  <si>
    <t>FUNCIÓN COINCIDIR</t>
  </si>
  <si>
    <t>FUNCIÓN ÍNDICE</t>
  </si>
  <si>
    <t>FILA</t>
  </si>
  <si>
    <t xml:space="preserve">Agua </t>
  </si>
  <si>
    <t>NOTA</t>
  </si>
  <si>
    <t>&gt;=7 OK</t>
  </si>
  <si>
    <t>&gt;=4 HASTA 7 REGULAR</t>
  </si>
  <si>
    <t>DE 0 A 4 MAL</t>
  </si>
  <si>
    <t>NOTABLE 7-8</t>
  </si>
  <si>
    <t>SOBRESALIENTE 9-10</t>
  </si>
  <si>
    <t>SUSPENSO 0-4</t>
  </si>
  <si>
    <t>SUFICIENTE 5</t>
  </si>
  <si>
    <t>BIEN 6</t>
  </si>
  <si>
    <t>Tlf</t>
  </si>
  <si>
    <t>Ju?io</t>
  </si>
  <si>
    <t>Alumno</t>
  </si>
  <si>
    <t>Color</t>
  </si>
  <si>
    <t>País</t>
  </si>
  <si>
    <t>Pais</t>
  </si>
  <si>
    <t>PAÍS</t>
  </si>
  <si>
    <t>D</t>
  </si>
  <si>
    <t>Ricardo Rubio Quilez</t>
  </si>
  <si>
    <t>Pedro Gil Sanz</t>
  </si>
  <si>
    <t>Quilez</t>
  </si>
  <si>
    <t>Ruiz</t>
  </si>
  <si>
    <t>Sanz</t>
  </si>
  <si>
    <t>Laura</t>
  </si>
  <si>
    <t>Pedro</t>
  </si>
  <si>
    <t>Laura  Ruiz</t>
  </si>
  <si>
    <t>Ricardo Ángel</t>
  </si>
  <si>
    <t>Rubio</t>
  </si>
  <si>
    <t>Gil</t>
  </si>
  <si>
    <t>"Ricardo Ángel" "Rubio" "Quilez"</t>
  </si>
  <si>
    <t>9997DRW</t>
  </si>
  <si>
    <t>4545ERT</t>
  </si>
  <si>
    <t>DRW</t>
  </si>
  <si>
    <t>ERT</t>
  </si>
  <si>
    <t>CCAAPPAAPP</t>
  </si>
  <si>
    <t>CC</t>
  </si>
  <si>
    <t>AA</t>
  </si>
  <si>
    <t>PP</t>
  </si>
  <si>
    <t>Manuel Tomás</t>
  </si>
  <si>
    <t>Ricardo-Rubio-Quilez</t>
  </si>
  <si>
    <t>Laura-Ruiz</t>
  </si>
  <si>
    <t>Pedro-Gil-Sanz</t>
  </si>
  <si>
    <t>Manuel-Tomás</t>
  </si>
  <si>
    <t>COL 1</t>
  </si>
  <si>
    <t>COL 2</t>
  </si>
  <si>
    <t>COL 3</t>
  </si>
  <si>
    <t>COL 4</t>
  </si>
  <si>
    <t>B12&gt;25)</t>
  </si>
  <si>
    <t>DIVISIBLE 2</t>
  </si>
  <si>
    <t>4 CIFRAS</t>
  </si>
  <si>
    <t>MULTIPLOS DE 9 O DE 11</t>
  </si>
  <si>
    <t>VALORES &gt;25 O VALORES MULTIPLoS DE 3 Y DE 5</t>
  </si>
  <si>
    <t>NO QUIERO DUPLICADOS</t>
  </si>
  <si>
    <t>d</t>
  </si>
  <si>
    <t>CAPITAL</t>
  </si>
  <si>
    <t>PERIODOS</t>
  </si>
  <si>
    <t>INTERÉS</t>
  </si>
  <si>
    <t>filas y columnas simultaneas</t>
  </si>
  <si>
    <t>columnas</t>
  </si>
  <si>
    <t>filas</t>
  </si>
  <si>
    <t>7774DRW</t>
  </si>
  <si>
    <t>5869JIO</t>
  </si>
  <si>
    <t>Ricardo;Laura;Marco#26;84;37</t>
  </si>
  <si>
    <t>Pepino</t>
  </si>
  <si>
    <t>FILAS</t>
  </si>
  <si>
    <t>FILTRO</t>
  </si>
  <si>
    <t>LUZ MENOR QUE 70</t>
  </si>
  <si>
    <t>Agua y basuras</t>
  </si>
  <si>
    <t>SUMAR RECIBOS AGUA MAYORES DE 50</t>
  </si>
  <si>
    <t>CONTAR RECIBOS MENORES QUE 50</t>
  </si>
  <si>
    <t>SUMAR TODO AGUA Y TELÉFONO</t>
  </si>
  <si>
    <t>SUMAR LUZ Y AGUA PARA FEBRERO</t>
  </si>
  <si>
    <t>Sillas</t>
  </si>
  <si>
    <t>Mesas</t>
  </si>
  <si>
    <t>Armarios</t>
  </si>
  <si>
    <t>Coste unitario</t>
  </si>
  <si>
    <t>Precio unitario</t>
  </si>
  <si>
    <t>Cantidad</t>
  </si>
  <si>
    <t>Coste Op</t>
  </si>
  <si>
    <t>Venta Op</t>
  </si>
  <si>
    <t>Beneficio Op</t>
  </si>
  <si>
    <t>Restricciones</t>
  </si>
  <si>
    <t>Presupuesto</t>
  </si>
  <si>
    <t>Sillas prevendidas</t>
  </si>
  <si>
    <t>Mesas prevendidas</t>
  </si>
  <si>
    <t>Armarios máximos</t>
  </si>
  <si>
    <t>Transporte máx</t>
  </si>
  <si>
    <t>Café</t>
  </si>
  <si>
    <t>Coke</t>
  </si>
  <si>
    <t>Magdalena</t>
  </si>
  <si>
    <t>Hamburguesa</t>
  </si>
  <si>
    <t xml:space="preserve">Magdalenas máximas </t>
  </si>
  <si>
    <t>Coke Min</t>
  </si>
  <si>
    <t>Hamburguesa Min</t>
  </si>
  <si>
    <t>Manteles Máximos</t>
  </si>
  <si>
    <t xml:space="preserve">Presupuesto </t>
  </si>
  <si>
    <t>Cafés</t>
  </si>
  <si>
    <t>Magdalenas</t>
  </si>
  <si>
    <t>Móviles</t>
  </si>
  <si>
    <t>Ordenador</t>
  </si>
  <si>
    <t>Funda</t>
  </si>
  <si>
    <t>Tablet</t>
  </si>
  <si>
    <t>Cargadores</t>
  </si>
  <si>
    <t>PC</t>
  </si>
  <si>
    <t>Ratones</t>
  </si>
  <si>
    <t>Monitor</t>
  </si>
  <si>
    <t>Móviles Min</t>
  </si>
  <si>
    <t>raton</t>
  </si>
  <si>
    <t>ordenador</t>
  </si>
  <si>
    <t>mONITORES MÁX</t>
  </si>
  <si>
    <t>Seguros</t>
  </si>
  <si>
    <t>todos los meses igual a febrero</t>
  </si>
  <si>
    <t>teléfono mayor que 50</t>
  </si>
  <si>
    <t>TODOS LOS RECIBOS DE AGUA MAYOR AL DE LUZ</t>
  </si>
  <si>
    <t>PROMEDIO RECIBOS DE TELÉFONO SIN UTILIZAR PROMEDIO</t>
  </si>
  <si>
    <t>SUMA RECIBOS TLF</t>
  </si>
  <si>
    <t>CUANTOS REGISTROS CUMPLEN TODOS LOS FILTROS</t>
  </si>
  <si>
    <t>NOMBRAR COLUMNA QUE TIENE EL PROMEDIO  MAYOR ENTRE DOS COLUMNAS</t>
  </si>
  <si>
    <t>productos</t>
  </si>
  <si>
    <t>precio</t>
  </si>
  <si>
    <t>tipo impuesto</t>
  </si>
  <si>
    <t>precio final</t>
  </si>
  <si>
    <t>derecha</t>
  </si>
  <si>
    <t>PERIÓDICO ABC</t>
  </si>
  <si>
    <t>Mi secreto</t>
  </si>
  <si>
    <t>Cuadro de mando</t>
  </si>
  <si>
    <t>VOLVER</t>
  </si>
  <si>
    <t>Danos tu opinión</t>
  </si>
  <si>
    <t>Referencia1</t>
  </si>
  <si>
    <t>Referencia2</t>
  </si>
  <si>
    <t>Referencia3</t>
  </si>
  <si>
    <t>Referencia4</t>
  </si>
  <si>
    <t>Referencia5</t>
  </si>
  <si>
    <t>Referencia6</t>
  </si>
  <si>
    <t>Referencia7</t>
  </si>
  <si>
    <t>Referencia8</t>
  </si>
  <si>
    <t>Referencia9</t>
  </si>
  <si>
    <t>Referencia10</t>
  </si>
  <si>
    <t>Referencia11</t>
  </si>
  <si>
    <t>Referencia12</t>
  </si>
  <si>
    <t>Referencia13</t>
  </si>
  <si>
    <t>Referencia14</t>
  </si>
  <si>
    <t>Referencia15</t>
  </si>
  <si>
    <t>Referencia16</t>
  </si>
  <si>
    <t>Referencia17</t>
  </si>
  <si>
    <t>Referencia18</t>
  </si>
  <si>
    <t>Referencia19</t>
  </si>
  <si>
    <t>Referencia20</t>
  </si>
  <si>
    <t>Referencia21</t>
  </si>
  <si>
    <t>Referencia22</t>
  </si>
  <si>
    <t>Referencia23</t>
  </si>
  <si>
    <t>Referencia24</t>
  </si>
  <si>
    <t>Referencia25</t>
  </si>
  <si>
    <t>Referencia26</t>
  </si>
  <si>
    <t>Referencia27</t>
  </si>
  <si>
    <t>Referencia28</t>
  </si>
  <si>
    <t>Referencia29</t>
  </si>
  <si>
    <t>Referencia30</t>
  </si>
  <si>
    <t>Referencia31</t>
  </si>
  <si>
    <t>Referencia32</t>
  </si>
  <si>
    <t>Referencia33</t>
  </si>
  <si>
    <t>Referencia34</t>
  </si>
  <si>
    <t>Referencia35</t>
  </si>
  <si>
    <t>Referencia36</t>
  </si>
  <si>
    <t>Referencia37</t>
  </si>
  <si>
    <t>Referencia38</t>
  </si>
  <si>
    <t>Referencia39</t>
  </si>
  <si>
    <t>Referencia40</t>
  </si>
  <si>
    <t>Referencia41</t>
  </si>
  <si>
    <t>Referencia42</t>
  </si>
  <si>
    <t>Referencia43</t>
  </si>
  <si>
    <t>Referencia44</t>
  </si>
  <si>
    <t>Referencia45</t>
  </si>
  <si>
    <t>Referencia46</t>
  </si>
  <si>
    <t>Referencia47</t>
  </si>
  <si>
    <t>Referencia48</t>
  </si>
  <si>
    <t>Referencia49</t>
  </si>
  <si>
    <t>Referencia50</t>
  </si>
  <si>
    <t>Referencia51</t>
  </si>
  <si>
    <t>Referencia52</t>
  </si>
  <si>
    <t>Referencia53</t>
  </si>
  <si>
    <t>Referencia54</t>
  </si>
  <si>
    <t>Referencia55</t>
  </si>
  <si>
    <t>Referencia56</t>
  </si>
  <si>
    <t>Referencia57</t>
  </si>
  <si>
    <t>Referencia58</t>
  </si>
  <si>
    <t>Referencia59</t>
  </si>
  <si>
    <t>Referencia60</t>
  </si>
  <si>
    <t>Referencia61</t>
  </si>
  <si>
    <t>Referencia62</t>
  </si>
  <si>
    <t>Referencia63</t>
  </si>
  <si>
    <t>Referencia64</t>
  </si>
  <si>
    <t>Referencia65</t>
  </si>
  <si>
    <t>Referencia66</t>
  </si>
  <si>
    <t>Referencia67</t>
  </si>
  <si>
    <t>Referencia68</t>
  </si>
  <si>
    <t>Referencia69</t>
  </si>
  <si>
    <t>Referencia70</t>
  </si>
  <si>
    <t>Referencia71</t>
  </si>
  <si>
    <t>Referencia72</t>
  </si>
  <si>
    <t>Referencia73</t>
  </si>
  <si>
    <t>Referencia74</t>
  </si>
  <si>
    <t>Referencia75</t>
  </si>
  <si>
    <t>Referencia76</t>
  </si>
  <si>
    <t>Referencia77</t>
  </si>
  <si>
    <t>Referencia78</t>
  </si>
  <si>
    <t>Referencia79</t>
  </si>
  <si>
    <t>Referencia80</t>
  </si>
  <si>
    <t>Referencia81</t>
  </si>
  <si>
    <t>Referencia82</t>
  </si>
  <si>
    <t>Referencia83</t>
  </si>
  <si>
    <t>Referencia84</t>
  </si>
  <si>
    <t>Referencia85</t>
  </si>
  <si>
    <t>Referencia86</t>
  </si>
  <si>
    <t>Referencia87</t>
  </si>
  <si>
    <t>Referencia88</t>
  </si>
  <si>
    <t>Referencia89</t>
  </si>
  <si>
    <t>Referencia90</t>
  </si>
  <si>
    <t>Referencia91</t>
  </si>
  <si>
    <t>Referencia92</t>
  </si>
  <si>
    <t>Referencia93</t>
  </si>
  <si>
    <t>Referencia94</t>
  </si>
  <si>
    <t>Referencia95</t>
  </si>
  <si>
    <t>Referencia96</t>
  </si>
  <si>
    <t>Referencia97</t>
  </si>
  <si>
    <t>Referencia98</t>
  </si>
  <si>
    <t>Referencia99</t>
  </si>
  <si>
    <t>Referencia100</t>
  </si>
  <si>
    <t>Referencia101</t>
  </si>
  <si>
    <t>Referencia102</t>
  </si>
  <si>
    <t>Referencia103</t>
  </si>
  <si>
    <t>Referencia104</t>
  </si>
  <si>
    <t>Referencia105</t>
  </si>
  <si>
    <t>Referencia106</t>
  </si>
  <si>
    <t>Referencia107</t>
  </si>
  <si>
    <t>Referencia108</t>
  </si>
  <si>
    <t>Referencia109</t>
  </si>
  <si>
    <t>Referencia110</t>
  </si>
  <si>
    <t>Referencia111</t>
  </si>
  <si>
    <t>Referencia112</t>
  </si>
  <si>
    <t>Titulo1</t>
  </si>
  <si>
    <t>Titulo2</t>
  </si>
  <si>
    <t>Titulo3</t>
  </si>
  <si>
    <t>Titulo4</t>
  </si>
  <si>
    <t>Titulo5</t>
  </si>
  <si>
    <t>Titulo6</t>
  </si>
  <si>
    <t>Titulo7</t>
  </si>
  <si>
    <t>Titulo8</t>
  </si>
  <si>
    <t>Titulo9</t>
  </si>
  <si>
    <t>Titulo10</t>
  </si>
  <si>
    <t>Titulo11</t>
  </si>
  <si>
    <t>Titulo12</t>
  </si>
  <si>
    <t>Titulo13</t>
  </si>
  <si>
    <t>Titulo14</t>
  </si>
  <si>
    <t>Titulo15</t>
  </si>
  <si>
    <t>Titulo16</t>
  </si>
  <si>
    <t>Titulo17</t>
  </si>
  <si>
    <t>Titulo18</t>
  </si>
  <si>
    <t>Titulo19</t>
  </si>
  <si>
    <t>Titulo20</t>
  </si>
  <si>
    <t>Titulo21</t>
  </si>
  <si>
    <t>Titulo22</t>
  </si>
  <si>
    <t>Titulo23</t>
  </si>
  <si>
    <t>Titulo24</t>
  </si>
  <si>
    <t>Titulo25</t>
  </si>
  <si>
    <t>Titulo26</t>
  </si>
  <si>
    <t>Titulo27</t>
  </si>
  <si>
    <t>Titulo28</t>
  </si>
  <si>
    <t>Titulo29</t>
  </si>
  <si>
    <t>Titulo30</t>
  </si>
  <si>
    <t>Titulo31</t>
  </si>
  <si>
    <t>Titulo32</t>
  </si>
  <si>
    <t>Titulo33</t>
  </si>
  <si>
    <t>Titulo34</t>
  </si>
  <si>
    <t>Titulo35</t>
  </si>
  <si>
    <t>Titulo36</t>
  </si>
  <si>
    <t>Titulo37</t>
  </si>
  <si>
    <t>Titulo38</t>
  </si>
  <si>
    <t>Personas</t>
  </si>
  <si>
    <t>Edad</t>
  </si>
  <si>
    <t>Azul</t>
  </si>
  <si>
    <t>Verde</t>
  </si>
  <si>
    <t>Marrón</t>
  </si>
  <si>
    <t>Año</t>
  </si>
  <si>
    <t>Persona</t>
  </si>
  <si>
    <t>Rojo</t>
  </si>
  <si>
    <t>Blanco</t>
  </si>
  <si>
    <t>FÓRMULA FINAL</t>
  </si>
  <si>
    <t>Sobre 10</t>
  </si>
  <si>
    <t>Buscar textos y múltiplos de 3</t>
  </si>
  <si>
    <t>Si se cumplen ambas condiciones se tiene que resaltar la fila completa</t>
  </si>
  <si>
    <t>Pamplinas</t>
  </si>
  <si>
    <t>Fila</t>
  </si>
  <si>
    <t>Columna</t>
  </si>
  <si>
    <t>X</t>
  </si>
  <si>
    <t>Letra</t>
  </si>
  <si>
    <t>Qué columna es</t>
  </si>
  <si>
    <t>G</t>
  </si>
  <si>
    <t>Letra o Número</t>
  </si>
  <si>
    <t>Fórmula</t>
  </si>
  <si>
    <t>Etiquetas de fila</t>
  </si>
  <si>
    <t>Total general</t>
  </si>
  <si>
    <t>Suma de Luz</t>
  </si>
  <si>
    <t>Número de TOP</t>
  </si>
  <si>
    <t>Solución</t>
  </si>
  <si>
    <t>Alumno1</t>
  </si>
  <si>
    <t>Alumno2</t>
  </si>
  <si>
    <t>Alumno3</t>
  </si>
  <si>
    <t>Alumno4</t>
  </si>
  <si>
    <t>*Realizado desde fórmulas crear desde la selección porque hemos referenciado la celda F1, a la selección de todas las columnas entre A2:D9</t>
  </si>
  <si>
    <t>Examen 1</t>
  </si>
  <si>
    <t>Examen 2</t>
  </si>
  <si>
    <t>Nombre</t>
  </si>
  <si>
    <t>Examen</t>
  </si>
  <si>
    <t>R1</t>
  </si>
  <si>
    <t>R2</t>
  </si>
  <si>
    <t>R3</t>
  </si>
  <si>
    <t>R4</t>
  </si>
  <si>
    <t>R5</t>
  </si>
  <si>
    <t>R6</t>
  </si>
  <si>
    <t>Solución Examen 1</t>
  </si>
  <si>
    <t>Solución Examen 2</t>
  </si>
  <si>
    <t>Nota Examen 1</t>
  </si>
  <si>
    <t>Nota Examen 2</t>
  </si>
  <si>
    <t>*Mostrar datos columna B que no estén en A</t>
  </si>
  <si>
    <t>Negro</t>
  </si>
  <si>
    <t>Amarillo</t>
  </si>
  <si>
    <t>30 FECHAS ALEATORIAS 20/01/2026 Y 31/12/2026</t>
  </si>
  <si>
    <t>Alumno5</t>
  </si>
  <si>
    <t>Alumno6</t>
  </si>
  <si>
    <t>Lengua</t>
  </si>
  <si>
    <t>Mates</t>
  </si>
  <si>
    <t>Mensaje</t>
  </si>
  <si>
    <t>Español</t>
  </si>
  <si>
    <t>Id</t>
  </si>
  <si>
    <t>Ingles</t>
  </si>
  <si>
    <t>Aleman</t>
  </si>
  <si>
    <t>Hola</t>
  </si>
  <si>
    <t>Adiós</t>
  </si>
  <si>
    <t>Coche</t>
  </si>
  <si>
    <t>Pelota</t>
  </si>
  <si>
    <t>es</t>
  </si>
  <si>
    <t>en</t>
  </si>
  <si>
    <t>de</t>
  </si>
  <si>
    <t>Trailer</t>
  </si>
  <si>
    <t>Autobús</t>
  </si>
  <si>
    <t>Ornitorrinco</t>
  </si>
  <si>
    <t>Capibara</t>
  </si>
  <si>
    <t>Excelente</t>
  </si>
  <si>
    <t>Regular</t>
  </si>
  <si>
    <t>Fuera</t>
  </si>
  <si>
    <t>Caliente</t>
  </si>
  <si>
    <t>Frío</t>
  </si>
  <si>
    <t>Casa</t>
  </si>
  <si>
    <t>Rápido</t>
  </si>
  <si>
    <t>Alias</t>
  </si>
  <si>
    <t>email</t>
  </si>
  <si>
    <t>tlf</t>
  </si>
  <si>
    <t>direccion</t>
  </si>
  <si>
    <t>Lunes</t>
  </si>
  <si>
    <t>Martes</t>
  </si>
  <si>
    <t>Miércoles</t>
  </si>
  <si>
    <t>Jueves</t>
  </si>
  <si>
    <t>Viernes</t>
  </si>
  <si>
    <t>Sábado</t>
  </si>
  <si>
    <t>Domingo</t>
  </si>
  <si>
    <t>Antonio</t>
  </si>
  <si>
    <t>Alfonso</t>
  </si>
  <si>
    <t>Miguel</t>
  </si>
  <si>
    <t>Leonardo</t>
  </si>
  <si>
    <t>Pase</t>
  </si>
  <si>
    <t>Tiro</t>
  </si>
  <si>
    <t>Dribbling</t>
  </si>
  <si>
    <t>COMO SERÍA SIN LET ESTA FORMULA</t>
  </si>
  <si>
    <t>Marron</t>
  </si>
  <si>
    <t>VerdeMarron</t>
  </si>
  <si>
    <t>VerdeVerde</t>
  </si>
  <si>
    <t>AzulVerde</t>
  </si>
  <si>
    <t>VerdeAzul</t>
  </si>
  <si>
    <t>MarronVerde</t>
  </si>
  <si>
    <t>AzulMarron</t>
  </si>
  <si>
    <t>ESTA COLUMNA ESTÁ HECHA CON VBA</t>
  </si>
  <si>
    <t>CALCULAR ACUMULADO SOLO CELDAS DIVISIBLES ENTRE 3 Y 5  PARA AGUA, LUZ Y TELÉFONO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</si>
  <si>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</si>
  <si>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</si>
  <si>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</si>
  <si>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</si>
  <si>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</si>
  <si>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</si>
  <si>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</si>
  <si>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</si>
  <si>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</si>
  <si>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</si>
  <si>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</si>
  <si>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</si>
  <si>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Valor</t>
  </si>
  <si>
    <t>Valor2</t>
  </si>
  <si>
    <t>LET</t>
  </si>
  <si>
    <t>LET ORDENAR</t>
  </si>
  <si>
    <t>LET SIN COLOR</t>
  </si>
  <si>
    <t>LET ORDENAR CON CHECK</t>
  </si>
  <si>
    <t>Pizza</t>
  </si>
  <si>
    <t>Kebab</t>
  </si>
  <si>
    <t>Taco francés</t>
  </si>
  <si>
    <t>Crepes</t>
  </si>
  <si>
    <t>Pizzas prevendidas</t>
  </si>
  <si>
    <t>Min ham</t>
  </si>
  <si>
    <t>Min Kebab</t>
  </si>
  <si>
    <t>Min Taco</t>
  </si>
  <si>
    <t>Min Crepes</t>
  </si>
  <si>
    <t>Pizzas multiplos de 3</t>
  </si>
  <si>
    <t>Kebabs =Taco + crepe</t>
  </si>
  <si>
    <t>Zaragoza</t>
  </si>
  <si>
    <t>Huesca</t>
  </si>
  <si>
    <t>Teruel</t>
  </si>
  <si>
    <t>Castellón</t>
  </si>
  <si>
    <t>Alicante</t>
  </si>
  <si>
    <t>Valencia</t>
  </si>
  <si>
    <t>Aragon</t>
  </si>
  <si>
    <t>Se me ha borrado</t>
  </si>
  <si>
    <t>Vendedores</t>
  </si>
  <si>
    <t>Valores</t>
  </si>
  <si>
    <t>Vendedor1</t>
  </si>
  <si>
    <t>Vendedor2</t>
  </si>
  <si>
    <t>Vendedor3</t>
  </si>
  <si>
    <t>Vendedor4</t>
  </si>
  <si>
    <t>Vendedor5</t>
  </si>
  <si>
    <t>Vendedor6</t>
  </si>
  <si>
    <t>Vendedor7</t>
  </si>
  <si>
    <t>Vendedor8</t>
  </si>
  <si>
    <t>Está en TDs - COPIA 05052026 pestaña VentasGen</t>
  </si>
  <si>
    <t>0 en formato</t>
  </si>
  <si>
    <t xml:space="preserve">Pulsando doble click en copia formato </t>
  </si>
  <si>
    <t>hola</t>
  </si>
  <si>
    <t>F</t>
  </si>
  <si>
    <t>La función XO en Excel devuelve VERDADERO si un número impar de condiciones evaluadas es verdadero y FALSO si el número de condiciones verdaderas es par o ninguna es verdadera.</t>
  </si>
  <si>
    <t>Caca</t>
  </si>
  <si>
    <t>Días</t>
  </si>
  <si>
    <t>Pis</t>
  </si>
  <si>
    <t>BUSCARV</t>
  </si>
  <si>
    <t>BUSCARX</t>
  </si>
  <si>
    <t>BUSCARH</t>
  </si>
  <si>
    <t>Maña?a</t>
  </si>
  <si>
    <t>Pasa*o</t>
  </si>
  <si>
    <t>a</t>
  </si>
  <si>
    <t>aa</t>
  </si>
  <si>
    <t>aaa</t>
  </si>
  <si>
    <t>aaaa</t>
  </si>
  <si>
    <t>asa~gh</t>
  </si>
  <si>
    <t>FUNCION SUMA</t>
  </si>
  <si>
    <t>DATOS P LET</t>
  </si>
  <si>
    <t>DATOS P NORMAL</t>
  </si>
  <si>
    <t>IVA</t>
  </si>
  <si>
    <t>IVA_REDUCIDO</t>
  </si>
  <si>
    <t>IVA_SUPER_REDUCIDO</t>
  </si>
  <si>
    <t>DONACIONES</t>
  </si>
  <si>
    <t>Fórmulas crear desde la selección</t>
  </si>
  <si>
    <t>Creamos un nombre desde Formula/Administrador de nombres copiando y pegando la lambda sin el argumento final, podremos utilizar la lambda llamándola por su nombre e incluyendo el valor a utilizar dentro de los paréntesis</t>
  </si>
  <si>
    <t>Cigarros</t>
  </si>
  <si>
    <t>Whisky</t>
  </si>
  <si>
    <t>Tarea</t>
  </si>
  <si>
    <t>Fecha Inicio</t>
  </si>
  <si>
    <t>Duración (días)</t>
  </si>
  <si>
    <t>Fecha Fin</t>
  </si>
  <si>
    <t>Completado</t>
  </si>
  <si>
    <t>Planificación</t>
  </si>
  <si>
    <t>Investigación</t>
  </si>
  <si>
    <t>Diseño</t>
  </si>
  <si>
    <t>Desarrollo</t>
  </si>
  <si>
    <t>Pruebas y Ajustes</t>
  </si>
  <si>
    <t>LAMBDA NUMERO DIVISIBLE POR 3 POR 5 O POR 7 Y QUE SI EL NUMERO CUMPLE EL OR ME DIGA SI</t>
  </si>
  <si>
    <t>LAMBDA</t>
  </si>
  <si>
    <t>NOMBRE DEFINIDO</t>
  </si>
  <si>
    <t>AGRUPAR POR LA PRIMERA COLUMNA SEA PARA FILAS Y LA ULTIMA PARA VALORES</t>
  </si>
  <si>
    <t>Fila 1</t>
  </si>
  <si>
    <t>Fila 2</t>
  </si>
  <si>
    <t>Fila 3</t>
  </si>
  <si>
    <t>Fila 4</t>
  </si>
  <si>
    <t>Fila 5</t>
  </si>
  <si>
    <t>Fila 6</t>
  </si>
  <si>
    <t>Fila 7</t>
  </si>
  <si>
    <t>Fila 8</t>
  </si>
  <si>
    <t>Fila 9</t>
  </si>
  <si>
    <t>Fila 10</t>
  </si>
  <si>
    <t>Fila 11</t>
  </si>
  <si>
    <t>Fila 12</t>
  </si>
  <si>
    <t>AGRUPAR POR LA PRIMERA COLUMNA SEA PARA FILAS Y LA DE VALORES VARIABLE</t>
  </si>
  <si>
    <t>CON 3 VARIABLES</t>
  </si>
  <si>
    <t>recupera lo que deseamos estableciendo una referencia y desplazándonos filas y columnas elegidas desde la referencia eligiendo el ancho y alto que deseemos</t>
  </si>
  <si>
    <t>DESREF</t>
  </si>
  <si>
    <t>MAP CON DESREF</t>
  </si>
  <si>
    <t>SCAN CON DESREF</t>
  </si>
  <si>
    <t>Fecha</t>
  </si>
  <si>
    <t>abr</t>
  </si>
  <si>
    <t>Suma de Agua</t>
  </si>
  <si>
    <t>Comunidad</t>
  </si>
  <si>
    <t>Provincia</t>
  </si>
  <si>
    <t>Castellon</t>
  </si>
  <si>
    <t>Galicia</t>
  </si>
  <si>
    <t>Lugo</t>
  </si>
  <si>
    <t>Pontevedra</t>
  </si>
  <si>
    <t>Orense</t>
  </si>
  <si>
    <t>FORMULA PARA MOSTRAR COMUNIDADES</t>
  </si>
  <si>
    <t>FORMULA PARA MOSTRAR PROVINCIAS</t>
  </si>
  <si>
    <t>FORMULA PARA MOSTRAR EQUIPOS</t>
  </si>
  <si>
    <t>Equipos</t>
  </si>
  <si>
    <t>Casademont Zaragoza</t>
  </si>
  <si>
    <t>Real Zaragoza</t>
  </si>
  <si>
    <t>Peñas Huesca</t>
  </si>
  <si>
    <t>SD Huesca</t>
  </si>
  <si>
    <t>Voleibol Teruel</t>
  </si>
  <si>
    <t>CF Teruel</t>
  </si>
  <si>
    <t>Valencia Basket</t>
  </si>
  <si>
    <t>Valencia CF</t>
  </si>
  <si>
    <t>CD Castellon</t>
  </si>
  <si>
    <t>Castellon Balonmano</t>
  </si>
  <si>
    <t>Alicante CF</t>
  </si>
  <si>
    <t>Hercules</t>
  </si>
  <si>
    <t>Lugo CF</t>
  </si>
  <si>
    <t>Basket Lugo</t>
  </si>
  <si>
    <t>Pontevedra CF</t>
  </si>
  <si>
    <t>Balonmano Pontevedra</t>
  </si>
  <si>
    <t>CF Orense</t>
  </si>
  <si>
    <t>Basket Orense</t>
  </si>
  <si>
    <t>Lugo CD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</si>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</sst>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d\-m\-yy\ h:mm;@"/>
    <numFmt numFmtId="165" formatCode="[$-F400]h:mm:ss\ AM/PM"/>
    <numFmt numFmtId="166" formatCode="0000000"/>
    <numFmt numFmtId="167" formatCode="[Red]\(\)"/>
    <numFmt numFmtId="168" formatCode="[Green]00000000;[Red]\(\-#.###\);&quot;cero&quot;;@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4C4642"/>
      <name val="Courier New"/>
      <family val="3"/>
    </font>
    <font>
      <sz val="12"/>
      <color rgb="FF4C4642"/>
      <name val="Arial"/>
      <family val="2"/>
    </font>
    <font>
      <sz val="11"/>
      <color rgb="FF4C4642"/>
      <name val="Courier New"/>
      <family val="3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A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0" xfId="0" applyNumberFormat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0" fontId="0" fillId="5" borderId="0" xfId="0" applyFill="1"/>
    <xf numFmtId="8" fontId="0" fillId="0" borderId="0" xfId="0" applyNumberFormat="1"/>
    <xf numFmtId="0" fontId="0" fillId="0" borderId="0" xfId="0" applyAlignment="1">
      <alignment horizontal="center"/>
    </xf>
    <xf numFmtId="0" fontId="2" fillId="0" borderId="0" xfId="1"/>
    <xf numFmtId="0" fontId="2" fillId="0" borderId="0" xfId="1" quotePrefix="1"/>
    <xf numFmtId="0" fontId="0" fillId="0" borderId="1" xfId="0" applyBorder="1"/>
    <xf numFmtId="0" fontId="0" fillId="6" borderId="0" xfId="0" applyFill="1"/>
    <xf numFmtId="0" fontId="0" fillId="0" borderId="1" xfId="0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0" borderId="0" xfId="0" applyFont="1"/>
    <xf numFmtId="0" fontId="5" fillId="8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14" fontId="5" fillId="7" borderId="1" xfId="0" applyNumberFormat="1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29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onnections" Target="connections.xml"/><Relationship Id="rId89" Type="http://schemas.microsoft.com/office/2022/11/relationships/FeaturePropertyBag" Target="featurePropertyBag/featurePropertyBag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pivotCacheDefinition" Target="pivotCache/pivotCacheDefinition2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88" Type="http://schemas.microsoft.com/office/2017/10/relationships/person" Target="persons/person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microsoft.com/office/2011/relationships/timelineCache" Target="timelineCaches/timelineCache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eetMetadata" Target="metadata.xml"/><Relationship Id="rId61" Type="http://schemas.openxmlformats.org/officeDocument/2006/relationships/worksheet" Target="worksheets/sheet61.xml"/><Relationship Id="rId82" Type="http://schemas.microsoft.com/office/2007/relationships/slicerCache" Target="slicerCaches/slicerCache1.xml"/><Relationship Id="rId19" Type="http://schemas.openxmlformats.org/officeDocument/2006/relationships/worksheet" Target="worksheets/sheet19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352424</xdr:colOff>
      <xdr:row>0</xdr:row>
      <xdr:rowOff>28575</xdr:rowOff>
    </xdr:from>
    <xdr:to>
      <xdr:col>9</xdr:col>
      <xdr:colOff>685799</xdr:colOff>
      <xdr:row>14</xdr:row>
      <xdr:rowOff>66675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es">
              <a:extLst>
                <a:ext uri="{FF2B5EF4-FFF2-40B4-BE49-F238E27FC236}">
                  <a16:creationId xmlns:a16="http://schemas.microsoft.com/office/drawing/2014/main" id="{5B3FF5A9-AC50-EDE3-789D-4EE8247333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2424" y="28575"/>
              <a:ext cx="3381375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</xdr:colOff>
          <xdr:row>3</xdr:row>
          <xdr:rowOff>85725</xdr:rowOff>
        </xdr:from>
        <xdr:to>
          <xdr:col>5</xdr:col>
          <xdr:colOff>561975</xdr:colOff>
          <xdr:row>8</xdr:row>
          <xdr:rowOff>28575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4A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Aptos Narrow"/>
                </a:rPr>
                <a:t>Abrir Formulario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24</xdr:row>
      <xdr:rowOff>152400</xdr:rowOff>
    </xdr:from>
    <xdr:to>
      <xdr:col>8</xdr:col>
      <xdr:colOff>352425</xdr:colOff>
      <xdr:row>32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53279F84-BBAF-F2CD-B900-2A45C2083E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6650" y="47244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33.499515277777" createdVersion="8" refreshedVersion="8" minRefreshableVersion="3" recordCount="22" xr:uid="{D50F2E46-DAE2-461C-8C39-0CD570CC90B1}">
  <cacheSource type="worksheet">
    <worksheetSource ref="A1:B23" sheet="AGRUPARPOR"/>
  </cacheSource>
  <cacheFields count="2">
    <cacheField name="Mes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Luz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9.55709652778" createdVersion="8" refreshedVersion="8" minRefreshableVersion="3" recordCount="12" xr:uid="{0B664E69-72BD-47A2-A687-F0C765C6151A}">
  <cacheSource type="worksheet">
    <worksheetSource ref="B6:F18" sheet="FUNCION DESREF"/>
  </cacheSource>
  <cacheFields count="7">
    <cacheField name="Fecha" numFmtId="14">
      <sharedItems containsSemiMixedTypes="0" containsNonDate="0" containsDate="1" containsString="0" minDate="2026-01-01T00:00:00" maxDate="2026-12-02T00:00:00" count="12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  <fieldGroup par="6"/>
    </cacheField>
    <cacheField name="Meses" numFmtId="0">
      <sharedItems/>
    </cacheField>
    <cacheField name="Luz" numFmtId="0">
      <sharedItems containsSemiMixedTypes="0" containsString="0" containsNumber="1" minValue="29.437780461836709" maxValue="72.474277654362396"/>
    </cacheField>
    <cacheField name="Agua" numFmtId="0">
      <sharedItems containsSemiMixedTypes="0" containsString="0" containsNumber="1" minValue="27.3843234347151" maxValue="71.403030749819763"/>
    </cacheField>
    <cacheField name="Teléfono" numFmtId="0">
      <sharedItems containsSemiMixedTypes="0" containsString="0" containsNumber="1" minValue="25.246198899105437" maxValue="71.059004583087329"/>
    </cacheField>
    <cacheField name="Días (Fecha)" numFmtId="0" databaseField="0">
      <fieldGroup base="0">
        <rangePr groupBy="days" startDate="2026-01-01T00:00:00" endDate="2026-12-02T00:00:00"/>
        <groupItems count="368">
          <s v="&lt;01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12/2026"/>
        </groupItems>
      </fieldGroup>
    </cacheField>
    <cacheField name="Meses (Fecha)" numFmtId="0" databaseField="0">
      <fieldGroup base="0">
        <rangePr groupBy="months" startDate="2026-01-01T00:00:00" endDate="2026-12-02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12/2026"/>
        </groupItems>
      </fieldGroup>
    </cacheField>
  </cacheFields>
  <extLst>
    <ext xmlns:x14="http://schemas.microsoft.com/office/spreadsheetml/2009/9/main" uri="{725AE2AE-9491-48be-B2B4-4EB974FC3084}">
      <x14:pivotCacheDefinition pivotCacheId="9139991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5"/>
  </r>
  <r>
    <x v="1"/>
    <n v="7"/>
  </r>
  <r>
    <x v="2"/>
    <n v="6"/>
  </r>
  <r>
    <x v="3"/>
    <n v="1"/>
  </r>
  <r>
    <x v="4"/>
    <n v="6"/>
  </r>
  <r>
    <x v="5"/>
    <n v="0"/>
  </r>
  <r>
    <x v="6"/>
    <n v="5"/>
  </r>
  <r>
    <x v="7"/>
    <n v="10"/>
  </r>
  <r>
    <x v="8"/>
    <n v="1"/>
  </r>
  <r>
    <x v="9"/>
    <n v="2"/>
  </r>
  <r>
    <x v="10"/>
    <n v="8"/>
  </r>
  <r>
    <x v="11"/>
    <n v="5"/>
  </r>
  <r>
    <x v="0"/>
    <n v="3"/>
  </r>
  <r>
    <x v="1"/>
    <n v="4"/>
  </r>
  <r>
    <x v="2"/>
    <n v="2"/>
  </r>
  <r>
    <x v="3"/>
    <n v="7"/>
  </r>
  <r>
    <x v="4"/>
    <n v="3"/>
  </r>
  <r>
    <x v="5"/>
    <n v="3"/>
  </r>
  <r>
    <x v="6"/>
    <n v="10"/>
  </r>
  <r>
    <x v="7"/>
    <n v="3"/>
  </r>
  <r>
    <x v="8"/>
    <n v="1"/>
  </r>
  <r>
    <x v="9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nero"/>
    <n v="57.575153729432316"/>
    <n v="67.371869668826605"/>
    <n v="30.876646246546784"/>
  </r>
  <r>
    <x v="1"/>
    <s v="Febrero"/>
    <n v="29.437780461836709"/>
    <n v="50.233664444450753"/>
    <n v="63.493265266988928"/>
  </r>
  <r>
    <x v="2"/>
    <s v="Marzo"/>
    <n v="36.633007782365127"/>
    <n v="27.3843234347151"/>
    <n v="71.059004583087329"/>
  </r>
  <r>
    <x v="3"/>
    <s v="Abril"/>
    <n v="49.322792752699087"/>
    <n v="47.384141313900955"/>
    <n v="64.889196685717209"/>
  </r>
  <r>
    <x v="4"/>
    <s v="Mayo"/>
    <n v="46.068687415259291"/>
    <n v="32.044606221983528"/>
    <n v="60.955255457681062"/>
  </r>
  <r>
    <x v="5"/>
    <s v="Junio"/>
    <n v="60.34748064875069"/>
    <n v="33.769534033846412"/>
    <n v="27.529101465295525"/>
  </r>
  <r>
    <x v="6"/>
    <s v="Julio"/>
    <n v="29.872712321780526"/>
    <n v="66.377064920768802"/>
    <n v="49.297049870294799"/>
  </r>
  <r>
    <x v="7"/>
    <s v="Agosto"/>
    <n v="44.892465897002381"/>
    <n v="35.215731249861463"/>
    <n v="59.779564083634668"/>
  </r>
  <r>
    <x v="8"/>
    <s v="Septiembre"/>
    <n v="44.518875413754884"/>
    <n v="57.646849651408118"/>
    <n v="25.246198899105437"/>
  </r>
  <r>
    <x v="9"/>
    <s v="Octubre"/>
    <n v="72.474277654362396"/>
    <n v="70.891310957286407"/>
    <n v="26.016093582479527"/>
  </r>
  <r>
    <x v="10"/>
    <s v="Noviembre"/>
    <n v="39.552555206137384"/>
    <n v="49.487241163307772"/>
    <n v="65.500557003655686"/>
  </r>
  <r>
    <x v="11"/>
    <s v="Diciembre"/>
    <n v="67.787084512400412"/>
    <n v="71.403030749819763"/>
    <n v="55.4327845469747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41CC3-DAE4-43BC-9371-3C02E27C3DB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1:L21" firstHeaderRow="1" firstDataRow="1" firstDataCol="1"/>
  <pivotFields count="2">
    <pivotField axis="axisRow" showAll="0" measure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10"/>
    </i>
    <i t="grand">
      <x/>
    </i>
  </rowItems>
  <colItems count="1">
    <i/>
  </colItems>
  <dataFields count="1">
    <dataField name="Suma de Luz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156DA-5D60-4452-A142-0CBF8172F705}" name="TablaDinámica2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B26:C28" firstHeaderRow="1" firstDataRow="1" firstDataCol="1"/>
  <pivotFields count="7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0"/>
  </rowFields>
  <rowItems count="2">
    <i>
      <x v="4"/>
    </i>
    <i t="grand">
      <x/>
    </i>
  </rowItems>
  <colItems count="1">
    <i/>
  </colItems>
  <dataFields count="1">
    <dataField name="Suma de Agua" fld="3" baseField="0" baseItem="0"/>
  </dataFields>
  <pivotTableStyleInfo name="PivotStyleLight16" showRowHeaders="1" showColHeaders="1" showRowStripes="0" showColStripes="0" showLastColumn="1"/>
  <filters count="1">
    <filter fld="0" type="dateBetween" evalOrder="-1" id="6" name="Fecha">
      <autoFilter ref="A1">
        <filterColumn colId="0">
          <customFilters and="1">
            <customFilter operator="greaterThanOrEqual" val="46113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BD5D9B3D-0912-425F-864F-9B44DD2E07E3}" autoFormatId="16" applyNumberFormats="0" applyBorderFormats="0" applyFontFormats="0" applyPatternFormats="0" applyAlignmentFormats="0" applyWidthHeightFormats="0">
  <queryTableRefresh nextId="3">
    <queryTableFields count="2">
      <queryTableField id="1" name="Personas" tableColumnId="1"/>
      <queryTableField id="2" name="E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E64A8133-682E-465C-A0B1-185066405D42}" autoFormatId="16" applyNumberFormats="0" applyBorderFormats="0" applyFontFormats="0" applyPatternFormats="0" applyAlignmentFormats="0" applyWidthHeightFormats="0">
  <queryTableRefresh nextId="3">
    <queryTableFields count="2">
      <queryTableField id="1" name="Personas" tableColumnId="1"/>
      <queryTableField id="2" name="Col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1C6A6144-EC21-4AEF-9D7C-F2CECF93E588}" autoFormatId="16" applyNumberFormats="0" applyBorderFormats="0" applyFontFormats="0" applyPatternFormats="0" applyAlignmentFormats="0" applyWidthHeightFormats="0">
  <queryTableRefresh nextId="5">
    <queryTableFields count="3">
      <queryTableField id="1" name="Personas" tableColumnId="1"/>
      <queryTableField id="2" name="Edad" tableColumnId="2"/>
      <queryTableField id="4" name="Colo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" xr16:uid="{899722AF-8066-4B8F-8E59-655C8D5869D8}" autoFormatId="16" applyNumberFormats="0" applyBorderFormats="0" applyFontFormats="0" applyPatternFormats="0" applyAlignmentFormats="0" applyWidthHeightFormats="0">
  <queryTableRefresh nextId="4">
    <queryTableFields count="3">
      <queryTableField id="1" name="Mes" tableColumnId="1"/>
      <queryTableField id="2" name="Año" tableColumnId="2"/>
      <queryTableField id="3" name="Persona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3" xr16:uid="{97AF0C22-87B0-4B18-AEC0-8244EA1CD4B5}" autoFormatId="16" applyNumberFormats="0" applyBorderFormats="0" applyFontFormats="0" applyPatternFormats="0" applyAlignmentFormats="0" applyWidthHeightFormats="0">
  <queryTableRefresh nextId="3">
    <queryTableFields count="2">
      <queryTableField id="1" name="Persona" tableColumnId="1"/>
      <queryTableField id="2" name="Col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BA548545-A0EC-4F75-BBB6-91799AFB405D}" autoFormatId="16" applyNumberFormats="0" applyBorderFormats="0" applyFontFormats="0" applyPatternFormats="0" applyAlignmentFormats="0" applyWidthHeightFormats="0">
  <queryTableRefresh nextId="4">
    <queryTableFields count="3">
      <queryTableField id="1" name="Mes" tableColumnId="1"/>
      <queryTableField id="2" name="Año" tableColumnId="2"/>
      <queryTableField id="3" name="Persona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2" xr16:uid="{F4B1F7C7-A194-401A-9B76-1558C6305AA4}" autoFormatId="16" applyNumberFormats="0" applyBorderFormats="0" applyFontFormats="0" applyPatternFormats="0" applyAlignmentFormats="0" applyWidthHeightFormats="0">
  <queryTableRefresh nextId="4">
    <queryTableFields count="3">
      <queryTableField id="1" name="Mes" tableColumnId="1"/>
      <queryTableField id="2" name="Año" tableColumnId="2"/>
      <queryTableField id="3" name="Persona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1" xr16:uid="{14BBDEDE-3D50-4F81-A943-85D01222CADC}" autoFormatId="16" applyNumberFormats="0" applyBorderFormats="0" applyFontFormats="0" applyPatternFormats="0" applyAlignmentFormats="0" applyWidthHeightFormats="0">
  <queryTableRefresh nextId="4">
    <queryTableFields count="3">
      <queryTableField id="1" name="Mes" tableColumnId="1"/>
      <queryTableField id="2" name="Año" tableColumnId="2"/>
      <queryTableField id="3" name="Persona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72F15EAF-241E-4383-83EB-C17CC92925B2}" autoFormatId="16" applyNumberFormats="0" applyBorderFormats="0" applyFontFormats="0" applyPatternFormats="0" applyAlignmentFormats="0" applyWidthHeightFormats="0">
  <queryTableRefresh nextId="5">
    <queryTableFields count="4">
      <queryTableField id="1" name="Mes" tableColumnId="1"/>
      <queryTableField id="2" name="Año" tableColumnId="2"/>
      <queryTableField id="3" name="Persona" tableColumnId="3"/>
      <queryTableField id="4" name="Color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" xr10:uid="{1D0C8C82-0593-4CF9-A781-8C3AADA6A649}" sourceName="Meses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30AA24BC-0589-4063-89D4-BA171EFDC23D}" cache="SegmentaciónDeDatos_Meses" caption="Meses" columnCount="4" rowHeight="25717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CC647-CDC9-4BEA-89FB-BEC3A3723E2E}" name="Recibos1" displayName="Recibos1" ref="A1:E13">
  <autoFilter ref="A1:E13" xr:uid="{F82CC647-CDC9-4BEA-89FB-BEC3A3723E2E}"/>
  <tableColumns count="5">
    <tableColumn id="1" xr3:uid="{BFF5561A-FD87-4436-B689-76210DADDF79}" name="Meses" totalsRowFunction="count"/>
    <tableColumn id="2" xr3:uid="{028E5D3A-16A9-4C66-98E4-30F6D4EBEA68}" name="Luz" totalsRowFunction="sum"/>
    <tableColumn id="3" xr3:uid="{C0E5DB64-E0C3-4615-9962-A9B32C739720}" name="Agua" totalsRowFunction="max"/>
    <tableColumn id="4" xr3:uid="{7878644B-24C4-4ACD-8FC4-5A5E88FFF87F}" name="Teléfono" totalsRowFunction="average"/>
    <tableColumn id="10" xr3:uid="{36F6D654-4D7C-478C-AF5D-8CB6BF3E3E43}" name="Seguro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6EE27-C6E9-4C56-967F-376A5D9C8D16}" name="DATOS_DE_PRUEBA_1_PARA_COMBINAR" displayName="DATOS_DE_PRUEBA_1_PARA_COMBINAR" ref="A1:B6" tableType="queryTable" totalsRowShown="0">
  <autoFilter ref="A1:B6" xr:uid="{5F26EE27-C6E9-4C56-967F-376A5D9C8D16}"/>
  <tableColumns count="2">
    <tableColumn id="1" xr3:uid="{2763224C-0F40-4877-9215-24A3B23BC101}" uniqueName="1" name="Personas" queryTableFieldId="1"/>
    <tableColumn id="2" xr3:uid="{EACB42E2-BD74-45C7-BE0F-5C654945BF86}" uniqueName="2" name="Eda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7F17E-1B90-4899-B582-61AAAC4B82F6}" name="DATOS_DE_PRUEBA_2_PARA_COMBINAR" displayName="DATOS_DE_PRUEBA_2_PARA_COMBINAR" ref="A1:B4" tableType="queryTable" totalsRowShown="0">
  <autoFilter ref="A1:B4" xr:uid="{5FF7F17E-1B90-4899-B582-61AAAC4B82F6}"/>
  <tableColumns count="2">
    <tableColumn id="1" xr3:uid="{273380FA-F501-4D94-8C84-8C96C564BC39}" uniqueName="1" name="Personas" queryTableFieldId="1"/>
    <tableColumn id="2" xr3:uid="{ABCD8FBF-6CDD-4344-A360-91D694344C78}" uniqueName="2" name="Color" queryTableFieldId="2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412D85-CBCF-4107-AB2D-CDB1111B93D2}" name="Combinar1" displayName="Combinar1" ref="A1:C6" tableType="queryTable" totalsRowShown="0">
  <autoFilter ref="A1:C6" xr:uid="{63412D85-CBCF-4107-AB2D-CDB1111B93D2}"/>
  <tableColumns count="3">
    <tableColumn id="1" xr3:uid="{3DB624E2-2F0D-4DAC-92CE-17C864A018FB}" uniqueName="1" name="Personas" queryTableFieldId="1"/>
    <tableColumn id="2" xr3:uid="{0E59D782-C378-4875-804D-64E968D98514}" uniqueName="2" name="Edad" queryTableFieldId="2"/>
    <tableColumn id="4" xr3:uid="{C5BF1B3F-80BA-44EA-B5EB-C8A9A3BD704E}" uniqueName="4" name="Color" queryTableFieldId="4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1C9240-85E8-4DB6-84FF-3DDBE15375A5}" name="Anexar1" displayName="Anexar1" ref="A1:C37" tableType="queryTable" totalsRowShown="0">
  <autoFilter ref="A1:C37" xr:uid="{0B1C9240-85E8-4DB6-84FF-3DDBE15375A5}"/>
  <tableColumns count="3">
    <tableColumn id="1" xr3:uid="{CCA24E26-B92A-4B1F-9AD2-31C1FE79216F}" uniqueName="1" name="Mes" queryTableFieldId="1" dataDxfId="17"/>
    <tableColumn id="2" xr3:uid="{12C27AD0-A6E9-432B-9C1C-D974E068676F}" uniqueName="2" name="Año" queryTableFieldId="2"/>
    <tableColumn id="3" xr3:uid="{1F6AE712-0E67-45F0-AA21-CA603BC198B2}" uniqueName="3" name="Persona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535D6A-5C7D-4F98-9126-59043E40B033}" name="Hoja4" displayName="Hoja4" ref="A1:B5" tableType="queryTable" totalsRowShown="0">
  <autoFilter ref="A1:B5" xr:uid="{7C535D6A-5C7D-4F98-9126-59043E40B033}"/>
  <tableColumns count="2">
    <tableColumn id="1" xr3:uid="{183134D3-2FA9-41E4-98BF-FBEB6ACA53C1}" uniqueName="1" name="Persona" queryTableFieldId="1"/>
    <tableColumn id="2" xr3:uid="{62CAD429-4D43-4D65-A8DC-CFFC7756EA7B}" uniqueName="2" name="Color" queryTableFieldId="2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B68EBA-F90F-4694-9BD6-A7822361F6E4}" name="Hoja1" displayName="Hoja1" ref="A1:C13" tableType="queryTable" totalsRowShown="0">
  <autoFilter ref="A1:C13" xr:uid="{84B68EBA-F90F-4694-9BD6-A7822361F6E4}"/>
  <tableColumns count="3">
    <tableColumn id="1" xr3:uid="{C6883CBC-4238-4433-B2E6-E24051E1F79F}" uniqueName="1" name="Mes" queryTableFieldId="1" dataDxfId="15"/>
    <tableColumn id="2" xr3:uid="{107F9D94-3CEA-4D56-A880-3C2EB6EF9506}" uniqueName="2" name="Año" queryTableFieldId="2"/>
    <tableColumn id="3" xr3:uid="{8B2894BE-78BC-44CA-B2F0-107D46E09314}" uniqueName="3" name="Persona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9A7B86-FC22-4DD3-BC65-B54BAEE804AE}" name="Hoja3" displayName="Hoja3" ref="A1:C13" tableType="queryTable" totalsRowShown="0">
  <autoFilter ref="A1:C13" xr:uid="{149A7B86-FC22-4DD3-BC65-B54BAEE804AE}"/>
  <tableColumns count="3">
    <tableColumn id="1" xr3:uid="{B26FDFBE-1BFF-44F4-A273-736409329CB9}" uniqueName="1" name="Mes" queryTableFieldId="1" dataDxfId="14"/>
    <tableColumn id="2" xr3:uid="{47B1D8CD-2CD6-4132-94FA-E1F4F92F46E3}" uniqueName="2" name="Año" queryTableFieldId="2"/>
    <tableColumn id="3" xr3:uid="{0618D964-8901-4BFC-A548-AEF737643E19}" uniqueName="3" name="Persona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38F657-8E7F-44A9-8225-3B1E40363DBC}" name="Hoja2" displayName="Hoja2" ref="A1:C13" tableType="queryTable" totalsRowShown="0">
  <autoFilter ref="A1:C13" xr:uid="{7838F657-8E7F-44A9-8225-3B1E40363DBC}"/>
  <tableColumns count="3">
    <tableColumn id="1" xr3:uid="{B293A026-1850-41E9-900C-83ECE6E15B17}" uniqueName="1" name="Mes" queryTableFieldId="1" dataDxfId="13"/>
    <tableColumn id="2" xr3:uid="{DAE5E8A2-FF43-4D70-9454-548FDF4D9E1F}" uniqueName="2" name="Año" queryTableFieldId="2"/>
    <tableColumn id="3" xr3:uid="{838F66C8-F5B7-4CDD-8C4D-BF7B9C3C858E}" uniqueName="3" name="Persona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C364E0-B68F-4792-AE8D-A339804F6479}" name="Combinar2" displayName="Combinar2" ref="A1:D37" tableType="queryTable" totalsRowShown="0">
  <autoFilter ref="A1:D37" xr:uid="{D3C364E0-B68F-4792-AE8D-A339804F6479}"/>
  <tableColumns count="4">
    <tableColumn id="1" xr3:uid="{77DABD68-B50A-44ED-BCB6-3A80E66EB6E5}" uniqueName="1" name="Mes" queryTableFieldId="1" dataDxfId="12"/>
    <tableColumn id="2" xr3:uid="{E4993C1E-F2C5-47A8-AACF-5ADECFEF4031}" uniqueName="2" name="Año" queryTableFieldId="2"/>
    <tableColumn id="3" xr3:uid="{66AE84C4-7118-47FA-ABF2-75D7A87B8B38}" uniqueName="3" name="Persona" queryTableFieldId="3"/>
    <tableColumn id="4" xr3:uid="{495AFDFA-98B5-4730-8BE8-8090CE2D754C}" uniqueName="4" name="Color" queryTableFieldId="4" dataDxfId="1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09E107-8FC1-40B2-B515-DB5A082599BD}" name="Recibos2" displayName="Recibos2" ref="A1:D14" totalsRowShown="0">
  <autoFilter ref="A1:D14" xr:uid="{1009E107-8FC1-40B2-B515-DB5A082599BD}"/>
  <tableColumns count="4">
    <tableColumn id="1" xr3:uid="{0AED1B02-B5C1-40BA-98DD-3D39AC3CE963}" name="Meses"/>
    <tableColumn id="2" xr3:uid="{1EB62AEB-5C52-4216-B258-1CA51FA230EA}" name="Luz"/>
    <tableColumn id="3" xr3:uid="{087C9534-ADCA-44CD-A1EA-EDB60F336AC4}" name="Agua"/>
    <tableColumn id="4" xr3:uid="{56111308-FBB4-480D-AD35-C34D1438B38A}" name="Teléfon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A834F36-8D67-419F-8FC1-01392FE83537}" name="Tabla11" displayName="Tabla11" ref="A5:D17" totalsRowShown="0">
  <autoFilter ref="A5:D17" xr:uid="{AA834F36-8D67-419F-8FC1-01392FE83537}">
    <filterColumn colId="0">
      <filters>
        <filter val="Agosto"/>
        <filter val="Diciembre"/>
        <filter val="Enero"/>
        <filter val="Febrero"/>
        <filter val="Junio"/>
        <filter val="Marzo"/>
        <filter val="Mayo"/>
        <filter val="Noviembre"/>
        <filter val="Octubre"/>
        <filter val="Septiembre"/>
      </filters>
    </filterColumn>
  </autoFilter>
  <tableColumns count="4">
    <tableColumn id="1" xr3:uid="{558F2445-5BCA-4F8D-8EAC-DE89E7EB600D}" name="Meses"/>
    <tableColumn id="2" xr3:uid="{DE8EC570-E644-4698-AAD7-270EB009C38B}" name="Luz"/>
    <tableColumn id="3" xr3:uid="{85645F6D-4ABA-445E-8A43-B3FAE15AAFDE}" name="Agua"/>
    <tableColumn id="4" xr3:uid="{6C2F3D05-D366-4F6D-B636-20B50EACAC6B}" name="Teléfon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F15B157-4EC9-4D2C-87DB-B2100ABCB8F6}" name="Tabla14" displayName="Tabla14" ref="A2:C22" totalsRowShown="0">
  <autoFilter ref="A2:C22" xr:uid="{5F15B157-4EC9-4D2C-87DB-B2100ABCB8F6}"/>
  <tableColumns count="3">
    <tableColumn id="1" xr3:uid="{6AEF3DC2-E07A-42D8-BCCD-D09CAB093979}" name="Comunidad">
      <calculatedColumnFormula>A2</calculatedColumnFormula>
    </tableColumn>
    <tableColumn id="2" xr3:uid="{AD6B548C-43F8-4E3A-B0DA-3766B677FD38}" name="Provincia"/>
    <tableColumn id="3" xr3:uid="{7EBB56B9-83BC-45AE-895E-470E1D690BF1}" name="Equip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54B19772-B5D1-4EA2-BB9C-BFEF9C4D7580}" sourceName="Fecha">
  <pivotTables>
    <pivotTable tabId="92" name="TablaDinámica2"/>
  </pivotTables>
  <state minimalRefreshVersion="6" lastRefreshVersion="6" pivotCacheId="913999142" filterType="dateBetween">
    <selection startDate="2026-04-01T00:00:00" endDate="2026-04-30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DF205AD2-DF5D-4F4B-B86F-E75F582409F7}" cache="NativeTimeline_Fecha" caption="Fecha" level="2" selectionLevel="2" scrollPosition="2026-01-01T00:00:00"/>
</timelines>
</file>

<file path=xl/worksheets/_rels/sheet2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migueljerico@gmail.com?subject=Opini&#243;n%20del%20informe" TargetMode="External"/><Relationship Id="rId2" Type="http://schemas.openxmlformats.org/officeDocument/2006/relationships/hyperlink" Target="file:///D:\Downloads\Miguel.txt" TargetMode="External"/><Relationship Id="rId1" Type="http://schemas.openxmlformats.org/officeDocument/2006/relationships/hyperlink" Target="http://www.abc.es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A60D-4FA0-4E65-A515-86F2474B12D6}">
  <sheetPr codeName="Hoja1"/>
  <dimension ref="B2:M63"/>
  <sheetViews>
    <sheetView workbookViewId="0"/>
  </sheetViews>
  <sheetFormatPr baseColWidth="10" defaultRowHeight="15" x14ac:dyDescent="0.25"/>
  <cols>
    <col min="7" max="7" width="11.7109375" bestFit="1" customWidth="1"/>
  </cols>
  <sheetData>
    <row r="2" spans="2:12" x14ac:dyDescent="0.25">
      <c r="G2" cm="1">
        <f t="array" aca="1" ref="G2:G11" ca="1">_xlfn.RANDARRAY(10,1,-5,10,TRUE)</f>
        <v>-3</v>
      </c>
      <c r="J2">
        <v>1</v>
      </c>
      <c r="L2">
        <v>1</v>
      </c>
    </row>
    <row r="3" spans="2:12" x14ac:dyDescent="0.25">
      <c r="B3">
        <v>1</v>
      </c>
      <c r="C3" t="s">
        <v>0</v>
      </c>
      <c r="E3">
        <v>1</v>
      </c>
      <c r="G3">
        <f ca="1"/>
        <v>8</v>
      </c>
      <c r="J3">
        <v>2</v>
      </c>
      <c r="L3">
        <v>2</v>
      </c>
    </row>
    <row r="4" spans="2:12" x14ac:dyDescent="0.25">
      <c r="B4">
        <v>8</v>
      </c>
      <c r="C4" t="s">
        <v>1</v>
      </c>
      <c r="E4">
        <v>2</v>
      </c>
      <c r="G4">
        <f ca="1"/>
        <v>2</v>
      </c>
      <c r="J4">
        <v>3</v>
      </c>
      <c r="L4">
        <v>3</v>
      </c>
    </row>
    <row r="5" spans="2:12" x14ac:dyDescent="0.25">
      <c r="B5">
        <v>3</v>
      </c>
      <c r="C5" t="s">
        <v>2</v>
      </c>
      <c r="E5">
        <v>3</v>
      </c>
      <c r="G5">
        <f ca="1"/>
        <v>5</v>
      </c>
      <c r="J5">
        <v>4</v>
      </c>
      <c r="L5">
        <v>4</v>
      </c>
    </row>
    <row r="6" spans="2:12" x14ac:dyDescent="0.25">
      <c r="B6">
        <v>4</v>
      </c>
      <c r="C6" t="s">
        <v>3</v>
      </c>
      <c r="E6">
        <v>14</v>
      </c>
      <c r="G6">
        <f ca="1"/>
        <v>-3</v>
      </c>
      <c r="J6">
        <v>5</v>
      </c>
      <c r="L6">
        <v>5</v>
      </c>
    </row>
    <row r="7" spans="2:12" x14ac:dyDescent="0.25">
      <c r="B7">
        <v>5</v>
      </c>
      <c r="C7" t="s">
        <v>4</v>
      </c>
      <c r="E7">
        <v>5</v>
      </c>
      <c r="G7">
        <f ca="1"/>
        <v>5</v>
      </c>
      <c r="J7">
        <v>6</v>
      </c>
      <c r="L7">
        <v>6</v>
      </c>
    </row>
    <row r="8" spans="2:12" x14ac:dyDescent="0.25">
      <c r="B8">
        <v>6</v>
      </c>
      <c r="C8" t="s">
        <v>5</v>
      </c>
      <c r="E8">
        <v>12</v>
      </c>
      <c r="G8">
        <f ca="1"/>
        <v>9</v>
      </c>
      <c r="J8">
        <v>7</v>
      </c>
      <c r="L8">
        <v>7</v>
      </c>
    </row>
    <row r="9" spans="2:12" x14ac:dyDescent="0.25">
      <c r="B9">
        <v>7</v>
      </c>
      <c r="C9" t="s">
        <v>6</v>
      </c>
      <c r="E9">
        <v>7</v>
      </c>
      <c r="G9">
        <f ca="1"/>
        <v>6</v>
      </c>
      <c r="J9">
        <v>8</v>
      </c>
      <c r="L9">
        <v>8</v>
      </c>
    </row>
    <row r="10" spans="2:12" x14ac:dyDescent="0.25">
      <c r="B10">
        <v>2</v>
      </c>
      <c r="C10" t="s">
        <v>7</v>
      </c>
      <c r="E10">
        <v>8</v>
      </c>
      <c r="G10">
        <f ca="1"/>
        <v>6</v>
      </c>
      <c r="J10">
        <v>9</v>
      </c>
      <c r="L10">
        <v>9</v>
      </c>
    </row>
    <row r="11" spans="2:12" x14ac:dyDescent="0.25">
      <c r="B11">
        <v>9</v>
      </c>
      <c r="C11" t="s">
        <v>8</v>
      </c>
      <c r="E11">
        <v>9</v>
      </c>
      <c r="G11">
        <f ca="1"/>
        <v>-5</v>
      </c>
      <c r="J11">
        <v>10</v>
      </c>
      <c r="L11">
        <v>10</v>
      </c>
    </row>
    <row r="12" spans="2:12" x14ac:dyDescent="0.25">
      <c r="B12">
        <v>10</v>
      </c>
      <c r="C12" t="s">
        <v>9</v>
      </c>
      <c r="E12">
        <v>13</v>
      </c>
      <c r="J12">
        <v>11</v>
      </c>
      <c r="L12">
        <v>11</v>
      </c>
    </row>
    <row r="13" spans="2:12" x14ac:dyDescent="0.25">
      <c r="B13">
        <v>11</v>
      </c>
      <c r="C13" t="s">
        <v>10</v>
      </c>
      <c r="E13">
        <v>11</v>
      </c>
      <c r="J13">
        <v>12</v>
      </c>
      <c r="L13">
        <v>12</v>
      </c>
    </row>
    <row r="14" spans="2:12" x14ac:dyDescent="0.25">
      <c r="B14">
        <v>12</v>
      </c>
      <c r="C14" t="s">
        <v>11</v>
      </c>
      <c r="E14">
        <v>12</v>
      </c>
      <c r="J14">
        <v>13</v>
      </c>
      <c r="L14">
        <v>13</v>
      </c>
    </row>
    <row r="15" spans="2:12" x14ac:dyDescent="0.25">
      <c r="C15" t="s">
        <v>0</v>
      </c>
      <c r="E15">
        <v>13</v>
      </c>
      <c r="J15">
        <v>14</v>
      </c>
    </row>
    <row r="16" spans="2:12" x14ac:dyDescent="0.25">
      <c r="C16" t="s">
        <v>1</v>
      </c>
      <c r="E16">
        <v>14</v>
      </c>
    </row>
    <row r="17" spans="3:13" x14ac:dyDescent="0.25">
      <c r="C17" t="s">
        <v>2</v>
      </c>
    </row>
    <row r="22" spans="3:13" x14ac:dyDescent="0.25">
      <c r="C22">
        <v>1</v>
      </c>
      <c r="D22" t="b">
        <f>ISODD(C22)</f>
        <v>1</v>
      </c>
      <c r="G22">
        <v>1</v>
      </c>
      <c r="I22" t="b">
        <f>MOD(G22,3)=0</f>
        <v>0</v>
      </c>
      <c r="L22">
        <v>1</v>
      </c>
      <c r="M22" t="b">
        <f>AND(MOD(L22,3)=0,MOD(L22,7)=0)</f>
        <v>0</v>
      </c>
    </row>
    <row r="23" spans="3:13" x14ac:dyDescent="0.25">
      <c r="C23">
        <v>2</v>
      </c>
      <c r="D23" t="b">
        <f t="shared" ref="D23:D42" si="0">ISODD(C23)</f>
        <v>0</v>
      </c>
      <c r="G23">
        <v>2</v>
      </c>
      <c r="I23" t="b">
        <f t="shared" ref="I23:I41" si="1">MOD(G23,3)=0</f>
        <v>0</v>
      </c>
      <c r="L23">
        <v>2</v>
      </c>
      <c r="M23" t="b">
        <f t="shared" ref="M23:M63" si="2">AND(MOD(L23,3)=0,MOD(L23,7)=0)</f>
        <v>0</v>
      </c>
    </row>
    <row r="24" spans="3:13" x14ac:dyDescent="0.25">
      <c r="C24">
        <v>3</v>
      </c>
      <c r="D24" t="b">
        <f t="shared" si="0"/>
        <v>1</v>
      </c>
      <c r="G24">
        <v>3</v>
      </c>
      <c r="I24" t="b">
        <f t="shared" si="1"/>
        <v>1</v>
      </c>
      <c r="L24">
        <v>3</v>
      </c>
      <c r="M24" t="b">
        <f t="shared" si="2"/>
        <v>0</v>
      </c>
    </row>
    <row r="25" spans="3:13" x14ac:dyDescent="0.25">
      <c r="C25">
        <v>4</v>
      </c>
      <c r="D25" t="b">
        <f t="shared" si="0"/>
        <v>0</v>
      </c>
      <c r="G25">
        <v>4</v>
      </c>
      <c r="I25" t="b">
        <f t="shared" si="1"/>
        <v>0</v>
      </c>
      <c r="L25">
        <v>4</v>
      </c>
      <c r="M25" t="b">
        <f t="shared" si="2"/>
        <v>0</v>
      </c>
    </row>
    <row r="26" spans="3:13" x14ac:dyDescent="0.25">
      <c r="C26">
        <v>5</v>
      </c>
      <c r="D26" t="b">
        <f t="shared" si="0"/>
        <v>1</v>
      </c>
      <c r="G26">
        <v>5</v>
      </c>
      <c r="I26" t="b">
        <f t="shared" si="1"/>
        <v>0</v>
      </c>
      <c r="L26">
        <v>5</v>
      </c>
      <c r="M26" t="b">
        <f t="shared" si="2"/>
        <v>0</v>
      </c>
    </row>
    <row r="27" spans="3:13" x14ac:dyDescent="0.25">
      <c r="C27">
        <v>6</v>
      </c>
      <c r="D27" t="b">
        <f t="shared" si="0"/>
        <v>0</v>
      </c>
      <c r="G27">
        <v>6</v>
      </c>
      <c r="I27" t="b">
        <f t="shared" si="1"/>
        <v>1</v>
      </c>
      <c r="L27">
        <v>6</v>
      </c>
      <c r="M27" t="b">
        <f t="shared" si="2"/>
        <v>0</v>
      </c>
    </row>
    <row r="28" spans="3:13" x14ac:dyDescent="0.25">
      <c r="C28">
        <v>7</v>
      </c>
      <c r="D28" t="b">
        <f t="shared" si="0"/>
        <v>1</v>
      </c>
      <c r="G28">
        <v>7</v>
      </c>
      <c r="I28" t="b">
        <f t="shared" si="1"/>
        <v>0</v>
      </c>
      <c r="L28">
        <v>7</v>
      </c>
      <c r="M28" t="b">
        <f t="shared" si="2"/>
        <v>0</v>
      </c>
    </row>
    <row r="29" spans="3:13" x14ac:dyDescent="0.25">
      <c r="C29">
        <v>8</v>
      </c>
      <c r="D29" t="b">
        <f t="shared" si="0"/>
        <v>0</v>
      </c>
      <c r="G29">
        <v>8</v>
      </c>
      <c r="I29" t="b">
        <f t="shared" si="1"/>
        <v>0</v>
      </c>
      <c r="L29">
        <v>8</v>
      </c>
      <c r="M29" t="b">
        <f t="shared" si="2"/>
        <v>0</v>
      </c>
    </row>
    <row r="30" spans="3:13" x14ac:dyDescent="0.25">
      <c r="C30">
        <v>9</v>
      </c>
      <c r="D30" t="b">
        <f t="shared" si="0"/>
        <v>1</v>
      </c>
      <c r="G30">
        <v>9</v>
      </c>
      <c r="I30" t="b">
        <f t="shared" si="1"/>
        <v>1</v>
      </c>
      <c r="L30">
        <v>9</v>
      </c>
      <c r="M30" t="b">
        <f t="shared" si="2"/>
        <v>0</v>
      </c>
    </row>
    <row r="31" spans="3:13" x14ac:dyDescent="0.25">
      <c r="C31">
        <v>10</v>
      </c>
      <c r="D31" t="b">
        <f t="shared" si="0"/>
        <v>0</v>
      </c>
      <c r="G31">
        <v>10</v>
      </c>
      <c r="I31" t="b">
        <f t="shared" si="1"/>
        <v>0</v>
      </c>
      <c r="L31">
        <v>10</v>
      </c>
      <c r="M31" t="b">
        <f t="shared" si="2"/>
        <v>0</v>
      </c>
    </row>
    <row r="32" spans="3:13" x14ac:dyDescent="0.25">
      <c r="C32">
        <v>11</v>
      </c>
      <c r="D32" t="b">
        <f t="shared" si="0"/>
        <v>1</v>
      </c>
      <c r="G32">
        <v>11</v>
      </c>
      <c r="I32" t="b">
        <f t="shared" si="1"/>
        <v>0</v>
      </c>
      <c r="L32">
        <v>11</v>
      </c>
      <c r="M32" t="b">
        <f t="shared" si="2"/>
        <v>0</v>
      </c>
    </row>
    <row r="33" spans="3:13" x14ac:dyDescent="0.25">
      <c r="C33">
        <v>12</v>
      </c>
      <c r="D33" t="b">
        <f t="shared" si="0"/>
        <v>0</v>
      </c>
      <c r="G33">
        <v>12</v>
      </c>
      <c r="I33" t="b">
        <f t="shared" si="1"/>
        <v>1</v>
      </c>
      <c r="L33">
        <v>12</v>
      </c>
      <c r="M33" t="b">
        <f t="shared" si="2"/>
        <v>0</v>
      </c>
    </row>
    <row r="34" spans="3:13" x14ac:dyDescent="0.25">
      <c r="C34">
        <v>13</v>
      </c>
      <c r="D34" t="b">
        <f t="shared" si="0"/>
        <v>1</v>
      </c>
      <c r="G34">
        <v>13</v>
      </c>
      <c r="I34" t="b">
        <f t="shared" si="1"/>
        <v>0</v>
      </c>
      <c r="L34">
        <v>13</v>
      </c>
      <c r="M34" t="b">
        <f t="shared" si="2"/>
        <v>0</v>
      </c>
    </row>
    <row r="35" spans="3:13" x14ac:dyDescent="0.25">
      <c r="C35">
        <v>14</v>
      </c>
      <c r="D35" t="b">
        <f t="shared" si="0"/>
        <v>0</v>
      </c>
      <c r="G35">
        <v>14</v>
      </c>
      <c r="I35" t="b">
        <f t="shared" si="1"/>
        <v>0</v>
      </c>
      <c r="L35">
        <v>14</v>
      </c>
      <c r="M35" t="b">
        <f t="shared" si="2"/>
        <v>0</v>
      </c>
    </row>
    <row r="36" spans="3:13" x14ac:dyDescent="0.25">
      <c r="C36">
        <v>15</v>
      </c>
      <c r="D36" t="b">
        <f t="shared" si="0"/>
        <v>1</v>
      </c>
      <c r="G36">
        <v>15</v>
      </c>
      <c r="I36" t="b">
        <f t="shared" si="1"/>
        <v>1</v>
      </c>
      <c r="L36">
        <v>15</v>
      </c>
      <c r="M36" t="b">
        <f t="shared" si="2"/>
        <v>0</v>
      </c>
    </row>
    <row r="37" spans="3:13" x14ac:dyDescent="0.25">
      <c r="C37">
        <v>16</v>
      </c>
      <c r="D37" t="b">
        <f t="shared" si="0"/>
        <v>0</v>
      </c>
      <c r="G37">
        <v>16</v>
      </c>
      <c r="I37" t="b">
        <f t="shared" si="1"/>
        <v>0</v>
      </c>
      <c r="L37">
        <v>16</v>
      </c>
      <c r="M37" t="b">
        <f t="shared" si="2"/>
        <v>0</v>
      </c>
    </row>
    <row r="38" spans="3:13" x14ac:dyDescent="0.25">
      <c r="C38">
        <v>17</v>
      </c>
      <c r="D38" t="b">
        <f t="shared" si="0"/>
        <v>1</v>
      </c>
      <c r="G38">
        <v>17</v>
      </c>
      <c r="I38" t="b">
        <f t="shared" si="1"/>
        <v>0</v>
      </c>
      <c r="L38">
        <v>17</v>
      </c>
      <c r="M38" t="b">
        <f t="shared" si="2"/>
        <v>0</v>
      </c>
    </row>
    <row r="39" spans="3:13" x14ac:dyDescent="0.25">
      <c r="C39">
        <v>18</v>
      </c>
      <c r="D39" t="b">
        <f t="shared" si="0"/>
        <v>0</v>
      </c>
      <c r="G39">
        <v>18</v>
      </c>
      <c r="I39" t="b">
        <f t="shared" si="1"/>
        <v>1</v>
      </c>
      <c r="L39">
        <v>18</v>
      </c>
      <c r="M39" t="b">
        <f t="shared" si="2"/>
        <v>0</v>
      </c>
    </row>
    <row r="40" spans="3:13" x14ac:dyDescent="0.25">
      <c r="C40">
        <v>19</v>
      </c>
      <c r="D40" t="b">
        <f t="shared" si="0"/>
        <v>1</v>
      </c>
      <c r="G40">
        <v>19</v>
      </c>
      <c r="I40" t="b">
        <f t="shared" si="1"/>
        <v>0</v>
      </c>
      <c r="L40">
        <v>19</v>
      </c>
      <c r="M40" t="b">
        <f t="shared" si="2"/>
        <v>0</v>
      </c>
    </row>
    <row r="41" spans="3:13" x14ac:dyDescent="0.25">
      <c r="C41">
        <v>20</v>
      </c>
      <c r="D41" t="b">
        <f t="shared" si="0"/>
        <v>0</v>
      </c>
      <c r="G41">
        <v>20</v>
      </c>
      <c r="I41" t="b">
        <f t="shared" si="1"/>
        <v>0</v>
      </c>
      <c r="L41">
        <v>20</v>
      </c>
      <c r="M41" t="b">
        <f t="shared" si="2"/>
        <v>0</v>
      </c>
    </row>
    <row r="42" spans="3:13" x14ac:dyDescent="0.25">
      <c r="C42">
        <v>21</v>
      </c>
      <c r="D42" t="b">
        <f t="shared" si="0"/>
        <v>1</v>
      </c>
      <c r="L42">
        <v>21</v>
      </c>
      <c r="M42" t="b">
        <f t="shared" si="2"/>
        <v>1</v>
      </c>
    </row>
    <row r="43" spans="3:13" x14ac:dyDescent="0.25">
      <c r="L43">
        <v>22</v>
      </c>
      <c r="M43" t="b">
        <f t="shared" si="2"/>
        <v>0</v>
      </c>
    </row>
    <row r="44" spans="3:13" x14ac:dyDescent="0.25">
      <c r="L44">
        <v>23</v>
      </c>
      <c r="M44" t="b">
        <f t="shared" si="2"/>
        <v>0</v>
      </c>
    </row>
    <row r="45" spans="3:13" x14ac:dyDescent="0.25">
      <c r="L45">
        <v>24</v>
      </c>
      <c r="M45" t="b">
        <f t="shared" si="2"/>
        <v>0</v>
      </c>
    </row>
    <row r="46" spans="3:13" x14ac:dyDescent="0.25">
      <c r="L46">
        <v>25</v>
      </c>
      <c r="M46" t="b">
        <f t="shared" si="2"/>
        <v>0</v>
      </c>
    </row>
    <row r="47" spans="3:13" x14ac:dyDescent="0.25">
      <c r="L47">
        <v>26</v>
      </c>
      <c r="M47" t="b">
        <f t="shared" si="2"/>
        <v>0</v>
      </c>
    </row>
    <row r="48" spans="3:13" x14ac:dyDescent="0.25">
      <c r="L48">
        <v>27</v>
      </c>
      <c r="M48" t="b">
        <f t="shared" si="2"/>
        <v>0</v>
      </c>
    </row>
    <row r="49" spans="12:13" x14ac:dyDescent="0.25">
      <c r="L49">
        <v>28</v>
      </c>
      <c r="M49" t="b">
        <f t="shared" si="2"/>
        <v>0</v>
      </c>
    </row>
    <row r="50" spans="12:13" x14ac:dyDescent="0.25">
      <c r="L50">
        <v>29</v>
      </c>
      <c r="M50" t="b">
        <f t="shared" si="2"/>
        <v>0</v>
      </c>
    </row>
    <row r="51" spans="12:13" x14ac:dyDescent="0.25">
      <c r="L51">
        <v>30</v>
      </c>
      <c r="M51" t="b">
        <f t="shared" si="2"/>
        <v>0</v>
      </c>
    </row>
    <row r="52" spans="12:13" x14ac:dyDescent="0.25">
      <c r="L52">
        <v>31</v>
      </c>
      <c r="M52" t="b">
        <f t="shared" si="2"/>
        <v>0</v>
      </c>
    </row>
    <row r="53" spans="12:13" x14ac:dyDescent="0.25">
      <c r="L53">
        <v>32</v>
      </c>
      <c r="M53" t="b">
        <f t="shared" si="2"/>
        <v>0</v>
      </c>
    </row>
    <row r="54" spans="12:13" x14ac:dyDescent="0.25">
      <c r="L54">
        <v>33</v>
      </c>
      <c r="M54" t="b">
        <f t="shared" si="2"/>
        <v>0</v>
      </c>
    </row>
    <row r="55" spans="12:13" x14ac:dyDescent="0.25">
      <c r="L55">
        <v>34</v>
      </c>
      <c r="M55" t="b">
        <f t="shared" si="2"/>
        <v>0</v>
      </c>
    </row>
    <row r="56" spans="12:13" x14ac:dyDescent="0.25">
      <c r="L56">
        <v>35</v>
      </c>
      <c r="M56" t="b">
        <f t="shared" si="2"/>
        <v>0</v>
      </c>
    </row>
    <row r="57" spans="12:13" x14ac:dyDescent="0.25">
      <c r="L57">
        <v>36</v>
      </c>
      <c r="M57" t="b">
        <f t="shared" si="2"/>
        <v>0</v>
      </c>
    </row>
    <row r="58" spans="12:13" x14ac:dyDescent="0.25">
      <c r="L58">
        <v>37</v>
      </c>
      <c r="M58" t="b">
        <f t="shared" si="2"/>
        <v>0</v>
      </c>
    </row>
    <row r="59" spans="12:13" x14ac:dyDescent="0.25">
      <c r="L59">
        <v>38</v>
      </c>
      <c r="M59" t="b">
        <f t="shared" si="2"/>
        <v>0</v>
      </c>
    </row>
    <row r="60" spans="12:13" x14ac:dyDescent="0.25">
      <c r="L60">
        <v>39</v>
      </c>
      <c r="M60" t="b">
        <f t="shared" si="2"/>
        <v>0</v>
      </c>
    </row>
    <row r="61" spans="12:13" x14ac:dyDescent="0.25">
      <c r="L61">
        <v>40</v>
      </c>
      <c r="M61" t="b">
        <f t="shared" si="2"/>
        <v>0</v>
      </c>
    </row>
    <row r="62" spans="12:13" x14ac:dyDescent="0.25">
      <c r="L62">
        <v>41</v>
      </c>
      <c r="M62" t="b">
        <f t="shared" si="2"/>
        <v>0</v>
      </c>
    </row>
    <row r="63" spans="12:13" x14ac:dyDescent="0.25">
      <c r="L63">
        <v>42</v>
      </c>
      <c r="M63" t="b">
        <f t="shared" si="2"/>
        <v>1</v>
      </c>
    </row>
  </sheetData>
  <phoneticPr fontId="1" type="noConversion"/>
  <conditionalFormatting sqref="B3:B14">
    <cfRule type="cellIs" dxfId="28" priority="12" operator="greaterThan">
      <formula>5</formula>
    </cfRule>
    <cfRule type="cellIs" dxfId="27" priority="13" operator="lessThan">
      <formula>3</formula>
    </cfRule>
  </conditionalFormatting>
  <conditionalFormatting sqref="C3:C17">
    <cfRule type="duplicateValues" dxfId="26" priority="11"/>
  </conditionalFormatting>
  <conditionalFormatting sqref="C22:C42">
    <cfRule type="expression" dxfId="25" priority="4">
      <formula>ISODD(C22)</formula>
    </cfRule>
  </conditionalFormatting>
  <conditionalFormatting sqref="E3:E16">
    <cfRule type="top10" dxfId="24" priority="10" rank="4"/>
  </conditionalFormatting>
  <conditionalFormatting sqref="G2:G1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{F463E9ED-9E50-4FB3-A6E3-567E7A1F7437}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{38A204F3-F8AC-4946-B181-36BB44E1418B}</x14:id>
        </ext>
      </extLst>
    </cfRule>
  </conditionalFormatting>
  <conditionalFormatting sqref="G22:G41">
    <cfRule type="expression" dxfId="23" priority="3">
      <formula>AND(ISEVEN(G22),G22&gt;12)</formula>
    </cfRule>
  </conditionalFormatting>
  <conditionalFormatting sqref="J2:J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:L63">
    <cfRule type="expression" dxfId="22" priority="1">
      <formula>AND(MOD(L22,3)=0,MOD(L22,7)=0)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63E9ED-9E50-4FB3-A6E3-567E7A1F743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A204F3-F8AC-4946-B181-36BB44E141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G2:G11</xm:sqref>
        </x14:conditionalFormatting>
        <x14:conditionalFormatting xmlns:xm="http://schemas.microsoft.com/office/excel/2006/main">
          <x14:cfRule type="iconSet" priority="5" id="{613C190B-4242-4916-8F4D-F69DF6C00B7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DE39-4147-4414-BB98-9217DEF56CAA}">
  <sheetPr codeName="Hoja2"/>
  <dimension ref="A1:F13"/>
  <sheetViews>
    <sheetView workbookViewId="0">
      <selection activeCell="K28" sqref="K28"/>
    </sheetView>
  </sheetViews>
  <sheetFormatPr baseColWidth="10" defaultRowHeight="15" x14ac:dyDescent="0.2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F1" s="2" t="b">
        <v>1</v>
      </c>
    </row>
    <row r="2" spans="1:6" x14ac:dyDescent="0.25">
      <c r="A2" t="s">
        <v>0</v>
      </c>
      <c r="B2">
        <v>1</v>
      </c>
      <c r="C2">
        <v>1</v>
      </c>
      <c r="D2">
        <v>1</v>
      </c>
    </row>
    <row r="3" spans="1:6" x14ac:dyDescent="0.25">
      <c r="A3" t="s">
        <v>1</v>
      </c>
      <c r="B3">
        <v>2</v>
      </c>
      <c r="C3">
        <v>2</v>
      </c>
      <c r="D3">
        <v>2</v>
      </c>
    </row>
    <row r="4" spans="1:6" x14ac:dyDescent="0.25">
      <c r="A4" t="s">
        <v>2</v>
      </c>
      <c r="B4">
        <v>3</v>
      </c>
      <c r="C4">
        <v>3</v>
      </c>
      <c r="D4">
        <v>3</v>
      </c>
    </row>
    <row r="5" spans="1:6" x14ac:dyDescent="0.25">
      <c r="A5" t="s">
        <v>3</v>
      </c>
      <c r="B5">
        <v>4</v>
      </c>
      <c r="C5">
        <v>4</v>
      </c>
      <c r="D5">
        <v>4</v>
      </c>
    </row>
    <row r="6" spans="1:6" x14ac:dyDescent="0.25">
      <c r="A6" t="s">
        <v>4</v>
      </c>
      <c r="B6">
        <v>5</v>
      </c>
      <c r="C6">
        <v>5</v>
      </c>
      <c r="D6">
        <v>5</v>
      </c>
    </row>
    <row r="7" spans="1:6" x14ac:dyDescent="0.25">
      <c r="A7" t="s">
        <v>5</v>
      </c>
      <c r="B7">
        <v>6</v>
      </c>
      <c r="C7">
        <v>6</v>
      </c>
      <c r="D7">
        <v>6</v>
      </c>
    </row>
    <row r="8" spans="1:6" x14ac:dyDescent="0.25">
      <c r="A8" t="s">
        <v>6</v>
      </c>
      <c r="B8">
        <v>7</v>
      </c>
      <c r="C8">
        <v>7</v>
      </c>
      <c r="D8">
        <v>7</v>
      </c>
    </row>
    <row r="9" spans="1:6" x14ac:dyDescent="0.25">
      <c r="A9" t="s">
        <v>7</v>
      </c>
      <c r="B9">
        <v>8</v>
      </c>
      <c r="C9">
        <v>8</v>
      </c>
      <c r="D9">
        <v>8</v>
      </c>
    </row>
    <row r="10" spans="1:6" x14ac:dyDescent="0.25">
      <c r="A10" t="s">
        <v>8</v>
      </c>
      <c r="B10">
        <v>9</v>
      </c>
      <c r="C10">
        <v>9</v>
      </c>
      <c r="D10">
        <v>9</v>
      </c>
    </row>
    <row r="11" spans="1:6" x14ac:dyDescent="0.25">
      <c r="A11" t="s">
        <v>9</v>
      </c>
      <c r="B11">
        <v>10</v>
      </c>
      <c r="C11">
        <v>10</v>
      </c>
      <c r="D11">
        <v>10</v>
      </c>
    </row>
    <row r="12" spans="1:6" x14ac:dyDescent="0.25">
      <c r="A12" t="s">
        <v>10</v>
      </c>
      <c r="B12">
        <v>11</v>
      </c>
      <c r="C12">
        <v>11</v>
      </c>
      <c r="D12">
        <v>11</v>
      </c>
    </row>
    <row r="13" spans="1:6" x14ac:dyDescent="0.25">
      <c r="A13" t="s">
        <v>11</v>
      </c>
      <c r="B13">
        <v>12</v>
      </c>
      <c r="C13">
        <v>12</v>
      </c>
      <c r="D13">
        <v>12</v>
      </c>
    </row>
  </sheetData>
  <conditionalFormatting sqref="A1:D13">
    <cfRule type="expression" dxfId="21" priority="1">
      <formula>AND($A1="Julio",$F$1)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CBF9-40E9-4006-B594-945E640C508D}">
  <sheetPr codeName="Hoja3"/>
  <dimension ref="A1:C14"/>
  <sheetViews>
    <sheetView workbookViewId="0"/>
  </sheetViews>
  <sheetFormatPr baseColWidth="10" defaultRowHeight="15" x14ac:dyDescent="0.25"/>
  <sheetData>
    <row r="1" spans="1:3" x14ac:dyDescent="0.25">
      <c r="A1" t="s">
        <v>16</v>
      </c>
    </row>
    <row r="2" spans="1:3" x14ac:dyDescent="0.25">
      <c r="A2" t="s">
        <v>17</v>
      </c>
      <c r="B2" t="s">
        <v>18</v>
      </c>
    </row>
    <row r="3" spans="1:3" x14ac:dyDescent="0.25">
      <c r="A3" t="b">
        <v>1</v>
      </c>
      <c r="B3" t="b">
        <v>1</v>
      </c>
      <c r="C3" t="b">
        <v>1</v>
      </c>
    </row>
    <row r="4" spans="1:3" x14ac:dyDescent="0.25">
      <c r="A4" t="b">
        <v>1</v>
      </c>
      <c r="B4" t="b">
        <v>0</v>
      </c>
      <c r="C4" t="b">
        <v>0</v>
      </c>
    </row>
    <row r="5" spans="1:3" x14ac:dyDescent="0.25">
      <c r="A5" t="b">
        <v>0</v>
      </c>
      <c r="B5" t="b">
        <v>1</v>
      </c>
      <c r="C5" t="b">
        <v>0</v>
      </c>
    </row>
    <row r="6" spans="1:3" x14ac:dyDescent="0.25">
      <c r="A6" t="b">
        <v>0</v>
      </c>
      <c r="B6" t="b">
        <v>0</v>
      </c>
      <c r="C6" t="b">
        <v>0</v>
      </c>
    </row>
    <row r="9" spans="1:3" x14ac:dyDescent="0.25">
      <c r="A9" t="s">
        <v>19</v>
      </c>
    </row>
    <row r="10" spans="1:3" x14ac:dyDescent="0.25">
      <c r="A10" t="s">
        <v>20</v>
      </c>
      <c r="B10" t="s">
        <v>21</v>
      </c>
    </row>
    <row r="11" spans="1:3" x14ac:dyDescent="0.25">
      <c r="A11" t="b">
        <v>1</v>
      </c>
      <c r="B11" t="b">
        <v>1</v>
      </c>
      <c r="C11" t="b">
        <v>1</v>
      </c>
    </row>
    <row r="12" spans="1:3" x14ac:dyDescent="0.25">
      <c r="A12" t="b">
        <v>1</v>
      </c>
      <c r="B12" t="b">
        <v>0</v>
      </c>
      <c r="C12" t="b">
        <v>1</v>
      </c>
    </row>
    <row r="13" spans="1:3" x14ac:dyDescent="0.25">
      <c r="A13" t="b">
        <v>0</v>
      </c>
      <c r="B13" t="b">
        <v>1</v>
      </c>
      <c r="C13" t="b">
        <v>1</v>
      </c>
    </row>
    <row r="14" spans="1:3" x14ac:dyDescent="0.25">
      <c r="A14" t="b">
        <v>0</v>
      </c>
      <c r="B14" t="b">
        <v>0</v>
      </c>
      <c r="C1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6E7C-EAA2-4EE1-8504-0DCDF9FEFF86}">
  <sheetPr codeName="Hoja4"/>
  <dimension ref="A1:G15"/>
  <sheetViews>
    <sheetView workbookViewId="0">
      <selection activeCell="A15" sqref="A15"/>
    </sheetView>
  </sheetViews>
  <sheetFormatPr baseColWidth="10" defaultRowHeight="15" x14ac:dyDescent="0.25"/>
  <cols>
    <col min="5" max="5" width="14.4257812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29</v>
      </c>
      <c r="G1" s="3">
        <v>0.21</v>
      </c>
    </row>
    <row r="2" spans="1:7" x14ac:dyDescent="0.25">
      <c r="A2" t="s">
        <v>26</v>
      </c>
      <c r="B2">
        <v>1</v>
      </c>
      <c r="C2">
        <v>7</v>
      </c>
      <c r="D2">
        <f>B2*C2</f>
        <v>7</v>
      </c>
      <c r="E2">
        <f>D2*_IVA+D2</f>
        <v>8.4700000000000006</v>
      </c>
      <c r="G2">
        <v>0.14000000000000001</v>
      </c>
    </row>
    <row r="3" spans="1:7" x14ac:dyDescent="0.25">
      <c r="A3" t="s">
        <v>27</v>
      </c>
      <c r="B3">
        <v>2</v>
      </c>
      <c r="C3">
        <v>8</v>
      </c>
      <c r="D3">
        <f>B3*C3</f>
        <v>16</v>
      </c>
      <c r="E3">
        <f>D3*_IVA+D3</f>
        <v>19.36</v>
      </c>
    </row>
    <row r="4" spans="1:7" x14ac:dyDescent="0.25">
      <c r="A4" t="s">
        <v>28</v>
      </c>
      <c r="B4">
        <v>3</v>
      </c>
      <c r="C4">
        <v>9</v>
      </c>
      <c r="D4">
        <f>B4*C4</f>
        <v>27</v>
      </c>
      <c r="E4">
        <f>D4*_IVA+D4</f>
        <v>32.67</v>
      </c>
    </row>
    <row r="8" spans="1:7" x14ac:dyDescent="0.25">
      <c r="C8">
        <f>IVA</f>
        <v>0.21</v>
      </c>
    </row>
    <row r="10" spans="1:7" x14ac:dyDescent="0.25">
      <c r="D10">
        <f>SUM(_datos)</f>
        <v>24</v>
      </c>
    </row>
    <row r="13" spans="1:7" x14ac:dyDescent="0.25">
      <c r="A13" t="s">
        <v>30</v>
      </c>
    </row>
    <row r="14" spans="1:7" x14ac:dyDescent="0.25">
      <c r="A14" t="s">
        <v>31</v>
      </c>
    </row>
    <row r="15" spans="1:7" x14ac:dyDescent="0.25">
      <c r="A15" t="s">
        <v>32</v>
      </c>
    </row>
  </sheetData>
  <dataValidations count="2">
    <dataValidation type="list" allowBlank="1" showInputMessage="1" showErrorMessage="1" sqref="A13:A15" xr:uid="{A1568756-7708-42DF-997C-50326253BDF7}">
      <formula1>"_PROVINCIAS"</formula1>
    </dataValidation>
    <dataValidation type="whole" allowBlank="1" showInputMessage="1" showErrorMessage="1" errorTitle="ERROR" error="LEER LAS INSTRUCCIONES" promptTitle="INFO" prompt="Valores enteros entre 5 y 10" sqref="G11" xr:uid="{92192111-485E-4DCD-996A-3A7AA4207E8F}">
      <formula1>5</formula1>
      <formula2>10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AF1E-6793-469D-8A47-44289578E7BB}">
  <sheetPr codeName="Hoja5"/>
  <dimension ref="C1:D5"/>
  <sheetViews>
    <sheetView workbookViewId="0">
      <selection activeCell="G8" sqref="G8"/>
    </sheetView>
  </sheetViews>
  <sheetFormatPr baseColWidth="10" defaultRowHeight="15" x14ac:dyDescent="0.25"/>
  <sheetData>
    <row r="1" spans="3:4" x14ac:dyDescent="0.25">
      <c r="C1" t="s">
        <v>33</v>
      </c>
    </row>
    <row r="4" spans="3:4" x14ac:dyDescent="0.25">
      <c r="C4" t="str">
        <f>C1</f>
        <v>PATATA</v>
      </c>
      <c r="D4" t="s">
        <v>34</v>
      </c>
    </row>
    <row r="5" spans="3:4" x14ac:dyDescent="0.25">
      <c r="D5" t="str" cm="1">
        <f t="array" aca="1" ref="D5" ca="1">INDIRECT(D4)</f>
        <v>PATATA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9872-C038-4582-A103-1B7ADC8CF9D6}">
  <sheetPr codeName="Hoja6"/>
  <dimension ref="A1:C13"/>
  <sheetViews>
    <sheetView workbookViewId="0"/>
  </sheetViews>
  <sheetFormatPr baseColWidth="10" defaultRowHeight="15" x14ac:dyDescent="0.25"/>
  <sheetData>
    <row r="1" spans="1:3" x14ac:dyDescent="0.25">
      <c r="A1" t="s">
        <v>35</v>
      </c>
      <c r="B1" t="s">
        <v>14</v>
      </c>
      <c r="C1" t="s">
        <v>13</v>
      </c>
    </row>
    <row r="2" spans="1:3" x14ac:dyDescent="0.25">
      <c r="A2" t="s">
        <v>0</v>
      </c>
      <c r="B2" cm="1">
        <f t="array" aca="1" ref="B2:C13" ca="1">_xlfn.RANDARRAY(12,2,25,75,TRUE)</f>
        <v>35</v>
      </c>
      <c r="C2">
        <f ca="1"/>
        <v>51</v>
      </c>
    </row>
    <row r="3" spans="1:3" x14ac:dyDescent="0.25">
      <c r="A3" t="s">
        <v>1</v>
      </c>
      <c r="B3">
        <f ca="1"/>
        <v>68</v>
      </c>
      <c r="C3">
        <f ca="1"/>
        <v>41</v>
      </c>
    </row>
    <row r="4" spans="1:3" x14ac:dyDescent="0.25">
      <c r="A4" t="s">
        <v>2</v>
      </c>
      <c r="B4">
        <f ca="1"/>
        <v>72</v>
      </c>
      <c r="C4">
        <f ca="1"/>
        <v>43</v>
      </c>
    </row>
    <row r="5" spans="1:3" x14ac:dyDescent="0.25">
      <c r="A5" t="s">
        <v>3</v>
      </c>
      <c r="B5">
        <f ca="1"/>
        <v>39</v>
      </c>
      <c r="C5">
        <f ca="1"/>
        <v>73</v>
      </c>
    </row>
    <row r="6" spans="1:3" x14ac:dyDescent="0.25">
      <c r="A6" t="s">
        <v>4</v>
      </c>
      <c r="B6">
        <f ca="1"/>
        <v>65</v>
      </c>
      <c r="C6">
        <f ca="1"/>
        <v>58</v>
      </c>
    </row>
    <row r="7" spans="1:3" x14ac:dyDescent="0.25">
      <c r="A7" t="s">
        <v>5</v>
      </c>
      <c r="B7">
        <f ca="1"/>
        <v>45</v>
      </c>
      <c r="C7">
        <f ca="1"/>
        <v>67</v>
      </c>
    </row>
    <row r="8" spans="1:3" x14ac:dyDescent="0.25">
      <c r="A8" t="s">
        <v>6</v>
      </c>
      <c r="B8">
        <f ca="1"/>
        <v>75</v>
      </c>
      <c r="C8">
        <f ca="1"/>
        <v>59</v>
      </c>
    </row>
    <row r="9" spans="1:3" x14ac:dyDescent="0.25">
      <c r="A9" t="s">
        <v>7</v>
      </c>
      <c r="B9">
        <f ca="1"/>
        <v>69</v>
      </c>
      <c r="C9">
        <f ca="1"/>
        <v>26</v>
      </c>
    </row>
    <row r="10" spans="1:3" x14ac:dyDescent="0.25">
      <c r="A10" t="s">
        <v>8</v>
      </c>
      <c r="B10">
        <f ca="1"/>
        <v>64</v>
      </c>
      <c r="C10">
        <f ca="1"/>
        <v>28</v>
      </c>
    </row>
    <row r="11" spans="1:3" x14ac:dyDescent="0.25">
      <c r="A11" t="s">
        <v>9</v>
      </c>
      <c r="B11">
        <f ca="1"/>
        <v>42</v>
      </c>
      <c r="C11">
        <f ca="1"/>
        <v>57</v>
      </c>
    </row>
    <row r="12" spans="1:3" x14ac:dyDescent="0.25">
      <c r="A12" t="s">
        <v>10</v>
      </c>
      <c r="B12">
        <f ca="1"/>
        <v>61</v>
      </c>
      <c r="C12">
        <f ca="1"/>
        <v>46</v>
      </c>
    </row>
    <row r="13" spans="1:3" x14ac:dyDescent="0.25">
      <c r="A13" t="s">
        <v>11</v>
      </c>
      <c r="B13">
        <f ca="1"/>
        <v>69</v>
      </c>
      <c r="C13">
        <f ca="1"/>
        <v>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E1BB-3F96-452B-981F-ADE3F669B519}">
  <sheetPr codeName="Hoja7"/>
  <dimension ref="A1:O32"/>
  <sheetViews>
    <sheetView workbookViewId="0">
      <selection activeCell="E13" sqref="E13"/>
    </sheetView>
  </sheetViews>
  <sheetFormatPr baseColWidth="10" defaultRowHeight="15" x14ac:dyDescent="0.25"/>
  <cols>
    <col min="4" max="4" width="18.85546875" customWidth="1"/>
    <col min="6" max="6" width="20.85546875" customWidth="1"/>
    <col min="18" max="18" width="13.42578125" customWidth="1"/>
  </cols>
  <sheetData>
    <row r="1" spans="1:15" x14ac:dyDescent="0.25">
      <c r="A1" t="s">
        <v>35</v>
      </c>
      <c r="B1" t="s">
        <v>14</v>
      </c>
      <c r="C1" t="s">
        <v>13</v>
      </c>
    </row>
    <row r="2" spans="1:15" x14ac:dyDescent="0.25">
      <c r="A2" t="s">
        <v>0</v>
      </c>
      <c r="B2">
        <v>52</v>
      </c>
      <c r="C2">
        <v>49</v>
      </c>
      <c r="E2" t="s">
        <v>12</v>
      </c>
      <c r="F2" t="s">
        <v>14</v>
      </c>
      <c r="G2" t="s">
        <v>13</v>
      </c>
      <c r="H2" t="s">
        <v>14</v>
      </c>
      <c r="I2" t="s">
        <v>13</v>
      </c>
      <c r="J2" t="s">
        <v>13</v>
      </c>
    </row>
    <row r="3" spans="1:15" x14ac:dyDescent="0.25">
      <c r="A3" t="s">
        <v>1</v>
      </c>
      <c r="B3">
        <v>37</v>
      </c>
      <c r="C3">
        <v>49</v>
      </c>
      <c r="D3" s="19" t="s">
        <v>479</v>
      </c>
      <c r="E3" t="s">
        <v>2</v>
      </c>
      <c r="F3">
        <f>VLOOKUP($E3,$A1:$C13,MATCH(F2,$A1:$C1,0),FALSE)</f>
        <v>34</v>
      </c>
      <c r="G3">
        <f>VLOOKUP($E3,$A1:$C13,MATCH(G2,$A1:$C1,0),FALSE)</f>
        <v>32</v>
      </c>
    </row>
    <row r="4" spans="1:15" x14ac:dyDescent="0.25">
      <c r="A4" t="s">
        <v>2</v>
      </c>
      <c r="B4">
        <v>34</v>
      </c>
      <c r="C4">
        <v>32</v>
      </c>
      <c r="E4" s="19" t="s">
        <v>480</v>
      </c>
      <c r="F4" cm="1">
        <f t="array" ref="F4">_xlfn.XLOOKUP(E3,$A1:A13,B1:B13,"---",0,1)</f>
        <v>34</v>
      </c>
      <c r="G4" cm="1">
        <f t="array" ref="G4">_xlfn.XLOOKUP(E3,$A1:A13,C1:C13,"---",0,1)</f>
        <v>32</v>
      </c>
    </row>
    <row r="5" spans="1:15" x14ac:dyDescent="0.25">
      <c r="A5" t="s">
        <v>3</v>
      </c>
      <c r="B5">
        <v>29</v>
      </c>
      <c r="C5">
        <v>74</v>
      </c>
      <c r="E5" s="4" t="s">
        <v>14</v>
      </c>
      <c r="L5" s="4" t="s">
        <v>14</v>
      </c>
    </row>
    <row r="6" spans="1:15" x14ac:dyDescent="0.25">
      <c r="A6" t="s">
        <v>4</v>
      </c>
      <c r="B6">
        <v>35</v>
      </c>
      <c r="C6">
        <v>71</v>
      </c>
      <c r="E6" s="1" t="s">
        <v>3</v>
      </c>
      <c r="L6" s="1" t="s">
        <v>4</v>
      </c>
    </row>
    <row r="7" spans="1:15" x14ac:dyDescent="0.25">
      <c r="A7" t="s">
        <v>5</v>
      </c>
      <c r="B7">
        <v>44</v>
      </c>
      <c r="C7">
        <v>72</v>
      </c>
      <c r="E7" t="s">
        <v>39</v>
      </c>
      <c r="F7">
        <f>INDEX($A$1:$C$13,MATCH($E3,$A$1:$A$13,0),MATCH(F2,$A$1:$C$1,0))</f>
        <v>34</v>
      </c>
      <c r="G7">
        <f>INDEX($A$1:$C$13,MATCH($E3,$A$1:$A$13,0),MATCH(G2,$A$1:$C$1,0))</f>
        <v>32</v>
      </c>
      <c r="H7">
        <f>INDEX($A$1:$C$13,MATCH($E3,$A$1:$A$13,0),MATCH(H2,$A$1:$C$1,0))</f>
        <v>34</v>
      </c>
      <c r="I7">
        <f>INDEX($A$1:$C$13,MATCH($E3,$A$1:$A$13,0),MATCH(I2,$A$1:$C$1,0))</f>
        <v>32</v>
      </c>
      <c r="J7">
        <f>INDEX($A$1:$C$13,MATCH($E3,$A$1:$A$13,0),MATCH(J2,$A$1:$C$1,0))</f>
        <v>32</v>
      </c>
    </row>
    <row r="8" spans="1:15" x14ac:dyDescent="0.25">
      <c r="A8" t="s">
        <v>6</v>
      </c>
      <c r="B8">
        <v>68</v>
      </c>
      <c r="C8">
        <v>48</v>
      </c>
    </row>
    <row r="9" spans="1:15" x14ac:dyDescent="0.25">
      <c r="A9" t="s">
        <v>7</v>
      </c>
      <c r="B9">
        <v>29</v>
      </c>
      <c r="C9">
        <v>33</v>
      </c>
      <c r="E9" cm="1">
        <f t="array" aca="1" ref="E9" ca="1">INDIRECT(E5) INDIRECT(E6)</f>
        <v>29</v>
      </c>
      <c r="L9" cm="1">
        <f t="array" aca="1" ref="L9" ca="1">INDIRECT(L5) INDIRECT(L6)</f>
        <v>35</v>
      </c>
      <c r="O9" t="s">
        <v>36</v>
      </c>
    </row>
    <row r="10" spans="1:15" x14ac:dyDescent="0.25">
      <c r="A10" t="s">
        <v>8</v>
      </c>
      <c r="B10">
        <v>50</v>
      </c>
      <c r="C10">
        <v>48</v>
      </c>
      <c r="G10" t="s">
        <v>40</v>
      </c>
      <c r="H10" t="s">
        <v>13</v>
      </c>
    </row>
    <row r="11" spans="1:15" x14ac:dyDescent="0.25">
      <c r="A11" t="s">
        <v>9</v>
      </c>
      <c r="B11">
        <v>65</v>
      </c>
      <c r="C11">
        <v>25</v>
      </c>
      <c r="G11" cm="1">
        <f t="array" aca="1" ref="G11:H11" ca="1">OFFSET(A1:B1,MATCH(E3,A2:A13,0),1)</f>
        <v>34</v>
      </c>
      <c r="H11">
        <f ca="1"/>
        <v>32</v>
      </c>
    </row>
    <row r="12" spans="1:15" x14ac:dyDescent="0.25">
      <c r="A12" t="s">
        <v>10</v>
      </c>
      <c r="B12">
        <v>61</v>
      </c>
      <c r="C12">
        <v>27</v>
      </c>
    </row>
    <row r="13" spans="1:15" x14ac:dyDescent="0.25">
      <c r="A13" t="s">
        <v>11</v>
      </c>
      <c r="B13">
        <v>71</v>
      </c>
      <c r="C13">
        <v>48</v>
      </c>
      <c r="D13" s="19" t="s">
        <v>481</v>
      </c>
      <c r="E13">
        <f>HLOOKUP(E5,A1:C13,MATCH(E6,A1:A13,0),FALSE)</f>
        <v>29</v>
      </c>
    </row>
    <row r="18" spans="1:5" x14ac:dyDescent="0.25">
      <c r="D18" t="s">
        <v>37</v>
      </c>
      <c r="E18">
        <f>MATCH(F2,$A1:$C1,0)</f>
        <v>2</v>
      </c>
    </row>
    <row r="19" spans="1:5" x14ac:dyDescent="0.25">
      <c r="D19" t="s">
        <v>38</v>
      </c>
      <c r="E19">
        <f>INDEX(A1:C13,6,2)</f>
        <v>35</v>
      </c>
    </row>
    <row r="25" spans="1:5" x14ac:dyDescent="0.25">
      <c r="A25" t="s">
        <v>477</v>
      </c>
      <c r="B25" t="s">
        <v>478</v>
      </c>
      <c r="C25" t="s">
        <v>476</v>
      </c>
    </row>
    <row r="26" spans="1:5" x14ac:dyDescent="0.25">
      <c r="A26" t="s">
        <v>399</v>
      </c>
      <c r="B26">
        <v>52</v>
      </c>
      <c r="C26">
        <v>49</v>
      </c>
      <c r="E26" t="s">
        <v>478</v>
      </c>
    </row>
    <row r="27" spans="1:5" x14ac:dyDescent="0.25">
      <c r="A27" t="s">
        <v>400</v>
      </c>
      <c r="B27">
        <v>37</v>
      </c>
      <c r="C27">
        <v>49</v>
      </c>
      <c r="E27" t="s">
        <v>402</v>
      </c>
    </row>
    <row r="28" spans="1:5" x14ac:dyDescent="0.25">
      <c r="A28" t="s">
        <v>401</v>
      </c>
      <c r="B28">
        <v>34</v>
      </c>
      <c r="C28">
        <v>32</v>
      </c>
    </row>
    <row r="29" spans="1:5" x14ac:dyDescent="0.25">
      <c r="A29" t="s">
        <v>402</v>
      </c>
      <c r="B29">
        <v>69</v>
      </c>
      <c r="C29">
        <v>69</v>
      </c>
      <c r="E29" cm="1">
        <f t="array" aca="1" ref="E29" ca="1">INDIRECT(E26) INDIRECT(E27)</f>
        <v>69</v>
      </c>
    </row>
    <row r="30" spans="1:5" x14ac:dyDescent="0.25">
      <c r="A30" t="s">
        <v>403</v>
      </c>
      <c r="B30">
        <v>35</v>
      </c>
      <c r="C30">
        <v>71</v>
      </c>
    </row>
    <row r="31" spans="1:5" x14ac:dyDescent="0.25">
      <c r="A31" t="s">
        <v>404</v>
      </c>
      <c r="B31">
        <v>44</v>
      </c>
      <c r="C31">
        <v>72</v>
      </c>
    </row>
    <row r="32" spans="1:5" x14ac:dyDescent="0.25">
      <c r="A32" t="s">
        <v>405</v>
      </c>
      <c r="B32">
        <v>68</v>
      </c>
      <c r="C32">
        <v>48</v>
      </c>
    </row>
  </sheetData>
  <phoneticPr fontId="1" type="noConversion"/>
  <dataValidations count="4">
    <dataValidation type="list" allowBlank="1" showInputMessage="1" showErrorMessage="1" sqref="E5 F2:J2 L5" xr:uid="{51965243-B586-4B72-B1F3-09EB9FC5F050}">
      <formula1>$B$1:$C$1</formula1>
    </dataValidation>
    <dataValidation type="list" allowBlank="1" showInputMessage="1" showErrorMessage="1" sqref="E6 E3 L6" xr:uid="{56687FB3-A0A0-4D66-81D7-C6117191624C}">
      <formula1>$A$2:$A$13</formula1>
    </dataValidation>
    <dataValidation type="list" allowBlank="1" showInputMessage="1" showErrorMessage="1" sqref="E25:E26" xr:uid="{9EDAF65C-CB1B-4A0E-A538-A582CECAA904}">
      <formula1>$B$25:$C$25</formula1>
    </dataValidation>
    <dataValidation type="list" allowBlank="1" showInputMessage="1" showErrorMessage="1" sqref="E27" xr:uid="{3DCCBFCC-7900-47BE-BEA6-F386EB1FAF51}">
      <formula1>$A$26:$A$32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F361-B876-46FD-96EC-40F096E1F3FC}">
  <sheetPr codeName="Hoja8"/>
  <dimension ref="A1:E9"/>
  <sheetViews>
    <sheetView workbookViewId="0">
      <selection activeCell="G1" sqref="G1"/>
    </sheetView>
  </sheetViews>
  <sheetFormatPr baseColWidth="10" defaultRowHeight="15" x14ac:dyDescent="0.25"/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5">
      <c r="A2">
        <v>2</v>
      </c>
      <c r="B2">
        <v>2</v>
      </c>
      <c r="C2">
        <v>3</v>
      </c>
      <c r="D2">
        <v>4</v>
      </c>
      <c r="E2">
        <v>5</v>
      </c>
    </row>
    <row r="3" spans="1:5" x14ac:dyDescent="0.25">
      <c r="A3">
        <v>3</v>
      </c>
      <c r="B3">
        <v>2</v>
      </c>
      <c r="C3">
        <v>3</v>
      </c>
      <c r="D3">
        <v>4</v>
      </c>
      <c r="E3">
        <v>5</v>
      </c>
    </row>
    <row r="4" spans="1:5" x14ac:dyDescent="0.25">
      <c r="A4">
        <v>4</v>
      </c>
      <c r="B4">
        <v>2</v>
      </c>
      <c r="C4">
        <v>3</v>
      </c>
      <c r="D4">
        <v>4</v>
      </c>
      <c r="E4">
        <v>5</v>
      </c>
    </row>
    <row r="5" spans="1:5" x14ac:dyDescent="0.25">
      <c r="A5">
        <v>5</v>
      </c>
      <c r="B5">
        <v>2</v>
      </c>
      <c r="C5">
        <v>3</v>
      </c>
      <c r="D5">
        <v>4</v>
      </c>
      <c r="E5">
        <v>5</v>
      </c>
    </row>
    <row r="6" spans="1:5" x14ac:dyDescent="0.25">
      <c r="A6">
        <v>6</v>
      </c>
      <c r="B6">
        <v>2</v>
      </c>
      <c r="C6">
        <v>3</v>
      </c>
      <c r="D6">
        <v>4</v>
      </c>
      <c r="E6">
        <v>5</v>
      </c>
    </row>
    <row r="7" spans="1:5" x14ac:dyDescent="0.25">
      <c r="A7">
        <v>7</v>
      </c>
      <c r="B7">
        <v>2</v>
      </c>
      <c r="C7">
        <v>3</v>
      </c>
      <c r="D7">
        <v>4</v>
      </c>
      <c r="E7">
        <v>5</v>
      </c>
    </row>
    <row r="8" spans="1:5" x14ac:dyDescent="0.25">
      <c r="A8">
        <v>8</v>
      </c>
      <c r="B8">
        <v>2</v>
      </c>
      <c r="C8">
        <v>3</v>
      </c>
      <c r="D8">
        <v>4</v>
      </c>
      <c r="E8">
        <v>5</v>
      </c>
    </row>
    <row r="9" spans="1:5" x14ac:dyDescent="0.25">
      <c r="A9">
        <v>9</v>
      </c>
      <c r="B9">
        <v>2</v>
      </c>
      <c r="C9">
        <v>3</v>
      </c>
      <c r="D9">
        <v>4</v>
      </c>
      <c r="E9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8CF4-07E2-4A3D-826E-222EB4A04520}">
  <sheetPr codeName="Hoja9"/>
  <dimension ref="A1:F19"/>
  <sheetViews>
    <sheetView workbookViewId="0"/>
  </sheetViews>
  <sheetFormatPr baseColWidth="10" defaultRowHeight="15" x14ac:dyDescent="0.25"/>
  <cols>
    <col min="5" max="5" width="17.7109375" customWidth="1"/>
  </cols>
  <sheetData>
    <row r="1" spans="1:6" x14ac:dyDescent="0.25">
      <c r="A1" cm="1">
        <f t="array" ref="A1:B12">_xlfn.SEQUENCE(12,2,9,2)</f>
        <v>9</v>
      </c>
      <c r="B1">
        <v>11</v>
      </c>
      <c r="E1" s="5" cm="1">
        <f t="array" ref="E1:E12">DATE(2026,_xlfn.SEQUENCE(12),1)</f>
        <v>46023</v>
      </c>
      <c r="F1" t="str" cm="1">
        <f t="array" ref="F1:F12">TEXT(DATE(2026,_xlfn.SEQUENCE(12),1),"mmmm")</f>
        <v>enero</v>
      </c>
    </row>
    <row r="2" spans="1:6" x14ac:dyDescent="0.25">
      <c r="A2">
        <v>13</v>
      </c>
      <c r="B2">
        <v>15</v>
      </c>
      <c r="E2" s="5">
        <v>46054</v>
      </c>
      <c r="F2" t="str">
        <v>febrero</v>
      </c>
    </row>
    <row r="3" spans="1:6" x14ac:dyDescent="0.25">
      <c r="A3">
        <v>17</v>
      </c>
      <c r="B3">
        <v>19</v>
      </c>
      <c r="E3" s="5">
        <v>46082</v>
      </c>
      <c r="F3" t="str">
        <v>marzo</v>
      </c>
    </row>
    <row r="4" spans="1:6" x14ac:dyDescent="0.25">
      <c r="A4">
        <v>21</v>
      </c>
      <c r="B4">
        <v>23</v>
      </c>
      <c r="E4" s="5">
        <v>46113</v>
      </c>
      <c r="F4" t="str">
        <v>abril</v>
      </c>
    </row>
    <row r="5" spans="1:6" x14ac:dyDescent="0.25">
      <c r="A5">
        <v>25</v>
      </c>
      <c r="B5">
        <v>27</v>
      </c>
      <c r="E5" s="5">
        <v>46143</v>
      </c>
      <c r="F5" t="str">
        <v>mayo</v>
      </c>
    </row>
    <row r="6" spans="1:6" x14ac:dyDescent="0.25">
      <c r="A6">
        <v>29</v>
      </c>
      <c r="B6">
        <v>31</v>
      </c>
      <c r="E6" s="5">
        <v>46174</v>
      </c>
      <c r="F6" t="str">
        <v>junio</v>
      </c>
    </row>
    <row r="7" spans="1:6" x14ac:dyDescent="0.25">
      <c r="A7">
        <v>33</v>
      </c>
      <c r="B7">
        <v>35</v>
      </c>
      <c r="E7" s="5">
        <v>46204</v>
      </c>
      <c r="F7" t="str">
        <v>julio</v>
      </c>
    </row>
    <row r="8" spans="1:6" x14ac:dyDescent="0.25">
      <c r="A8">
        <v>37</v>
      </c>
      <c r="B8">
        <v>39</v>
      </c>
      <c r="E8" s="5">
        <v>46235</v>
      </c>
      <c r="F8" t="str">
        <v>agosto</v>
      </c>
    </row>
    <row r="9" spans="1:6" x14ac:dyDescent="0.25">
      <c r="A9">
        <v>41</v>
      </c>
      <c r="B9">
        <v>43</v>
      </c>
      <c r="E9" s="5">
        <v>46266</v>
      </c>
      <c r="F9" t="str">
        <v>septiembre</v>
      </c>
    </row>
    <row r="10" spans="1:6" x14ac:dyDescent="0.25">
      <c r="A10">
        <v>45</v>
      </c>
      <c r="B10">
        <v>47</v>
      </c>
      <c r="E10" s="5">
        <v>46296</v>
      </c>
      <c r="F10" t="str">
        <v>octubre</v>
      </c>
    </row>
    <row r="11" spans="1:6" x14ac:dyDescent="0.25">
      <c r="A11">
        <v>49</v>
      </c>
      <c r="B11">
        <v>51</v>
      </c>
      <c r="E11" s="5">
        <v>46327</v>
      </c>
      <c r="F11" t="str">
        <v>noviembre</v>
      </c>
    </row>
    <row r="12" spans="1:6" x14ac:dyDescent="0.25">
      <c r="A12">
        <v>53</v>
      </c>
      <c r="B12">
        <v>55</v>
      </c>
      <c r="E12" s="5">
        <v>46357</v>
      </c>
      <c r="F12" t="str">
        <v>diciembre</v>
      </c>
    </row>
    <row r="17" spans="5:5" x14ac:dyDescent="0.25">
      <c r="E17" s="6">
        <f ca="1">TODAY()+1.5</f>
        <v>46246.5</v>
      </c>
    </row>
    <row r="19" spans="5:5" x14ac:dyDescent="0.25">
      <c r="E19" s="7">
        <f ca="1">NOW() - TODAY()</f>
        <v>0.43618807870370802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1AF3-B6DB-4A82-8B6D-B91C1ED4293A}">
  <sheetPr codeName="Hoja10"/>
  <dimension ref="A1:D11"/>
  <sheetViews>
    <sheetView workbookViewId="0">
      <selection activeCell="B7" sqref="B7"/>
    </sheetView>
  </sheetViews>
  <sheetFormatPr baseColWidth="10" defaultRowHeight="15" x14ac:dyDescent="0.25"/>
  <cols>
    <col min="2" max="2" width="15.7109375" customWidth="1"/>
    <col min="4" max="4" width="22.5703125" customWidth="1"/>
  </cols>
  <sheetData>
    <row r="1" spans="1:4" x14ac:dyDescent="0.25">
      <c r="A1" t="s">
        <v>41</v>
      </c>
    </row>
    <row r="2" spans="1:4" x14ac:dyDescent="0.25">
      <c r="A2">
        <v>5</v>
      </c>
      <c r="B2" t="str">
        <f>IF(A2&lt;4,"MAL",IF(A2&lt;7,"REGULAR","OK"))</f>
        <v>REGULAR</v>
      </c>
      <c r="D2" t="s">
        <v>42</v>
      </c>
    </row>
    <row r="3" spans="1:4" x14ac:dyDescent="0.25">
      <c r="D3" t="s">
        <v>43</v>
      </c>
    </row>
    <row r="4" spans="1:4" x14ac:dyDescent="0.25">
      <c r="D4" t="s">
        <v>44</v>
      </c>
    </row>
    <row r="7" spans="1:4" x14ac:dyDescent="0.25">
      <c r="B7" t="str">
        <f>IF(A2&lt;5,"SUSPENSO",IF(A2=5,"SUFICIENTE",IF(A2=6,"BIEN",IF(OR(A2&lt;9,A2&gt;6),"NOTABLE","SOBRESALIENTE"))))</f>
        <v>SUFICIENTE</v>
      </c>
      <c r="D7" t="s">
        <v>47</v>
      </c>
    </row>
    <row r="8" spans="1:4" x14ac:dyDescent="0.25">
      <c r="D8" t="s">
        <v>48</v>
      </c>
    </row>
    <row r="9" spans="1:4" x14ac:dyDescent="0.25">
      <c r="D9" t="s">
        <v>49</v>
      </c>
    </row>
    <row r="10" spans="1:4" x14ac:dyDescent="0.25">
      <c r="D10" t="s">
        <v>45</v>
      </c>
    </row>
    <row r="11" spans="1:4" x14ac:dyDescent="0.25">
      <c r="D11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7994-7E4F-4C59-9197-B4DFC5F40038}">
  <sheetPr codeName="Hoja11"/>
  <dimension ref="A1:E12"/>
  <sheetViews>
    <sheetView workbookViewId="0">
      <selection activeCell="E2" sqref="E2"/>
    </sheetView>
  </sheetViews>
  <sheetFormatPr baseColWidth="10" defaultRowHeight="15" x14ac:dyDescent="0.25"/>
  <cols>
    <col min="2" max="2" width="20" bestFit="1" customWidth="1"/>
  </cols>
  <sheetData>
    <row r="1" spans="1:5" x14ac:dyDescent="0.25">
      <c r="A1" t="s">
        <v>0</v>
      </c>
      <c r="B1" cm="1">
        <f t="array" aca="1" ref="B1:B12" ca="1">_xlfn.RANDARRAY(12,1,25,75,1)</f>
        <v>36</v>
      </c>
    </row>
    <row r="2" spans="1:5" x14ac:dyDescent="0.25">
      <c r="A2" t="s">
        <v>1</v>
      </c>
      <c r="B2">
        <f ca="1"/>
        <v>69</v>
      </c>
      <c r="E2">
        <f ca="1">SUMIF(_xlfn.ANCHORARRAY(B1),"&gt;50")</f>
        <v>377</v>
      </c>
    </row>
    <row r="3" spans="1:5" x14ac:dyDescent="0.25">
      <c r="A3" t="s">
        <v>2</v>
      </c>
      <c r="B3">
        <f ca="1"/>
        <v>61</v>
      </c>
      <c r="E3">
        <f ca="1">COUNTIF(_xlfn.ANCHORARRAY(B1),29)</f>
        <v>0</v>
      </c>
    </row>
    <row r="4" spans="1:5" x14ac:dyDescent="0.25">
      <c r="A4" t="s">
        <v>3</v>
      </c>
      <c r="B4">
        <f ca="1"/>
        <v>51</v>
      </c>
    </row>
    <row r="5" spans="1:5" x14ac:dyDescent="0.25">
      <c r="A5" t="s">
        <v>4</v>
      </c>
      <c r="B5">
        <f ca="1"/>
        <v>38</v>
      </c>
    </row>
    <row r="6" spans="1:5" x14ac:dyDescent="0.25">
      <c r="A6" t="s">
        <v>5</v>
      </c>
      <c r="B6">
        <f ca="1"/>
        <v>33</v>
      </c>
    </row>
    <row r="7" spans="1:5" x14ac:dyDescent="0.25">
      <c r="A7" t="s">
        <v>6</v>
      </c>
      <c r="B7">
        <f ca="1"/>
        <v>53</v>
      </c>
    </row>
    <row r="8" spans="1:5" x14ac:dyDescent="0.25">
      <c r="A8" t="s">
        <v>7</v>
      </c>
      <c r="B8">
        <f ca="1"/>
        <v>71</v>
      </c>
    </row>
    <row r="9" spans="1:5" x14ac:dyDescent="0.25">
      <c r="A9" t="s">
        <v>8</v>
      </c>
      <c r="B9">
        <f ca="1"/>
        <v>72</v>
      </c>
    </row>
    <row r="10" spans="1:5" x14ac:dyDescent="0.25">
      <c r="A10" t="s">
        <v>9</v>
      </c>
      <c r="B10">
        <f ca="1"/>
        <v>26</v>
      </c>
    </row>
    <row r="11" spans="1:5" x14ac:dyDescent="0.25">
      <c r="A11" t="s">
        <v>10</v>
      </c>
      <c r="B11">
        <f ca="1"/>
        <v>43</v>
      </c>
    </row>
    <row r="12" spans="1:5" x14ac:dyDescent="0.25">
      <c r="A12" t="s">
        <v>11</v>
      </c>
      <c r="B12">
        <f ca="1"/>
        <v>40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9006-8C81-4DD8-80C9-0B4902338BBF}">
  <sheetPr codeName="Hoja12"/>
  <dimension ref="A1:H13"/>
  <sheetViews>
    <sheetView workbookViewId="0">
      <selection activeCell="G6" sqref="G6"/>
    </sheetView>
  </sheetViews>
  <sheetFormatPr baseColWidth="10" defaultRowHeight="15" x14ac:dyDescent="0.25"/>
  <sheetData>
    <row r="1" spans="1:8" x14ac:dyDescent="0.25">
      <c r="A1" t="s">
        <v>35</v>
      </c>
      <c r="B1" t="s">
        <v>14</v>
      </c>
      <c r="C1" t="s">
        <v>50</v>
      </c>
      <c r="E1" t="s">
        <v>35</v>
      </c>
      <c r="F1" t="s">
        <v>14</v>
      </c>
      <c r="G1" t="s">
        <v>50</v>
      </c>
      <c r="H1" t="s">
        <v>14</v>
      </c>
    </row>
    <row r="2" spans="1:8" x14ac:dyDescent="0.25">
      <c r="A2" t="s">
        <v>0</v>
      </c>
      <c r="B2">
        <v>52</v>
      </c>
      <c r="C2">
        <v>49</v>
      </c>
      <c r="E2" t="s">
        <v>51</v>
      </c>
    </row>
    <row r="3" spans="1:8" x14ac:dyDescent="0.25">
      <c r="A3" t="s">
        <v>1</v>
      </c>
      <c r="B3">
        <v>37</v>
      </c>
      <c r="C3">
        <v>49</v>
      </c>
    </row>
    <row r="4" spans="1:8" x14ac:dyDescent="0.25">
      <c r="A4" t="s">
        <v>2</v>
      </c>
      <c r="B4">
        <v>34</v>
      </c>
      <c r="C4">
        <v>32</v>
      </c>
    </row>
    <row r="5" spans="1:8" x14ac:dyDescent="0.25">
      <c r="A5" t="s">
        <v>3</v>
      </c>
      <c r="B5">
        <v>29</v>
      </c>
      <c r="C5">
        <v>74</v>
      </c>
      <c r="E5" t="s">
        <v>35</v>
      </c>
      <c r="F5" t="s">
        <v>14</v>
      </c>
      <c r="G5" t="s">
        <v>50</v>
      </c>
    </row>
    <row r="6" spans="1:8" x14ac:dyDescent="0.25">
      <c r="A6" t="s">
        <v>4</v>
      </c>
      <c r="B6">
        <v>35</v>
      </c>
      <c r="C6">
        <v>71</v>
      </c>
      <c r="E6" t="s">
        <v>5</v>
      </c>
      <c r="F6">
        <v>44</v>
      </c>
      <c r="G6">
        <v>72</v>
      </c>
    </row>
    <row r="7" spans="1:8" x14ac:dyDescent="0.25">
      <c r="A7" t="s">
        <v>5</v>
      </c>
      <c r="B7">
        <v>44</v>
      </c>
      <c r="C7">
        <v>72</v>
      </c>
      <c r="E7" t="s">
        <v>6</v>
      </c>
      <c r="F7">
        <v>68</v>
      </c>
      <c r="G7">
        <v>48</v>
      </c>
    </row>
    <row r="8" spans="1:8" x14ac:dyDescent="0.25">
      <c r="A8" t="s">
        <v>6</v>
      </c>
      <c r="B8">
        <v>68</v>
      </c>
      <c r="C8">
        <v>48</v>
      </c>
    </row>
    <row r="9" spans="1:8" x14ac:dyDescent="0.25">
      <c r="A9" t="s">
        <v>7</v>
      </c>
      <c r="B9">
        <v>29</v>
      </c>
      <c r="C9">
        <v>33</v>
      </c>
    </row>
    <row r="10" spans="1:8" x14ac:dyDescent="0.25">
      <c r="A10" t="s">
        <v>8</v>
      </c>
      <c r="B10">
        <v>50</v>
      </c>
      <c r="C10">
        <v>48</v>
      </c>
    </row>
    <row r="11" spans="1:8" x14ac:dyDescent="0.25">
      <c r="A11" t="s">
        <v>9</v>
      </c>
      <c r="B11">
        <v>65</v>
      </c>
      <c r="C11">
        <v>25</v>
      </c>
    </row>
    <row r="12" spans="1:8" x14ac:dyDescent="0.25">
      <c r="A12" t="s">
        <v>10</v>
      </c>
      <c r="B12">
        <v>61</v>
      </c>
      <c r="C12">
        <v>27</v>
      </c>
    </row>
    <row r="13" spans="1:8" x14ac:dyDescent="0.25">
      <c r="A13" t="s">
        <v>11</v>
      </c>
      <c r="B13">
        <v>71</v>
      </c>
      <c r="C13">
        <v>48</v>
      </c>
    </row>
  </sheetData>
  <autoFilter ref="A1:C13" xr:uid="{BE699006-8C81-4DD8-80C9-0B4902338BBF}">
    <sortState xmlns:xlrd2="http://schemas.microsoft.com/office/spreadsheetml/2017/richdata2" ref="A2:C13">
      <sortCondition ref="A2:A13" customList="enero,febrero,marzo,abril,mayo,junio,julio,agosto,septiembre,octubre,noviembre,diciembre"/>
    </sortState>
  </autoFilter>
  <sortState xmlns:xlrd2="http://schemas.microsoft.com/office/spreadsheetml/2017/richdata2" ref="A2:C14">
    <sortCondition ref="B2:B14"/>
    <sortCondition descending="1" ref="C2:C1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D376-1C5A-4C43-8E67-6F6F37908AF8}">
  <sheetPr codeName="Hoja13"/>
  <dimension ref="A1:F8"/>
  <sheetViews>
    <sheetView workbookViewId="0">
      <selection activeCell="F1" sqref="F1"/>
    </sheetView>
  </sheetViews>
  <sheetFormatPr baseColWidth="10" defaultRowHeight="15" x14ac:dyDescent="0.25"/>
  <cols>
    <col min="3" max="3" width="13.85546875" customWidth="1"/>
  </cols>
  <sheetData>
    <row r="1" spans="1:6" x14ac:dyDescent="0.25">
      <c r="A1" t="s">
        <v>52</v>
      </c>
      <c r="B1" t="s">
        <v>53</v>
      </c>
      <c r="C1" t="s">
        <v>56</v>
      </c>
      <c r="D1" t="s">
        <v>55</v>
      </c>
      <c r="E1" t="s">
        <v>52</v>
      </c>
      <c r="F1" t="s">
        <v>54</v>
      </c>
    </row>
    <row r="2" spans="1:6" x14ac:dyDescent="0.25">
      <c r="A2">
        <v>1</v>
      </c>
      <c r="B2" t="s">
        <v>0</v>
      </c>
      <c r="C2" t="str">
        <f>IFERROR(VLOOKUP(A2,$E$1:$F$3,2,FALSE),"NO TIENE PAÍS")</f>
        <v>A</v>
      </c>
      <c r="D2" t="str">
        <f>_xlfn.XLOOKUP(A2,$E$1:$E$3,$F$1:$F$3,"---",0,1)</f>
        <v>A</v>
      </c>
      <c r="E2">
        <v>1</v>
      </c>
      <c r="F2" t="s">
        <v>26</v>
      </c>
    </row>
    <row r="3" spans="1:6" x14ac:dyDescent="0.25">
      <c r="A3">
        <v>2</v>
      </c>
      <c r="B3" t="s">
        <v>1</v>
      </c>
      <c r="C3" t="str">
        <f>IFERROR(VLOOKUP(A3,$E$1:$F$3,2,FALSE),"NO TIENE PAÍS")</f>
        <v>NO TIENE PAÍS</v>
      </c>
      <c r="D3" t="str">
        <f>_xlfn.XLOOKUP(A3,$E$1:$E$3,$F$1:$F$3,"---",0,1)</f>
        <v>---</v>
      </c>
      <c r="E3">
        <v>3</v>
      </c>
      <c r="F3" t="s">
        <v>27</v>
      </c>
    </row>
    <row r="4" spans="1:6" x14ac:dyDescent="0.25">
      <c r="A4">
        <v>3</v>
      </c>
      <c r="B4" t="s">
        <v>2</v>
      </c>
      <c r="C4" t="str">
        <f>IFERROR(VLOOKUP(A4,$E$1:$F$3,2,FALSE),"NO TIENE PAÍS")</f>
        <v>B</v>
      </c>
      <c r="D4" t="str">
        <f>_xlfn.XLOOKUP(A4,$E$1:$E$3,$F$1:$F$3,"---",0,1)</f>
        <v>B</v>
      </c>
    </row>
    <row r="5" spans="1:6" x14ac:dyDescent="0.25">
      <c r="A5">
        <v>4</v>
      </c>
      <c r="B5" t="s">
        <v>3</v>
      </c>
      <c r="C5" t="str">
        <f>IFERROR(VLOOKUP(A5,$E$1:$F$3,2,FALSE),"NO TIENE PAÍS")</f>
        <v>NO TIENE PAÍS</v>
      </c>
      <c r="D5" t="str">
        <f>_xlfn.XLOOKUP(A5,$E$1:$E$3,$F$1:$F$3,"---",0,1)</f>
        <v>---</v>
      </c>
    </row>
    <row r="8" spans="1:6" x14ac:dyDescent="0.25">
      <c r="D8" t="str">
        <f>IFERROR(1/0,"intento de división por cero")</f>
        <v>intento de división por cero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E797-A977-4AAE-A651-F9D0607BF3EB}">
  <sheetPr codeName="Hoja14"/>
  <dimension ref="A1:E13"/>
  <sheetViews>
    <sheetView workbookViewId="0"/>
  </sheetViews>
  <sheetFormatPr baseColWidth="10" defaultRowHeight="15" x14ac:dyDescent="0.25"/>
  <sheetData>
    <row r="1" spans="1:5" x14ac:dyDescent="0.25">
      <c r="A1" t="s">
        <v>35</v>
      </c>
      <c r="B1" t="s">
        <v>14</v>
      </c>
      <c r="C1" t="s">
        <v>13</v>
      </c>
    </row>
    <row r="2" spans="1:5" x14ac:dyDescent="0.25">
      <c r="A2" t="s">
        <v>0</v>
      </c>
      <c r="B2">
        <v>52</v>
      </c>
      <c r="C2">
        <v>49</v>
      </c>
      <c r="E2">
        <f>SUMIFS(B2:B13,A2:A13,"eNERO",B2:B13,"&gt;50")</f>
        <v>52</v>
      </c>
    </row>
    <row r="3" spans="1:5" x14ac:dyDescent="0.25">
      <c r="A3" t="s">
        <v>1</v>
      </c>
      <c r="B3">
        <v>37</v>
      </c>
      <c r="C3">
        <v>49</v>
      </c>
    </row>
    <row r="4" spans="1:5" x14ac:dyDescent="0.25">
      <c r="A4" t="s">
        <v>2</v>
      </c>
      <c r="B4">
        <v>34</v>
      </c>
      <c r="C4">
        <v>32</v>
      </c>
    </row>
    <row r="5" spans="1:5" x14ac:dyDescent="0.25">
      <c r="A5" t="s">
        <v>3</v>
      </c>
      <c r="B5">
        <v>29</v>
      </c>
      <c r="C5">
        <v>74</v>
      </c>
    </row>
    <row r="6" spans="1:5" x14ac:dyDescent="0.25">
      <c r="A6" t="s">
        <v>4</v>
      </c>
      <c r="B6">
        <v>35</v>
      </c>
      <c r="C6">
        <v>71</v>
      </c>
    </row>
    <row r="7" spans="1:5" x14ac:dyDescent="0.25">
      <c r="A7" t="s">
        <v>5</v>
      </c>
      <c r="B7">
        <v>44</v>
      </c>
      <c r="C7">
        <v>72</v>
      </c>
    </row>
    <row r="8" spans="1:5" x14ac:dyDescent="0.25">
      <c r="A8" t="s">
        <v>6</v>
      </c>
      <c r="B8">
        <v>68</v>
      </c>
      <c r="C8">
        <v>48</v>
      </c>
    </row>
    <row r="9" spans="1:5" x14ac:dyDescent="0.25">
      <c r="A9" t="s">
        <v>7</v>
      </c>
      <c r="B9">
        <v>29</v>
      </c>
      <c r="C9">
        <v>33</v>
      </c>
    </row>
    <row r="10" spans="1:5" x14ac:dyDescent="0.25">
      <c r="A10" t="s">
        <v>8</v>
      </c>
      <c r="B10">
        <v>50</v>
      </c>
      <c r="C10">
        <v>48</v>
      </c>
    </row>
    <row r="11" spans="1:5" x14ac:dyDescent="0.25">
      <c r="A11" t="s">
        <v>9</v>
      </c>
      <c r="B11">
        <v>65</v>
      </c>
      <c r="C11">
        <v>25</v>
      </c>
    </row>
    <row r="12" spans="1:5" x14ac:dyDescent="0.25">
      <c r="A12" t="s">
        <v>10</v>
      </c>
      <c r="B12">
        <v>61</v>
      </c>
      <c r="C12">
        <v>27</v>
      </c>
    </row>
    <row r="13" spans="1:5" x14ac:dyDescent="0.25">
      <c r="A13" t="s">
        <v>11</v>
      </c>
      <c r="B13">
        <v>71</v>
      </c>
      <c r="C13">
        <v>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9651-74FB-42BA-A87F-4424DCF94479}">
  <sheetPr codeName="Hoja15"/>
  <dimension ref="A1:I10"/>
  <sheetViews>
    <sheetView workbookViewId="0"/>
  </sheetViews>
  <sheetFormatPr baseColWidth="10" defaultRowHeight="15" x14ac:dyDescent="0.25"/>
  <cols>
    <col min="1" max="1" width="30.42578125" customWidth="1"/>
    <col min="2" max="2" width="14.85546875" customWidth="1"/>
  </cols>
  <sheetData>
    <row r="1" spans="1:9" x14ac:dyDescent="0.25">
      <c r="A1" t="s">
        <v>69</v>
      </c>
      <c r="B1" t="s">
        <v>66</v>
      </c>
      <c r="C1" t="s">
        <v>67</v>
      </c>
      <c r="D1" t="s">
        <v>60</v>
      </c>
      <c r="I1" s="12" t="s">
        <v>166</v>
      </c>
    </row>
    <row r="2" spans="1:9" x14ac:dyDescent="0.25">
      <c r="A2" t="s">
        <v>65</v>
      </c>
      <c r="B2" t="s">
        <v>63</v>
      </c>
      <c r="C2" t="s">
        <v>61</v>
      </c>
    </row>
    <row r="3" spans="1:9" x14ac:dyDescent="0.25">
      <c r="A3" t="s">
        <v>59</v>
      </c>
      <c r="B3" t="s">
        <v>64</v>
      </c>
      <c r="C3" t="s">
        <v>68</v>
      </c>
      <c r="D3" t="s">
        <v>62</v>
      </c>
    </row>
    <row r="6" spans="1:9" x14ac:dyDescent="0.25">
      <c r="A6" t="s">
        <v>70</v>
      </c>
      <c r="B6">
        <v>9997</v>
      </c>
      <c r="C6" t="s">
        <v>72</v>
      </c>
    </row>
    <row r="7" spans="1:9" x14ac:dyDescent="0.25">
      <c r="A7" t="s">
        <v>71</v>
      </c>
      <c r="B7">
        <v>4545</v>
      </c>
      <c r="C7" t="s">
        <v>73</v>
      </c>
    </row>
    <row r="9" spans="1:9" x14ac:dyDescent="0.25">
      <c r="A9" t="s">
        <v>74</v>
      </c>
      <c r="B9" t="s">
        <v>75</v>
      </c>
      <c r="C9" t="s">
        <v>76</v>
      </c>
      <c r="D9" t="s">
        <v>77</v>
      </c>
      <c r="E9" t="s">
        <v>76</v>
      </c>
      <c r="F9" t="s">
        <v>77</v>
      </c>
    </row>
    <row r="10" spans="1:9" x14ac:dyDescent="0.25">
      <c r="A10">
        <v>1234567890</v>
      </c>
      <c r="B10">
        <v>12</v>
      </c>
      <c r="C10">
        <v>34</v>
      </c>
      <c r="D10">
        <v>56</v>
      </c>
      <c r="E10">
        <v>78</v>
      </c>
      <c r="F10">
        <v>90</v>
      </c>
    </row>
  </sheetData>
  <phoneticPr fontId="1" type="noConversion"/>
  <hyperlinks>
    <hyperlink ref="I1" location="'INSERTAR VÍNCULO'!C1" display="VOLVER" xr:uid="{E9D377A9-2AA3-41F4-AAEE-19C3DCA8AC6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F9BC-6333-4AE5-B611-215F12C5D377}">
  <sheetPr codeName="Hoja16"/>
  <dimension ref="A1:B4"/>
  <sheetViews>
    <sheetView workbookViewId="0"/>
  </sheetViews>
  <sheetFormatPr baseColWidth="10" defaultRowHeight="15" x14ac:dyDescent="0.25"/>
  <cols>
    <col min="1" max="1" width="20.7109375" customWidth="1"/>
    <col min="2" max="2" width="25.42578125" customWidth="1"/>
  </cols>
  <sheetData>
    <row r="1" spans="1:2" x14ac:dyDescent="0.25">
      <c r="A1" t="s">
        <v>58</v>
      </c>
      <c r="B1" t="s">
        <v>79</v>
      </c>
    </row>
    <row r="2" spans="1:2" x14ac:dyDescent="0.25">
      <c r="A2" t="s">
        <v>65</v>
      </c>
      <c r="B2" t="s">
        <v>80</v>
      </c>
    </row>
    <row r="3" spans="1:2" x14ac:dyDescent="0.25">
      <c r="A3" t="s">
        <v>59</v>
      </c>
      <c r="B3" t="s">
        <v>81</v>
      </c>
    </row>
    <row r="4" spans="1:2" x14ac:dyDescent="0.25">
      <c r="A4" t="s">
        <v>78</v>
      </c>
      <c r="B4" t="s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CB6C-0B68-4867-9C8F-AA5CF19D07F7}">
  <sheetPr codeName="Hoja17"/>
  <dimension ref="A1:M20"/>
  <sheetViews>
    <sheetView workbookViewId="0"/>
  </sheetViews>
  <sheetFormatPr baseColWidth="10" defaultRowHeight="15" x14ac:dyDescent="0.25"/>
  <cols>
    <col min="10" max="10" width="23.7109375" customWidth="1"/>
  </cols>
  <sheetData>
    <row r="1" spans="1:13" x14ac:dyDescent="0.25">
      <c r="A1" t="s">
        <v>83</v>
      </c>
      <c r="B1" t="s">
        <v>84</v>
      </c>
      <c r="C1" t="s">
        <v>85</v>
      </c>
      <c r="D1" t="s">
        <v>86</v>
      </c>
    </row>
    <row r="2" spans="1:13" x14ac:dyDescent="0.25">
      <c r="A2" t="s">
        <v>26</v>
      </c>
      <c r="B2" t="s">
        <v>27</v>
      </c>
      <c r="C2" t="s">
        <v>28</v>
      </c>
      <c r="D2" t="s">
        <v>57</v>
      </c>
    </row>
    <row r="3" spans="1:13" x14ac:dyDescent="0.25">
      <c r="A3" t="s">
        <v>26</v>
      </c>
      <c r="B3" t="s">
        <v>26</v>
      </c>
      <c r="C3" t="s">
        <v>26</v>
      </c>
      <c r="D3" t="s">
        <v>57</v>
      </c>
    </row>
    <row r="9" spans="1:13" x14ac:dyDescent="0.25">
      <c r="J9" t="b">
        <f>AND(MOD(B12,3)=0,B12&lt;25)</f>
        <v>0</v>
      </c>
      <c r="K9" t="s">
        <v>87</v>
      </c>
      <c r="M9" t="s">
        <v>88</v>
      </c>
    </row>
    <row r="10" spans="1:13" x14ac:dyDescent="0.25">
      <c r="M10" t="s">
        <v>89</v>
      </c>
    </row>
    <row r="12" spans="1:13" x14ac:dyDescent="0.25">
      <c r="B12">
        <v>30</v>
      </c>
    </row>
    <row r="13" spans="1:13" x14ac:dyDescent="0.25">
      <c r="A13">
        <v>32532</v>
      </c>
      <c r="B13">
        <f>LEN(A13)</f>
        <v>5</v>
      </c>
    </row>
    <row r="15" spans="1:13" x14ac:dyDescent="0.25">
      <c r="J15" t="s">
        <v>90</v>
      </c>
    </row>
    <row r="18" spans="3:10" x14ac:dyDescent="0.25">
      <c r="C18">
        <v>99</v>
      </c>
      <c r="J18" t="s">
        <v>91</v>
      </c>
    </row>
    <row r="20" spans="3:10" x14ac:dyDescent="0.25">
      <c r="J20" t="b">
        <f>OR(C21&gt;25,AND(MOD(C21,3)=0,MOD(C21,5)))</f>
        <v>0</v>
      </c>
    </row>
  </sheetData>
  <dataConsolidate/>
  <phoneticPr fontId="1" type="noConversion"/>
  <dataValidations count="4">
    <dataValidation type="custom" allowBlank="1" showInputMessage="1" showErrorMessage="1" sqref="B12" xr:uid="{C477309D-49BA-48E3-A37A-8581FE28F28D}">
      <formula1>AND(MOD(B12,3)=0,B12&gt;25)</formula1>
    </dataValidation>
    <dataValidation type="custom" allowBlank="1" showInputMessage="1" showErrorMessage="1" sqref="A13" xr:uid="{B7F7B3BD-3CF3-47B2-838A-DA01D67D22A7}">
      <formula1>AND(LEN(A13)&gt;=4, MOD(A13,2)=0)</formula1>
    </dataValidation>
    <dataValidation type="custom" allowBlank="1" showInputMessage="1" showErrorMessage="1" sqref="C18" xr:uid="{843C5C4B-D17F-4084-A624-7F3923CC4B46}">
      <formula1>OR(MOD(C18,9)=0,MOD(C18,11)=0)</formula1>
    </dataValidation>
    <dataValidation type="custom" allowBlank="1" showInputMessage="1" showErrorMessage="1" sqref="C21" xr:uid="{5D160B75-2FB5-4A07-BF1B-B39729C2140B}">
      <formula1>OR(C21&gt;25,AND(MOD(C21,3)=0,MOD(C21,5)))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E43C-E9FB-44DC-877A-517FC35D3064}">
  <sheetPr codeName="Hoja18"/>
  <dimension ref="B19:E30"/>
  <sheetViews>
    <sheetView workbookViewId="0">
      <selection activeCell="A1048576" sqref="A1048576"/>
    </sheetView>
  </sheetViews>
  <sheetFormatPr baseColWidth="10" defaultRowHeight="15" x14ac:dyDescent="0.25"/>
  <sheetData>
    <row r="19" spans="2:5" x14ac:dyDescent="0.25">
      <c r="B19" s="8">
        <v>1500</v>
      </c>
      <c r="C19" s="9">
        <v>2000</v>
      </c>
    </row>
    <row r="20" spans="2:5" x14ac:dyDescent="0.25">
      <c r="B20" s="8">
        <v>300</v>
      </c>
    </row>
    <row r="21" spans="2:5" x14ac:dyDescent="0.25">
      <c r="B21" s="8">
        <v>-1</v>
      </c>
    </row>
    <row r="22" spans="2:5" x14ac:dyDescent="0.25">
      <c r="B22" s="8"/>
    </row>
    <row r="23" spans="2:5" x14ac:dyDescent="0.25">
      <c r="B23" s="8"/>
    </row>
    <row r="24" spans="2:5" x14ac:dyDescent="0.25">
      <c r="B24" s="8"/>
    </row>
    <row r="26" spans="2:5" x14ac:dyDescent="0.25">
      <c r="B26" s="1" t="s">
        <v>93</v>
      </c>
      <c r="C26" t="b">
        <f>COUNTIF($B$26:$B$30,B26)=1</f>
        <v>1</v>
      </c>
      <c r="E26" t="s">
        <v>92</v>
      </c>
    </row>
    <row r="27" spans="2:5" x14ac:dyDescent="0.25">
      <c r="B27" s="1"/>
    </row>
    <row r="28" spans="2:5" x14ac:dyDescent="0.25">
      <c r="B28" s="1"/>
    </row>
    <row r="29" spans="2:5" x14ac:dyDescent="0.25">
      <c r="B29" s="1"/>
      <c r="D29">
        <f>SUM(B26:B30)</f>
        <v>0</v>
      </c>
    </row>
    <row r="30" spans="2:5" x14ac:dyDescent="0.25">
      <c r="B30" s="1"/>
    </row>
  </sheetData>
  <dataValidations count="2">
    <dataValidation type="custom" allowBlank="1" showInputMessage="1" showErrorMessage="1" sqref="B19:B21 B23:B24 B22" xr:uid="{6DF810F8-6E75-40BE-8892-A0AC784C167A}">
      <formula1>SUM($B$19:$B$24)&lt;=$C$19</formula1>
    </dataValidation>
    <dataValidation type="custom" allowBlank="1" showInputMessage="1" showErrorMessage="1" sqref="B26:B27 B29:B30 B28" xr:uid="{1320295C-9CA3-407C-8E07-7F664A382923}">
      <formula1>COUNTIF($B$26:$B$30,B26)=1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7D6C-5DF3-4761-B64F-C815442E8C99}">
  <sheetPr codeName="Hoja19"/>
  <dimension ref="A1:S54"/>
  <sheetViews>
    <sheetView workbookViewId="0"/>
  </sheetViews>
  <sheetFormatPr baseColWidth="10" defaultRowHeight="15" x14ac:dyDescent="0.25"/>
  <sheetData>
    <row r="1" spans="1:13" x14ac:dyDescent="0.25">
      <c r="A1" t="s">
        <v>94</v>
      </c>
      <c r="B1">
        <v>250000</v>
      </c>
    </row>
    <row r="2" spans="1:13" x14ac:dyDescent="0.25">
      <c r="A2" t="s">
        <v>95</v>
      </c>
      <c r="B2">
        <v>360</v>
      </c>
      <c r="C2">
        <v>0.05</v>
      </c>
    </row>
    <row r="3" spans="1:13" x14ac:dyDescent="0.25">
      <c r="A3" t="s">
        <v>96</v>
      </c>
      <c r="B3">
        <v>4.1666666666666666E-3</v>
      </c>
      <c r="C3">
        <f>C2/12</f>
        <v>4.1666666666666666E-3</v>
      </c>
    </row>
    <row r="4" spans="1:13" x14ac:dyDescent="0.25">
      <c r="E4">
        <v>-1000</v>
      </c>
    </row>
    <row r="6" spans="1:13" x14ac:dyDescent="0.25">
      <c r="C6" s="10">
        <f>PMT(B3,B2,B1)</f>
        <v>-1342.0540575303476</v>
      </c>
    </row>
    <row r="15" spans="1:13" x14ac:dyDescent="0.25">
      <c r="E15" t="s">
        <v>99</v>
      </c>
    </row>
    <row r="16" spans="1:13" x14ac:dyDescent="0.25">
      <c r="F16">
        <v>150000</v>
      </c>
      <c r="G16">
        <v>175000</v>
      </c>
      <c r="H16">
        <v>200000</v>
      </c>
      <c r="I16">
        <v>225000</v>
      </c>
      <c r="J16">
        <v>250000</v>
      </c>
      <c r="K16">
        <v>275000</v>
      </c>
      <c r="L16">
        <v>300000</v>
      </c>
      <c r="M16">
        <v>325000</v>
      </c>
    </row>
    <row r="17" spans="4:13" x14ac:dyDescent="0.25">
      <c r="E17" s="10">
        <f>C6</f>
        <v>-1342.0540575303476</v>
      </c>
      <c r="F17">
        <f t="dataTable" ref="F17:M17" dt2D="0" dtr="1" r1="B1"/>
        <v>-1342.0540575303476</v>
      </c>
      <c r="G17">
        <v>-1342.0540575303476</v>
      </c>
      <c r="H17">
        <v>-1342.0540575303476</v>
      </c>
      <c r="I17">
        <v>-1342.0540575303476</v>
      </c>
      <c r="J17">
        <v>-1342.0540575303476</v>
      </c>
      <c r="K17">
        <v>-1342.0540575303476</v>
      </c>
      <c r="L17">
        <v>-1342.0540575303476</v>
      </c>
      <c r="M17">
        <v>-1342.0540575303476</v>
      </c>
    </row>
    <row r="22" spans="4:13" x14ac:dyDescent="0.25">
      <c r="E22" t="s">
        <v>99</v>
      </c>
    </row>
    <row r="23" spans="4:13" x14ac:dyDescent="0.25">
      <c r="F23">
        <v>120</v>
      </c>
      <c r="G23">
        <v>240</v>
      </c>
      <c r="H23">
        <v>360</v>
      </c>
      <c r="I23">
        <v>480</v>
      </c>
    </row>
    <row r="24" spans="4:13" x14ac:dyDescent="0.25">
      <c r="E24" s="10">
        <f>C6</f>
        <v>-1342.0540575303476</v>
      </c>
      <c r="F24">
        <f t="dataTable" ref="F24:I24" dt2D="0" dtr="1" r1="B2"/>
        <v>-2651.6378809768808</v>
      </c>
      <c r="G24">
        <v>-1649.8893480416436</v>
      </c>
      <c r="H24">
        <v>-1342.0540575303476</v>
      </c>
      <c r="I24">
        <v>-1205.4915014489065</v>
      </c>
    </row>
    <row r="27" spans="4:13" x14ac:dyDescent="0.25">
      <c r="E27" t="s">
        <v>98</v>
      </c>
    </row>
    <row r="29" spans="4:13" x14ac:dyDescent="0.25">
      <c r="E29" s="10">
        <f>C6</f>
        <v>-1342.0540575303476</v>
      </c>
    </row>
    <row r="30" spans="4:13" x14ac:dyDescent="0.25">
      <c r="D30">
        <v>125000</v>
      </c>
      <c r="E30">
        <f t="dataTable" ref="E30:E36" dt2D="0" dtr="0" r1="B1"/>
        <v>-1342.0540575303476</v>
      </c>
    </row>
    <row r="31" spans="4:13" x14ac:dyDescent="0.25">
      <c r="D31">
        <v>150000</v>
      </c>
      <c r="E31">
        <v>-1342.0540575303476</v>
      </c>
    </row>
    <row r="32" spans="4:13" x14ac:dyDescent="0.25">
      <c r="D32">
        <v>175000</v>
      </c>
      <c r="E32">
        <v>-1342.0540575303476</v>
      </c>
    </row>
    <row r="33" spans="4:19" x14ac:dyDescent="0.25">
      <c r="D33">
        <v>200000</v>
      </c>
      <c r="E33">
        <v>-1342.0540575303476</v>
      </c>
    </row>
    <row r="34" spans="4:19" x14ac:dyDescent="0.25">
      <c r="D34">
        <v>225000</v>
      </c>
      <c r="E34">
        <v>-1342.0540575303476</v>
      </c>
    </row>
    <row r="35" spans="4:19" x14ac:dyDescent="0.25">
      <c r="D35">
        <v>250000</v>
      </c>
      <c r="E35">
        <v>-1342.0540575303476</v>
      </c>
    </row>
    <row r="36" spans="4:19" x14ac:dyDescent="0.25">
      <c r="D36">
        <v>275000</v>
      </c>
      <c r="E36">
        <v>-1342.0540575303476</v>
      </c>
    </row>
    <row r="42" spans="4:19" x14ac:dyDescent="0.25">
      <c r="E42" t="s">
        <v>97</v>
      </c>
    </row>
    <row r="44" spans="4:19" x14ac:dyDescent="0.25">
      <c r="E44" s="10">
        <f>C6</f>
        <v>-1342.0540575303476</v>
      </c>
      <c r="F44">
        <v>120</v>
      </c>
      <c r="G44">
        <v>130</v>
      </c>
      <c r="H44">
        <v>140</v>
      </c>
      <c r="I44">
        <v>150</v>
      </c>
      <c r="J44">
        <v>160</v>
      </c>
      <c r="K44">
        <v>170</v>
      </c>
      <c r="L44">
        <v>180</v>
      </c>
      <c r="M44">
        <v>190</v>
      </c>
      <c r="N44">
        <v>200</v>
      </c>
      <c r="O44">
        <v>210</v>
      </c>
      <c r="P44">
        <v>220</v>
      </c>
      <c r="Q44">
        <v>230</v>
      </c>
      <c r="R44">
        <v>240</v>
      </c>
      <c r="S44">
        <v>250</v>
      </c>
    </row>
    <row r="45" spans="4:19" x14ac:dyDescent="0.25">
      <c r="E45">
        <v>125000</v>
      </c>
      <c r="F45">
        <f t="dataTable" ref="F45:S54" dt2D="1" dtr="1" r1="B2" r2="B1"/>
        <v>-1342.0540575303476</v>
      </c>
      <c r="G45">
        <v>-1342.0540575303476</v>
      </c>
      <c r="H45">
        <v>-1342.0540575303476</v>
      </c>
      <c r="I45">
        <v>-1342.0540575303476</v>
      </c>
      <c r="J45">
        <v>-1342.0540575303476</v>
      </c>
      <c r="K45">
        <v>-1342.0540575303476</v>
      </c>
      <c r="L45">
        <v>-1342.0540575303476</v>
      </c>
      <c r="M45">
        <v>-1342.0540575303476</v>
      </c>
      <c r="N45">
        <v>-1342.0540575303476</v>
      </c>
      <c r="O45">
        <v>-1342.0540575303476</v>
      </c>
      <c r="P45">
        <v>-1342.0540575303476</v>
      </c>
      <c r="Q45">
        <v>-1342.0540575303476</v>
      </c>
      <c r="R45">
        <v>-1342.0540575303476</v>
      </c>
      <c r="S45">
        <v>-1342.0540575303476</v>
      </c>
    </row>
    <row r="46" spans="4:19" x14ac:dyDescent="0.25">
      <c r="E46">
        <v>150000</v>
      </c>
      <c r="F46">
        <v>-1342.0540575303476</v>
      </c>
      <c r="G46">
        <v>-1342.0540575303476</v>
      </c>
      <c r="H46">
        <v>-1342.0540575303476</v>
      </c>
      <c r="I46">
        <v>-1342.0540575303476</v>
      </c>
      <c r="J46">
        <v>-1342.0540575303476</v>
      </c>
      <c r="K46">
        <v>-1342.0540575303476</v>
      </c>
      <c r="L46">
        <v>-1342.0540575303476</v>
      </c>
      <c r="M46">
        <v>-1342.0540575303476</v>
      </c>
      <c r="N46">
        <v>-1342.0540575303476</v>
      </c>
      <c r="O46">
        <v>-1342.0540575303476</v>
      </c>
      <c r="P46">
        <v>-1342.0540575303476</v>
      </c>
      <c r="Q46">
        <v>-1342.0540575303476</v>
      </c>
      <c r="R46">
        <v>-1342.0540575303476</v>
      </c>
      <c r="S46">
        <v>-1342.0540575303476</v>
      </c>
    </row>
    <row r="47" spans="4:19" x14ac:dyDescent="0.25">
      <c r="E47">
        <v>175000</v>
      </c>
      <c r="F47">
        <v>-1342.0540575303476</v>
      </c>
      <c r="G47">
        <v>-1342.0540575303476</v>
      </c>
      <c r="H47">
        <v>-1342.0540575303476</v>
      </c>
      <c r="I47">
        <v>-1342.0540575303476</v>
      </c>
      <c r="J47">
        <v>-1342.0540575303476</v>
      </c>
      <c r="K47">
        <v>-1342.0540575303476</v>
      </c>
      <c r="L47">
        <v>-1342.0540575303476</v>
      </c>
      <c r="M47">
        <v>-1342.0540575303476</v>
      </c>
      <c r="N47">
        <v>-1342.0540575303476</v>
      </c>
      <c r="O47">
        <v>-1342.0540575303476</v>
      </c>
      <c r="P47">
        <v>-1342.0540575303476</v>
      </c>
      <c r="Q47">
        <v>-1342.0540575303476</v>
      </c>
      <c r="R47">
        <v>-1342.0540575303476</v>
      </c>
      <c r="S47">
        <v>-1342.0540575303476</v>
      </c>
    </row>
    <row r="48" spans="4:19" x14ac:dyDescent="0.25">
      <c r="E48">
        <v>200000</v>
      </c>
      <c r="F48">
        <v>-1342.0540575303476</v>
      </c>
      <c r="G48">
        <v>-1342.0540575303476</v>
      </c>
      <c r="H48">
        <v>-1342.0540575303476</v>
      </c>
      <c r="I48">
        <v>-1342.0540575303476</v>
      </c>
      <c r="J48">
        <v>-1342.0540575303476</v>
      </c>
      <c r="K48">
        <v>-1342.0540575303476</v>
      </c>
      <c r="L48">
        <v>-1342.0540575303476</v>
      </c>
      <c r="M48">
        <v>-1342.0540575303476</v>
      </c>
      <c r="N48">
        <v>-1342.0540575303476</v>
      </c>
      <c r="O48">
        <v>-1342.0540575303476</v>
      </c>
      <c r="P48">
        <v>-1342.0540575303476</v>
      </c>
      <c r="Q48">
        <v>-1342.0540575303476</v>
      </c>
      <c r="R48">
        <v>-1342.0540575303476</v>
      </c>
      <c r="S48">
        <v>-1342.0540575303476</v>
      </c>
    </row>
    <row r="49" spans="5:19" x14ac:dyDescent="0.25">
      <c r="E49">
        <v>225000</v>
      </c>
      <c r="F49">
        <v>-1342.0540575303476</v>
      </c>
      <c r="G49">
        <v>-1342.0540575303476</v>
      </c>
      <c r="H49">
        <v>-1342.0540575303476</v>
      </c>
      <c r="I49">
        <v>-1342.0540575303476</v>
      </c>
      <c r="J49">
        <v>-1342.0540575303476</v>
      </c>
      <c r="K49">
        <v>-1342.0540575303476</v>
      </c>
      <c r="L49">
        <v>-1342.0540575303476</v>
      </c>
      <c r="M49">
        <v>-1342.0540575303476</v>
      </c>
      <c r="N49">
        <v>-1342.0540575303476</v>
      </c>
      <c r="O49">
        <v>-1342.0540575303476</v>
      </c>
      <c r="P49">
        <v>-1342.0540575303476</v>
      </c>
      <c r="Q49">
        <v>-1342.0540575303476</v>
      </c>
      <c r="R49">
        <v>-1342.0540575303476</v>
      </c>
      <c r="S49">
        <v>-1342.0540575303476</v>
      </c>
    </row>
    <row r="50" spans="5:19" x14ac:dyDescent="0.25">
      <c r="E50">
        <v>250000</v>
      </c>
      <c r="F50">
        <v>-1342.0540575303476</v>
      </c>
      <c r="G50">
        <v>-1342.0540575303476</v>
      </c>
      <c r="H50">
        <v>-1342.0540575303476</v>
      </c>
      <c r="I50">
        <v>-1342.0540575303476</v>
      </c>
      <c r="J50">
        <v>-1342.0540575303476</v>
      </c>
      <c r="K50">
        <v>-1342.0540575303476</v>
      </c>
      <c r="L50">
        <v>-1342.0540575303476</v>
      </c>
      <c r="M50">
        <v>-1342.0540575303476</v>
      </c>
      <c r="N50">
        <v>-1342.0540575303476</v>
      </c>
      <c r="O50">
        <v>-1342.0540575303476</v>
      </c>
      <c r="P50">
        <v>-1342.0540575303476</v>
      </c>
      <c r="Q50">
        <v>-1342.0540575303476</v>
      </c>
      <c r="R50">
        <v>-1342.0540575303476</v>
      </c>
      <c r="S50">
        <v>-1342.0540575303476</v>
      </c>
    </row>
    <row r="51" spans="5:19" x14ac:dyDescent="0.25">
      <c r="E51">
        <v>275000</v>
      </c>
      <c r="F51">
        <v>-1342.0540575303476</v>
      </c>
      <c r="G51">
        <v>-1342.0540575303476</v>
      </c>
      <c r="H51">
        <v>-1342.0540575303476</v>
      </c>
      <c r="I51">
        <v>-1342.0540575303476</v>
      </c>
      <c r="J51">
        <v>-1342.0540575303476</v>
      </c>
      <c r="K51">
        <v>-1342.0540575303476</v>
      </c>
      <c r="L51">
        <v>-1342.0540575303476</v>
      </c>
      <c r="M51">
        <v>-1342.0540575303476</v>
      </c>
      <c r="N51">
        <v>-1342.0540575303476</v>
      </c>
      <c r="O51">
        <v>-1342.0540575303476</v>
      </c>
      <c r="P51">
        <v>-1342.0540575303476</v>
      </c>
      <c r="Q51">
        <v>-1342.0540575303476</v>
      </c>
      <c r="R51">
        <v>-1342.0540575303476</v>
      </c>
      <c r="S51">
        <v>-1342.0540575303476</v>
      </c>
    </row>
    <row r="52" spans="5:19" x14ac:dyDescent="0.25">
      <c r="E52">
        <v>300000</v>
      </c>
      <c r="F52">
        <v>-1342.0540575303476</v>
      </c>
      <c r="G52">
        <v>-1342.0540575303476</v>
      </c>
      <c r="H52">
        <v>-1342.0540575303476</v>
      </c>
      <c r="I52">
        <v>-1342.0540575303476</v>
      </c>
      <c r="J52">
        <v>-1342.0540575303476</v>
      </c>
      <c r="K52">
        <v>-1342.0540575303476</v>
      </c>
      <c r="L52">
        <v>-1342.0540575303476</v>
      </c>
      <c r="M52">
        <v>-1342.0540575303476</v>
      </c>
      <c r="N52">
        <v>-1342.0540575303476</v>
      </c>
      <c r="O52">
        <v>-1342.0540575303476</v>
      </c>
      <c r="P52">
        <v>-1342.0540575303476</v>
      </c>
      <c r="Q52">
        <v>-1342.0540575303476</v>
      </c>
      <c r="R52">
        <v>-1342.0540575303476</v>
      </c>
      <c r="S52">
        <v>-1342.0540575303476</v>
      </c>
    </row>
    <row r="53" spans="5:19" x14ac:dyDescent="0.25">
      <c r="E53">
        <v>325000</v>
      </c>
      <c r="F53">
        <v>-1342.0540575303476</v>
      </c>
      <c r="G53">
        <v>-1342.0540575303476</v>
      </c>
      <c r="H53">
        <v>-1342.0540575303476</v>
      </c>
      <c r="I53">
        <v>-1342.0540575303476</v>
      </c>
      <c r="J53">
        <v>-1342.0540575303476</v>
      </c>
      <c r="K53">
        <v>-1342.0540575303476</v>
      </c>
      <c r="L53">
        <v>-1342.0540575303476</v>
      </c>
      <c r="M53">
        <v>-1342.0540575303476</v>
      </c>
      <c r="N53">
        <v>-1342.0540575303476</v>
      </c>
      <c r="O53">
        <v>-1342.0540575303476</v>
      </c>
      <c r="P53">
        <v>-1342.0540575303476</v>
      </c>
      <c r="Q53">
        <v>-1342.0540575303476</v>
      </c>
      <c r="R53">
        <v>-1342.0540575303476</v>
      </c>
      <c r="S53">
        <v>-1342.0540575303476</v>
      </c>
    </row>
    <row r="54" spans="5:19" x14ac:dyDescent="0.25">
      <c r="E54">
        <v>350000</v>
      </c>
      <c r="F54">
        <v>-1342.0540575303476</v>
      </c>
      <c r="G54">
        <v>-1342.0540575303476</v>
      </c>
      <c r="H54">
        <v>-1342.0540575303476</v>
      </c>
      <c r="I54">
        <v>-1342.0540575303476</v>
      </c>
      <c r="J54">
        <v>-1342.0540575303476</v>
      </c>
      <c r="K54">
        <v>-1342.0540575303476</v>
      </c>
      <c r="L54">
        <v>-1342.0540575303476</v>
      </c>
      <c r="M54">
        <v>-1342.0540575303476</v>
      </c>
      <c r="N54">
        <v>-1342.0540575303476</v>
      </c>
      <c r="O54">
        <v>-1342.0540575303476</v>
      </c>
      <c r="P54">
        <v>-1342.0540575303476</v>
      </c>
      <c r="Q54">
        <v>-1342.0540575303476</v>
      </c>
      <c r="R54">
        <v>-1342.0540575303476</v>
      </c>
      <c r="S54">
        <v>-1342.0540575303476</v>
      </c>
    </row>
  </sheetData>
  <conditionalFormatting sqref="F45:S54">
    <cfRule type="cellIs" dxfId="20" priority="1" operator="between">
      <formula>-1100</formula>
      <formula>-1200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6218-5A28-4853-BA11-45F4F62F78C0}">
  <sheetPr codeName="Hoja20"/>
  <dimension ref="A1:F25"/>
  <sheetViews>
    <sheetView workbookViewId="0"/>
  </sheetViews>
  <sheetFormatPr baseColWidth="10" defaultRowHeight="15" x14ac:dyDescent="0.25"/>
  <cols>
    <col min="2" max="2" width="34.28515625" customWidth="1"/>
  </cols>
  <sheetData>
    <row r="1" spans="1:3" x14ac:dyDescent="0.25">
      <c r="A1" t="s">
        <v>100</v>
      </c>
      <c r="B1" t="str">
        <f>LEFT(A1,4)</f>
        <v>7774</v>
      </c>
      <c r="C1" t="str">
        <f>RIGHT(A1,3)</f>
        <v>DRW</v>
      </c>
    </row>
    <row r="2" spans="1:3" x14ac:dyDescent="0.25">
      <c r="A2" t="s">
        <v>101</v>
      </c>
    </row>
    <row r="4" spans="1:3" x14ac:dyDescent="0.25">
      <c r="B4" t="str">
        <f>MID(A1,4,2)</f>
        <v>4D</v>
      </c>
    </row>
    <row r="7" spans="1:3" x14ac:dyDescent="0.25">
      <c r="B7" t="str">
        <f>LEFT(A1,5)</f>
        <v>7774D</v>
      </c>
      <c r="C7" t="str">
        <f>RIGHT(LEFT(A1,5),2)</f>
        <v>4D</v>
      </c>
    </row>
    <row r="9" spans="1:3" x14ac:dyDescent="0.25">
      <c r="B9">
        <f>IFERROR(SEARCH("4D",A1),"NO CONTIENE EL TEXTO BUSCADO")</f>
        <v>4</v>
      </c>
    </row>
    <row r="10" spans="1:3" x14ac:dyDescent="0.25">
      <c r="B10" t="str">
        <f>IFERROR(SEARCH("4D",A2),"NO CONTIENE EL TEXTO BUSCADO")</f>
        <v>NO CONTIENE EL TEXTO BUSCADO</v>
      </c>
    </row>
    <row r="13" spans="1:3" x14ac:dyDescent="0.25">
      <c r="B13" t="str">
        <f>PROPER(A2)</f>
        <v>5869Jio</v>
      </c>
    </row>
    <row r="17" spans="2:6" x14ac:dyDescent="0.25">
      <c r="B17" t="s">
        <v>69</v>
      </c>
      <c r="C17" t="str" cm="1">
        <f t="array" ref="C17:F17">_xlfn.TEXTSPLIT(B17," ")</f>
        <v>"Ricardo</v>
      </c>
      <c r="D17" t="str">
        <v>Ángel"</v>
      </c>
      <c r="E17" t="str">
        <v>"Rubio"</v>
      </c>
      <c r="F17" t="str">
        <v>"Quilez"</v>
      </c>
    </row>
    <row r="18" spans="2:6" x14ac:dyDescent="0.25">
      <c r="B18" t="s">
        <v>65</v>
      </c>
      <c r="C18" t="str" cm="1">
        <f t="array" ref="C18:E18">_xlfn.TEXTSPLIT(B18," ")</f>
        <v>Laura</v>
      </c>
      <c r="D18" t="str">
        <v/>
      </c>
      <c r="E18" t="str">
        <v>Ruiz</v>
      </c>
    </row>
    <row r="19" spans="2:6" x14ac:dyDescent="0.25">
      <c r="B19" t="s">
        <v>59</v>
      </c>
      <c r="C19" t="str" cm="1">
        <f t="array" ref="C19:E19">_xlfn.TEXTSPLIT(B19," ")</f>
        <v>Pedro</v>
      </c>
      <c r="D19" t="str">
        <v>Gil</v>
      </c>
      <c r="E19" t="str">
        <v>Sanz</v>
      </c>
    </row>
    <row r="23" spans="2:6" x14ac:dyDescent="0.25">
      <c r="B23" t="s">
        <v>102</v>
      </c>
    </row>
    <row r="24" spans="2:6" x14ac:dyDescent="0.25">
      <c r="B24" t="str" cm="1">
        <f t="array" ref="B24:D25">_xlfn.TEXTSPLIT(B23,";","#")</f>
        <v>Ricardo</v>
      </c>
      <c r="C24" t="str">
        <v>Laura</v>
      </c>
      <c r="D24" t="str">
        <v>Marco</v>
      </c>
    </row>
    <row r="25" spans="2:6" x14ac:dyDescent="0.25">
      <c r="B25" t="str">
        <v>26</v>
      </c>
      <c r="C25" t="str">
        <v>84</v>
      </c>
      <c r="D25" t="str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41DE-09CE-4C01-ADDA-8ABEA03E1DF7}">
  <sheetPr codeName="Hoja21"/>
  <dimension ref="A1:O56"/>
  <sheetViews>
    <sheetView workbookViewId="0">
      <selection activeCell="H28" sqref="H28"/>
    </sheetView>
  </sheetViews>
  <sheetFormatPr baseColWidth="10" defaultRowHeight="15" x14ac:dyDescent="0.25"/>
  <cols>
    <col min="2" max="2" width="19.42578125" customWidth="1"/>
    <col min="10" max="10" width="16.42578125" customWidth="1"/>
    <col min="12" max="12" width="17.5703125" customWidth="1"/>
    <col min="14" max="14" width="14.85546875" customWidth="1"/>
  </cols>
  <sheetData>
    <row r="1" spans="1:15" x14ac:dyDescent="0.25">
      <c r="E1" t="s">
        <v>12</v>
      </c>
      <c r="F1" t="s">
        <v>14</v>
      </c>
      <c r="G1" t="s">
        <v>13</v>
      </c>
      <c r="I1" t="str" cm="1">
        <f t="array" ref="I1:K20">_xlfn.VSTACK(_xlfn._TRO_ALL(A2:C19),_xlfn.DROP(_xlfn._TRO_ALL(E1:G19),1))</f>
        <v>Mes</v>
      </c>
      <c r="J1" t="str">
        <v>Agua</v>
      </c>
      <c r="K1" t="str">
        <v>Luz</v>
      </c>
      <c r="M1" t="str" cm="1">
        <f t="array" ref="M1:O20">_xlfn.ANCHORARRAY(I1)</f>
        <v>Mes</v>
      </c>
      <c r="N1" t="str">
        <v>Agua</v>
      </c>
      <c r="O1" t="str">
        <v>Luz</v>
      </c>
    </row>
    <row r="2" spans="1:15" x14ac:dyDescent="0.25">
      <c r="A2" t="s">
        <v>12</v>
      </c>
      <c r="B2" t="s">
        <v>14</v>
      </c>
      <c r="C2" t="s">
        <v>13</v>
      </c>
      <c r="E2" t="s">
        <v>6</v>
      </c>
      <c r="F2">
        <v>70</v>
      </c>
      <c r="G2">
        <v>70</v>
      </c>
      <c r="I2" t="str">
        <v>Enero</v>
      </c>
      <c r="J2">
        <v>10</v>
      </c>
      <c r="K2">
        <v>130</v>
      </c>
      <c r="M2" t="str">
        <v>Enero</v>
      </c>
      <c r="N2">
        <v>10</v>
      </c>
      <c r="O2">
        <v>130</v>
      </c>
    </row>
    <row r="3" spans="1:15" x14ac:dyDescent="0.25">
      <c r="A3" t="s">
        <v>0</v>
      </c>
      <c r="B3">
        <v>10</v>
      </c>
      <c r="C3">
        <v>130</v>
      </c>
      <c r="E3" t="s">
        <v>7</v>
      </c>
      <c r="F3">
        <v>80</v>
      </c>
      <c r="G3">
        <v>60</v>
      </c>
      <c r="I3" t="str">
        <v>Febrero</v>
      </c>
      <c r="J3">
        <v>20</v>
      </c>
      <c r="K3">
        <v>120</v>
      </c>
      <c r="M3" t="str">
        <v>Febrero</v>
      </c>
      <c r="N3">
        <v>20</v>
      </c>
      <c r="O3">
        <v>120</v>
      </c>
    </row>
    <row r="4" spans="1:15" x14ac:dyDescent="0.25">
      <c r="A4" t="s">
        <v>1</v>
      </c>
      <c r="B4">
        <v>20</v>
      </c>
      <c r="C4">
        <v>120</v>
      </c>
      <c r="E4" t="s">
        <v>8</v>
      </c>
      <c r="F4">
        <v>90</v>
      </c>
      <c r="G4">
        <v>50</v>
      </c>
      <c r="I4" t="str">
        <v>Marzo</v>
      </c>
      <c r="J4">
        <v>30</v>
      </c>
      <c r="K4">
        <v>110</v>
      </c>
      <c r="M4" t="str">
        <v>Marzo</v>
      </c>
      <c r="N4">
        <v>30</v>
      </c>
      <c r="O4">
        <v>110</v>
      </c>
    </row>
    <row r="5" spans="1:15" x14ac:dyDescent="0.25">
      <c r="A5" t="s">
        <v>2</v>
      </c>
      <c r="B5">
        <v>30</v>
      </c>
      <c r="C5">
        <v>110</v>
      </c>
      <c r="E5" t="s">
        <v>9</v>
      </c>
      <c r="F5">
        <v>100</v>
      </c>
      <c r="G5">
        <v>40</v>
      </c>
      <c r="I5" t="str">
        <v>Abril</v>
      </c>
      <c r="J5">
        <v>40</v>
      </c>
      <c r="K5">
        <v>100</v>
      </c>
      <c r="M5" t="str">
        <v>Abril</v>
      </c>
      <c r="N5">
        <v>40</v>
      </c>
      <c r="O5">
        <v>100</v>
      </c>
    </row>
    <row r="6" spans="1:15" x14ac:dyDescent="0.25">
      <c r="A6" t="s">
        <v>3</v>
      </c>
      <c r="B6">
        <v>40</v>
      </c>
      <c r="C6">
        <v>100</v>
      </c>
      <c r="E6" t="s">
        <v>10</v>
      </c>
      <c r="F6">
        <v>110</v>
      </c>
      <c r="G6">
        <v>30</v>
      </c>
      <c r="I6" t="str">
        <v>Mayo</v>
      </c>
      <c r="J6">
        <v>50</v>
      </c>
      <c r="K6">
        <v>90</v>
      </c>
      <c r="M6" t="str">
        <v>Mayo</v>
      </c>
      <c r="N6">
        <v>50</v>
      </c>
      <c r="O6">
        <v>90</v>
      </c>
    </row>
    <row r="7" spans="1:15" x14ac:dyDescent="0.25">
      <c r="A7" t="s">
        <v>4</v>
      </c>
      <c r="B7">
        <v>50</v>
      </c>
      <c r="C7">
        <v>90</v>
      </c>
      <c r="E7" t="s">
        <v>11</v>
      </c>
      <c r="F7">
        <v>120</v>
      </c>
      <c r="G7">
        <v>20</v>
      </c>
      <c r="I7" t="str">
        <v>Junio</v>
      </c>
      <c r="J7">
        <v>60</v>
      </c>
      <c r="K7">
        <v>80</v>
      </c>
      <c r="M7" t="str">
        <v>Junio</v>
      </c>
      <c r="N7">
        <v>60</v>
      </c>
      <c r="O7">
        <v>80</v>
      </c>
    </row>
    <row r="8" spans="1:15" x14ac:dyDescent="0.25">
      <c r="A8" t="s">
        <v>5</v>
      </c>
      <c r="B8">
        <v>60</v>
      </c>
      <c r="C8">
        <v>80</v>
      </c>
      <c r="E8" t="s">
        <v>103</v>
      </c>
      <c r="I8" t="str">
        <v>Julio</v>
      </c>
      <c r="J8">
        <v>70</v>
      </c>
      <c r="K8">
        <v>70</v>
      </c>
      <c r="M8" t="str">
        <v>Julio</v>
      </c>
      <c r="N8">
        <v>70</v>
      </c>
      <c r="O8">
        <v>70</v>
      </c>
    </row>
    <row r="9" spans="1:15" x14ac:dyDescent="0.25">
      <c r="A9" t="s">
        <v>6</v>
      </c>
      <c r="B9">
        <v>70</v>
      </c>
      <c r="C9">
        <v>70</v>
      </c>
      <c r="I9" t="str">
        <v>Agosto</v>
      </c>
      <c r="J9">
        <v>80</v>
      </c>
      <c r="K9">
        <v>60</v>
      </c>
      <c r="M9" t="str">
        <v>Agosto</v>
      </c>
      <c r="N9">
        <v>80</v>
      </c>
      <c r="O9">
        <v>60</v>
      </c>
    </row>
    <row r="10" spans="1:15" x14ac:dyDescent="0.25">
      <c r="A10" t="s">
        <v>7</v>
      </c>
      <c r="B10">
        <v>80</v>
      </c>
      <c r="C10">
        <v>60</v>
      </c>
      <c r="I10" t="str">
        <v>Septiembre</v>
      </c>
      <c r="J10">
        <v>90</v>
      </c>
      <c r="K10">
        <v>50</v>
      </c>
      <c r="M10" t="str">
        <v>Septiembre</v>
      </c>
      <c r="N10">
        <v>90</v>
      </c>
      <c r="O10">
        <v>50</v>
      </c>
    </row>
    <row r="11" spans="1:15" x14ac:dyDescent="0.25">
      <c r="A11" t="s">
        <v>8</v>
      </c>
      <c r="B11">
        <v>90</v>
      </c>
      <c r="C11">
        <v>50</v>
      </c>
      <c r="I11" t="str">
        <v>Octubre</v>
      </c>
      <c r="J11">
        <v>100</v>
      </c>
      <c r="K11">
        <v>40</v>
      </c>
      <c r="M11" t="str">
        <v>Octubre</v>
      </c>
      <c r="N11">
        <v>100</v>
      </c>
      <c r="O11">
        <v>40</v>
      </c>
    </row>
    <row r="12" spans="1:15" x14ac:dyDescent="0.25">
      <c r="A12" t="s">
        <v>9</v>
      </c>
      <c r="B12">
        <v>100</v>
      </c>
      <c r="C12">
        <v>40</v>
      </c>
      <c r="I12" t="str">
        <v>Noviembre</v>
      </c>
      <c r="J12">
        <v>110</v>
      </c>
      <c r="K12">
        <v>30</v>
      </c>
      <c r="M12" t="str">
        <v>Noviembre</v>
      </c>
      <c r="N12">
        <v>110</v>
      </c>
      <c r="O12">
        <v>30</v>
      </c>
    </row>
    <row r="13" spans="1:15" x14ac:dyDescent="0.25">
      <c r="A13" t="s">
        <v>10</v>
      </c>
      <c r="B13">
        <v>110</v>
      </c>
      <c r="C13">
        <v>30</v>
      </c>
      <c r="I13" t="str">
        <v>Diciembre</v>
      </c>
      <c r="J13">
        <v>120</v>
      </c>
      <c r="K13">
        <v>20</v>
      </c>
      <c r="M13" t="str">
        <v>Diciembre</v>
      </c>
      <c r="N13">
        <v>120</v>
      </c>
      <c r="O13">
        <v>20</v>
      </c>
    </row>
    <row r="14" spans="1:15" x14ac:dyDescent="0.25">
      <c r="A14" t="s">
        <v>11</v>
      </c>
      <c r="B14">
        <v>120</v>
      </c>
      <c r="C14">
        <v>20</v>
      </c>
      <c r="I14" t="str">
        <v>Julio</v>
      </c>
      <c r="J14">
        <v>70</v>
      </c>
      <c r="K14">
        <v>70</v>
      </c>
      <c r="M14" t="str">
        <v>Julio</v>
      </c>
      <c r="N14">
        <v>70</v>
      </c>
      <c r="O14">
        <v>70</v>
      </c>
    </row>
    <row r="15" spans="1:15" x14ac:dyDescent="0.25">
      <c r="I15" t="str">
        <v>Agosto</v>
      </c>
      <c r="J15">
        <v>80</v>
      </c>
      <c r="K15">
        <v>60</v>
      </c>
      <c r="M15" t="str">
        <v>Agosto</v>
      </c>
      <c r="N15">
        <v>80</v>
      </c>
      <c r="O15">
        <v>60</v>
      </c>
    </row>
    <row r="16" spans="1:15" x14ac:dyDescent="0.25">
      <c r="I16" t="str">
        <v>Septiembre</v>
      </c>
      <c r="J16">
        <v>90</v>
      </c>
      <c r="K16">
        <v>50</v>
      </c>
      <c r="M16" t="str">
        <v>Septiembre</v>
      </c>
      <c r="N16">
        <v>90</v>
      </c>
      <c r="O16">
        <v>50</v>
      </c>
    </row>
    <row r="17" spans="1:15" x14ac:dyDescent="0.25">
      <c r="I17" t="str">
        <v>Octubre</v>
      </c>
      <c r="J17">
        <v>100</v>
      </c>
      <c r="K17">
        <v>40</v>
      </c>
      <c r="M17" t="str">
        <v>Octubre</v>
      </c>
      <c r="N17">
        <v>100</v>
      </c>
      <c r="O17">
        <v>40</v>
      </c>
    </row>
    <row r="18" spans="1:15" x14ac:dyDescent="0.25">
      <c r="I18" t="str">
        <v>Noviembre</v>
      </c>
      <c r="J18">
        <v>110</v>
      </c>
      <c r="K18">
        <v>30</v>
      </c>
      <c r="M18" t="str">
        <v>Noviembre</v>
      </c>
      <c r="N18">
        <v>110</v>
      </c>
      <c r="O18">
        <v>30</v>
      </c>
    </row>
    <row r="19" spans="1:15" x14ac:dyDescent="0.25">
      <c r="I19" t="str">
        <v>Diciembre</v>
      </c>
      <c r="J19">
        <v>120</v>
      </c>
      <c r="K19">
        <v>20</v>
      </c>
      <c r="M19" t="str">
        <v>Diciembre</v>
      </c>
      <c r="N19">
        <v>120</v>
      </c>
      <c r="O19">
        <v>20</v>
      </c>
    </row>
    <row r="20" spans="1:15" x14ac:dyDescent="0.25">
      <c r="I20" t="str">
        <v>Pepino</v>
      </c>
      <c r="J20">
        <v>0</v>
      </c>
      <c r="K20">
        <v>0</v>
      </c>
      <c r="M20" t="str">
        <v>Pepino</v>
      </c>
      <c r="N20">
        <v>0</v>
      </c>
      <c r="O20">
        <v>0</v>
      </c>
    </row>
    <row r="24" spans="1:15" x14ac:dyDescent="0.25">
      <c r="D24" t="str" cm="1">
        <f t="array" ref="D24:F24">_xlfn.TAKE(E1:G8,-1)</f>
        <v>Pepino</v>
      </c>
      <c r="E24">
        <v>0</v>
      </c>
      <c r="F24">
        <v>0</v>
      </c>
    </row>
    <row r="29" spans="1:15" x14ac:dyDescent="0.25">
      <c r="I29" t="s">
        <v>105</v>
      </c>
      <c r="J29">
        <v>70</v>
      </c>
      <c r="L29" t="s">
        <v>106</v>
      </c>
    </row>
    <row r="30" spans="1:15" x14ac:dyDescent="0.25">
      <c r="A30" t="s">
        <v>12</v>
      </c>
      <c r="B30" t="s">
        <v>107</v>
      </c>
      <c r="C30" t="s">
        <v>13</v>
      </c>
      <c r="E30" t="str" cm="1">
        <f t="array" ref="E30:G30">_xlfn.TAKE(_xlfn._xlws.FILTER(A30:C49,C30:C49&lt;J29,"NO HAY DATOS"),J30)</f>
        <v>Agosto</v>
      </c>
      <c r="F30">
        <v>80</v>
      </c>
      <c r="G30">
        <v>60</v>
      </c>
      <c r="I30" t="s">
        <v>104</v>
      </c>
      <c r="J30">
        <v>1</v>
      </c>
    </row>
    <row r="31" spans="1:15" x14ac:dyDescent="0.25">
      <c r="A31" t="s">
        <v>0</v>
      </c>
      <c r="B31">
        <v>10</v>
      </c>
      <c r="C31">
        <v>130</v>
      </c>
    </row>
    <row r="32" spans="1:15" x14ac:dyDescent="0.25">
      <c r="A32" t="s">
        <v>1</v>
      </c>
      <c r="B32">
        <v>20</v>
      </c>
      <c r="C32">
        <v>120</v>
      </c>
    </row>
    <row r="33" spans="1:15" x14ac:dyDescent="0.25">
      <c r="A33" t="s">
        <v>2</v>
      </c>
      <c r="B33">
        <v>30</v>
      </c>
      <c r="C33">
        <v>110</v>
      </c>
    </row>
    <row r="34" spans="1:15" x14ac:dyDescent="0.25">
      <c r="A34" t="s">
        <v>3</v>
      </c>
      <c r="B34">
        <v>40</v>
      </c>
      <c r="C34">
        <v>100</v>
      </c>
    </row>
    <row r="35" spans="1:15" x14ac:dyDescent="0.25">
      <c r="A35" t="s">
        <v>4</v>
      </c>
      <c r="B35">
        <v>50</v>
      </c>
      <c r="C35">
        <v>90</v>
      </c>
    </row>
    <row r="36" spans="1:15" x14ac:dyDescent="0.25">
      <c r="A36" t="s">
        <v>5</v>
      </c>
      <c r="B36">
        <v>60</v>
      </c>
      <c r="C36">
        <v>80</v>
      </c>
    </row>
    <row r="37" spans="1:15" x14ac:dyDescent="0.25">
      <c r="A37" t="s">
        <v>6</v>
      </c>
      <c r="B37">
        <v>70</v>
      </c>
      <c r="C37">
        <v>70</v>
      </c>
      <c r="I37" t="str" cm="1">
        <f t="array" ref="I37:K37">_xlfn.TAKE(A30:C49,1)</f>
        <v>Mes</v>
      </c>
      <c r="J37" t="str">
        <v>Agua y basuras</v>
      </c>
      <c r="K37" t="str">
        <v>Luz</v>
      </c>
      <c r="M37" t="str" cm="1">
        <f t="array" ref="M37:O56">_xlfn.VSTACK({"Mes","Agua y basuras","Luz"},_xlfn._xlws.SORT(A31:C49,1,1))</f>
        <v>Mes</v>
      </c>
      <c r="N37" t="str">
        <v>Agua y basuras</v>
      </c>
      <c r="O37" t="str">
        <v>Luz</v>
      </c>
    </row>
    <row r="38" spans="1:15" x14ac:dyDescent="0.25">
      <c r="A38" t="s">
        <v>7</v>
      </c>
      <c r="B38">
        <v>80</v>
      </c>
      <c r="C38">
        <v>60</v>
      </c>
      <c r="I38" t="str" cm="1">
        <f t="array" ref="I38:K56">_xlfn._xlws.SORT(A31:C49,1,1)</f>
        <v>Abril</v>
      </c>
      <c r="J38">
        <v>40</v>
      </c>
      <c r="K38">
        <v>100</v>
      </c>
      <c r="M38" t="str">
        <v>Abril</v>
      </c>
      <c r="N38">
        <v>40</v>
      </c>
      <c r="O38">
        <v>100</v>
      </c>
    </row>
    <row r="39" spans="1:15" x14ac:dyDescent="0.25">
      <c r="A39" t="s">
        <v>8</v>
      </c>
      <c r="B39">
        <v>90</v>
      </c>
      <c r="C39">
        <v>50</v>
      </c>
      <c r="I39" t="str">
        <v>Agosto</v>
      </c>
      <c r="J39">
        <v>80</v>
      </c>
      <c r="K39">
        <v>60</v>
      </c>
      <c r="M39" t="str">
        <v>Agosto</v>
      </c>
      <c r="N39">
        <v>80</v>
      </c>
      <c r="O39">
        <v>60</v>
      </c>
    </row>
    <row r="40" spans="1:15" x14ac:dyDescent="0.25">
      <c r="A40" t="s">
        <v>9</v>
      </c>
      <c r="B40">
        <v>100</v>
      </c>
      <c r="C40">
        <v>40</v>
      </c>
      <c r="I40" t="str">
        <v>Agosto</v>
      </c>
      <c r="J40">
        <v>80</v>
      </c>
      <c r="K40">
        <v>60</v>
      </c>
      <c r="M40" t="str">
        <v>Agosto</v>
      </c>
      <c r="N40">
        <v>80</v>
      </c>
      <c r="O40">
        <v>60</v>
      </c>
    </row>
    <row r="41" spans="1:15" x14ac:dyDescent="0.25">
      <c r="A41" t="s">
        <v>10</v>
      </c>
      <c r="B41">
        <v>110</v>
      </c>
      <c r="C41">
        <v>30</v>
      </c>
      <c r="I41" t="str">
        <v>Diciembre</v>
      </c>
      <c r="J41">
        <v>120</v>
      </c>
      <c r="K41">
        <v>20</v>
      </c>
      <c r="M41" t="str">
        <v>Diciembre</v>
      </c>
      <c r="N41">
        <v>120</v>
      </c>
      <c r="O41">
        <v>20</v>
      </c>
    </row>
    <row r="42" spans="1:15" x14ac:dyDescent="0.25">
      <c r="A42" t="s">
        <v>11</v>
      </c>
      <c r="B42">
        <v>120</v>
      </c>
      <c r="C42">
        <v>20</v>
      </c>
      <c r="I42" t="str">
        <v>Diciembre</v>
      </c>
      <c r="J42">
        <v>120</v>
      </c>
      <c r="K42">
        <v>20</v>
      </c>
      <c r="M42" t="str">
        <v>Diciembre</v>
      </c>
      <c r="N42">
        <v>120</v>
      </c>
      <c r="O42">
        <v>20</v>
      </c>
    </row>
    <row r="43" spans="1:15" x14ac:dyDescent="0.25">
      <c r="A43" t="s">
        <v>6</v>
      </c>
      <c r="B43">
        <v>70</v>
      </c>
      <c r="C43">
        <v>70</v>
      </c>
      <c r="I43" t="str">
        <v>Enero</v>
      </c>
      <c r="J43">
        <v>10</v>
      </c>
      <c r="K43">
        <v>130</v>
      </c>
      <c r="M43" t="str">
        <v>Enero</v>
      </c>
      <c r="N43">
        <v>10</v>
      </c>
      <c r="O43">
        <v>130</v>
      </c>
    </row>
    <row r="44" spans="1:15" x14ac:dyDescent="0.25">
      <c r="A44" t="s">
        <v>7</v>
      </c>
      <c r="B44">
        <v>80</v>
      </c>
      <c r="C44">
        <v>60</v>
      </c>
      <c r="I44" t="str">
        <v>Febrero</v>
      </c>
      <c r="J44">
        <v>20</v>
      </c>
      <c r="K44">
        <v>120</v>
      </c>
      <c r="M44" t="str">
        <v>Febrero</v>
      </c>
      <c r="N44">
        <v>20</v>
      </c>
      <c r="O44">
        <v>120</v>
      </c>
    </row>
    <row r="45" spans="1:15" x14ac:dyDescent="0.25">
      <c r="A45" t="s">
        <v>8</v>
      </c>
      <c r="B45">
        <v>90</v>
      </c>
      <c r="C45">
        <v>50</v>
      </c>
      <c r="I45" t="str">
        <v>Julio</v>
      </c>
      <c r="J45">
        <v>70</v>
      </c>
      <c r="K45">
        <v>70</v>
      </c>
      <c r="M45" t="str">
        <v>Julio</v>
      </c>
      <c r="N45">
        <v>70</v>
      </c>
      <c r="O45">
        <v>70</v>
      </c>
    </row>
    <row r="46" spans="1:15" x14ac:dyDescent="0.25">
      <c r="A46" t="s">
        <v>9</v>
      </c>
      <c r="B46">
        <v>100</v>
      </c>
      <c r="C46">
        <v>40</v>
      </c>
      <c r="I46" t="str">
        <v>Julio</v>
      </c>
      <c r="J46">
        <v>70</v>
      </c>
      <c r="K46">
        <v>70</v>
      </c>
      <c r="M46" t="str">
        <v>Julio</v>
      </c>
      <c r="N46">
        <v>70</v>
      </c>
      <c r="O46">
        <v>70</v>
      </c>
    </row>
    <row r="47" spans="1:15" x14ac:dyDescent="0.25">
      <c r="A47" t="s">
        <v>10</v>
      </c>
      <c r="B47">
        <v>110</v>
      </c>
      <c r="C47">
        <v>30</v>
      </c>
      <c r="I47" t="str">
        <v>Junio</v>
      </c>
      <c r="J47">
        <v>60</v>
      </c>
      <c r="K47">
        <v>80</v>
      </c>
      <c r="M47" t="str">
        <v>Junio</v>
      </c>
      <c r="N47">
        <v>60</v>
      </c>
      <c r="O47">
        <v>80</v>
      </c>
    </row>
    <row r="48" spans="1:15" x14ac:dyDescent="0.25">
      <c r="A48" t="s">
        <v>11</v>
      </c>
      <c r="B48">
        <v>120</v>
      </c>
      <c r="C48">
        <v>20</v>
      </c>
      <c r="I48" t="str">
        <v>Marzo</v>
      </c>
      <c r="J48">
        <v>30</v>
      </c>
      <c r="K48">
        <v>110</v>
      </c>
      <c r="M48" t="str">
        <v>Marzo</v>
      </c>
      <c r="N48">
        <v>30</v>
      </c>
      <c r="O48">
        <v>110</v>
      </c>
    </row>
    <row r="49" spans="1:15" x14ac:dyDescent="0.25">
      <c r="A49" t="s">
        <v>103</v>
      </c>
      <c r="B49">
        <v>0</v>
      </c>
      <c r="C49">
        <v>0</v>
      </c>
      <c r="I49" t="str">
        <v>Mayo</v>
      </c>
      <c r="J49">
        <v>50</v>
      </c>
      <c r="K49">
        <v>90</v>
      </c>
      <c r="M49" t="str">
        <v>Mayo</v>
      </c>
      <c r="N49">
        <v>50</v>
      </c>
      <c r="O49">
        <v>90</v>
      </c>
    </row>
    <row r="50" spans="1:15" x14ac:dyDescent="0.25">
      <c r="I50" t="str">
        <v>Noviembre</v>
      </c>
      <c r="J50">
        <v>110</v>
      </c>
      <c r="K50">
        <v>30</v>
      </c>
      <c r="M50" t="str">
        <v>Noviembre</v>
      </c>
      <c r="N50">
        <v>110</v>
      </c>
      <c r="O50">
        <v>30</v>
      </c>
    </row>
    <row r="51" spans="1:15" x14ac:dyDescent="0.25">
      <c r="I51" t="str">
        <v>Noviembre</v>
      </c>
      <c r="J51">
        <v>110</v>
      </c>
      <c r="K51">
        <v>30</v>
      </c>
      <c r="M51" t="str">
        <v>Noviembre</v>
      </c>
      <c r="N51">
        <v>110</v>
      </c>
      <c r="O51">
        <v>30</v>
      </c>
    </row>
    <row r="52" spans="1:15" x14ac:dyDescent="0.25">
      <c r="I52" t="str">
        <v>Octubre</v>
      </c>
      <c r="J52">
        <v>100</v>
      </c>
      <c r="K52">
        <v>40</v>
      </c>
      <c r="M52" t="str">
        <v>Octubre</v>
      </c>
      <c r="N52">
        <v>100</v>
      </c>
      <c r="O52">
        <v>40</v>
      </c>
    </row>
    <row r="53" spans="1:15" x14ac:dyDescent="0.25">
      <c r="I53" t="str">
        <v>Octubre</v>
      </c>
      <c r="J53">
        <v>100</v>
      </c>
      <c r="K53">
        <v>40</v>
      </c>
      <c r="M53" t="str">
        <v>Octubre</v>
      </c>
      <c r="N53">
        <v>100</v>
      </c>
      <c r="O53">
        <v>40</v>
      </c>
    </row>
    <row r="54" spans="1:15" x14ac:dyDescent="0.25">
      <c r="I54" t="str">
        <v>Pepino</v>
      </c>
      <c r="J54">
        <v>0</v>
      </c>
      <c r="K54">
        <v>0</v>
      </c>
      <c r="M54" t="str">
        <v>Pepino</v>
      </c>
      <c r="N54">
        <v>0</v>
      </c>
      <c r="O54">
        <v>0</v>
      </c>
    </row>
    <row r="55" spans="1:15" x14ac:dyDescent="0.25">
      <c r="I55" t="str">
        <v>Septiembre</v>
      </c>
      <c r="J55">
        <v>90</v>
      </c>
      <c r="K55">
        <v>50</v>
      </c>
      <c r="M55" t="str">
        <v>Septiembre</v>
      </c>
      <c r="N55">
        <v>90</v>
      </c>
      <c r="O55">
        <v>50</v>
      </c>
    </row>
    <row r="56" spans="1:15" x14ac:dyDescent="0.25">
      <c r="I56" t="str">
        <v>Septiembre</v>
      </c>
      <c r="J56">
        <v>90</v>
      </c>
      <c r="K56">
        <v>50</v>
      </c>
      <c r="M56" t="str">
        <v>Septiembre</v>
      </c>
      <c r="N56">
        <v>90</v>
      </c>
      <c r="O56">
        <v>50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19C8-07E1-4655-953F-AA8FF68786BD}">
  <sheetPr codeName="Hoja22"/>
  <dimension ref="B3:P36"/>
  <sheetViews>
    <sheetView topLeftCell="A7" workbookViewId="0"/>
  </sheetViews>
  <sheetFormatPr baseColWidth="10" defaultRowHeight="15" x14ac:dyDescent="0.25"/>
  <cols>
    <col min="7" max="7" width="40.7109375" customWidth="1"/>
    <col min="8" max="8" width="11.7109375" bestFit="1" customWidth="1"/>
  </cols>
  <sheetData>
    <row r="3" spans="2:16" x14ac:dyDescent="0.25">
      <c r="D3" s="5">
        <f ca="1">TODAY()</f>
        <v>46245</v>
      </c>
    </row>
    <row r="4" spans="2:16" x14ac:dyDescent="0.25">
      <c r="G4" s="5"/>
      <c r="M4" t="str" cm="1">
        <f t="array" aca="1" ref="M4:P16" ca="1">_xlfn.VSTACK(TRANSPOSE({"Meses";"Luz";"Agua";"Teléfono"}),_xlfn.HSTACK(PROPER(TEXT(DATE(2026,_xlfn.SEQUENCE(12),1),"mmmm")),_xlfn.RANDARRAY(12,3,25,75,FALSE)))</f>
        <v>Meses</v>
      </c>
      <c r="N4" t="str">
        <f ca="1"/>
        <v>Luz</v>
      </c>
      <c r="O4" t="str">
        <f ca="1"/>
        <v>Agua</v>
      </c>
      <c r="P4" t="str">
        <f ca="1"/>
        <v>Teléfono</v>
      </c>
    </row>
    <row r="5" spans="2:16" x14ac:dyDescent="0.25">
      <c r="G5" s="5"/>
      <c r="M5" t="str">
        <f ca="1"/>
        <v>Enero</v>
      </c>
      <c r="N5">
        <f ca="1"/>
        <v>27.356386634352972</v>
      </c>
      <c r="O5">
        <f ca="1"/>
        <v>67.481171143480793</v>
      </c>
      <c r="P5">
        <f ca="1"/>
        <v>65.298237636555299</v>
      </c>
    </row>
    <row r="6" spans="2:16" x14ac:dyDescent="0.25">
      <c r="G6" s="5"/>
      <c r="M6" t="str">
        <f ca="1"/>
        <v>Febrero</v>
      </c>
      <c r="N6">
        <f ca="1"/>
        <v>37.358810664064478</v>
      </c>
      <c r="O6">
        <f ca="1"/>
        <v>25.870765470864086</v>
      </c>
      <c r="P6">
        <f ca="1"/>
        <v>31.227156069484948</v>
      </c>
    </row>
    <row r="7" spans="2:16" x14ac:dyDescent="0.25">
      <c r="G7" s="5"/>
      <c r="M7" t="str">
        <f ca="1"/>
        <v>Marzo</v>
      </c>
      <c r="N7">
        <f ca="1"/>
        <v>44.964389539044845</v>
      </c>
      <c r="O7">
        <f ca="1"/>
        <v>42.462001587059291</v>
      </c>
      <c r="P7">
        <f ca="1"/>
        <v>25.244889728417903</v>
      </c>
    </row>
    <row r="8" spans="2:16" x14ac:dyDescent="0.25">
      <c r="B8" t="str" cm="1">
        <f t="array" aca="1" ref="B8:E20" ca="1">_xlfn.VSTACK(TRANSPOSE({"Meses";"Luz";"Agua";"Teléfono"}),_xlfn.HSTACK(PROPER(TEXT(DATE(2026,_xlfn.SEQUENCE(12),1),"mmmm")),_xlfn.RANDARRAY(12,3,25,75,FALSE)))</f>
        <v>Meses</v>
      </c>
      <c r="C8" t="str">
        <f ca="1"/>
        <v>Luz</v>
      </c>
      <c r="D8" t="str">
        <f ca="1"/>
        <v>Agua</v>
      </c>
      <c r="E8" t="str">
        <f ca="1"/>
        <v>Teléfono</v>
      </c>
      <c r="G8" s="5"/>
      <c r="H8" t="str" cm="1">
        <f t="array" aca="1" ref="H8:K20" ca="1">_xlfn.ANCHORARRAY(B8)</f>
        <v>Meses</v>
      </c>
      <c r="I8" t="str">
        <f ca="1"/>
        <v>Luz</v>
      </c>
      <c r="J8" t="str">
        <f ca="1"/>
        <v>Agua</v>
      </c>
      <c r="K8" t="str">
        <f ca="1"/>
        <v>Teléfono</v>
      </c>
      <c r="M8" t="str">
        <f ca="1"/>
        <v>Abril</v>
      </c>
      <c r="N8">
        <f ca="1"/>
        <v>34.826435976243928</v>
      </c>
      <c r="O8">
        <f ca="1"/>
        <v>59.766700640254044</v>
      </c>
      <c r="P8">
        <f ca="1"/>
        <v>37.233596679663137</v>
      </c>
    </row>
    <row r="9" spans="2:16" x14ac:dyDescent="0.25">
      <c r="B9" t="str">
        <f ca="1"/>
        <v>Enero</v>
      </c>
      <c r="C9">
        <f ca="1"/>
        <v>73.063640574249447</v>
      </c>
      <c r="D9">
        <f ca="1"/>
        <v>74.126000656147156</v>
      </c>
      <c r="E9">
        <f ca="1"/>
        <v>35.709359037701574</v>
      </c>
      <c r="G9" s="5"/>
      <c r="H9" t="str">
        <f ca="1"/>
        <v>Enero</v>
      </c>
      <c r="I9">
        <f ca="1"/>
        <v>73.063640574249447</v>
      </c>
      <c r="J9">
        <f ca="1"/>
        <v>74.126000656147156</v>
      </c>
      <c r="K9">
        <f ca="1"/>
        <v>35.709359037701574</v>
      </c>
      <c r="M9" t="str">
        <f ca="1"/>
        <v>Mayo</v>
      </c>
      <c r="N9">
        <f ca="1"/>
        <v>44.847348493167843</v>
      </c>
      <c r="O9">
        <f ca="1"/>
        <v>51.238966917306982</v>
      </c>
      <c r="P9">
        <f ca="1"/>
        <v>40.414227851656207</v>
      </c>
    </row>
    <row r="10" spans="2:16" x14ac:dyDescent="0.25">
      <c r="B10" t="str">
        <f ca="1"/>
        <v>Febrero</v>
      </c>
      <c r="C10">
        <f ca="1"/>
        <v>64.47636116018414</v>
      </c>
      <c r="D10">
        <f ca="1"/>
        <v>47.539537158272879</v>
      </c>
      <c r="E10">
        <f ca="1"/>
        <v>55.00503482070431</v>
      </c>
      <c r="G10" s="5"/>
      <c r="H10" t="str">
        <f ca="1"/>
        <v>Febrero</v>
      </c>
      <c r="I10">
        <f ca="1"/>
        <v>64.47636116018414</v>
      </c>
      <c r="J10">
        <f ca="1"/>
        <v>47.539537158272879</v>
      </c>
      <c r="K10">
        <f ca="1"/>
        <v>55.00503482070431</v>
      </c>
      <c r="M10" t="str">
        <f ca="1"/>
        <v>Junio</v>
      </c>
      <c r="N10">
        <f ca="1"/>
        <v>42.073276591010384</v>
      </c>
      <c r="O10">
        <f ca="1"/>
        <v>61.111715063955742</v>
      </c>
      <c r="P10">
        <f ca="1"/>
        <v>65.834983018226822</v>
      </c>
    </row>
    <row r="11" spans="2:16" x14ac:dyDescent="0.25">
      <c r="B11" t="str">
        <f ca="1"/>
        <v>Marzo</v>
      </c>
      <c r="C11">
        <f ca="1"/>
        <v>59.221793964570949</v>
      </c>
      <c r="D11">
        <f ca="1"/>
        <v>54.830493226096209</v>
      </c>
      <c r="E11">
        <f ca="1"/>
        <v>64.945413972684207</v>
      </c>
      <c r="G11" s="5"/>
      <c r="H11" t="str">
        <f ca="1"/>
        <v>Marzo</v>
      </c>
      <c r="I11">
        <f ca="1"/>
        <v>59.221793964570949</v>
      </c>
      <c r="J11">
        <f ca="1"/>
        <v>54.830493226096209</v>
      </c>
      <c r="K11">
        <f ca="1"/>
        <v>64.945413972684207</v>
      </c>
      <c r="M11" t="str">
        <f ca="1"/>
        <v>Julio</v>
      </c>
      <c r="N11">
        <f ca="1"/>
        <v>25.302910240545742</v>
      </c>
      <c r="O11">
        <f ca="1"/>
        <v>35.146955949202763</v>
      </c>
      <c r="P11">
        <f ca="1"/>
        <v>35.222783746006087</v>
      </c>
    </row>
    <row r="12" spans="2:16" x14ac:dyDescent="0.25">
      <c r="B12" t="str">
        <f ca="1"/>
        <v>Abril</v>
      </c>
      <c r="C12">
        <f ca="1"/>
        <v>35.853630197792711</v>
      </c>
      <c r="D12">
        <f ca="1"/>
        <v>32.866727778193322</v>
      </c>
      <c r="E12">
        <f ca="1"/>
        <v>63.807681987144889</v>
      </c>
      <c r="G12" s="5"/>
      <c r="H12" t="str">
        <f ca="1"/>
        <v>Abril</v>
      </c>
      <c r="I12">
        <f ca="1"/>
        <v>35.853630197792711</v>
      </c>
      <c r="J12">
        <f ca="1"/>
        <v>32.866727778193322</v>
      </c>
      <c r="K12">
        <f ca="1"/>
        <v>63.807681987144889</v>
      </c>
      <c r="M12" t="str">
        <f ca="1"/>
        <v>Agosto</v>
      </c>
      <c r="N12">
        <f ca="1"/>
        <v>49.284622589342618</v>
      </c>
      <c r="O12">
        <f ca="1"/>
        <v>66.466084075944039</v>
      </c>
      <c r="P12">
        <f ca="1"/>
        <v>66.744481673631896</v>
      </c>
    </row>
    <row r="13" spans="2:16" x14ac:dyDescent="0.25">
      <c r="B13" t="str">
        <f ca="1"/>
        <v>Mayo</v>
      </c>
      <c r="C13">
        <f ca="1"/>
        <v>65.598275017326216</v>
      </c>
      <c r="D13">
        <f ca="1"/>
        <v>38.059260091513792</v>
      </c>
      <c r="E13">
        <f ca="1"/>
        <v>38.990013447224172</v>
      </c>
      <c r="G13" s="5"/>
      <c r="H13" t="str">
        <f ca="1"/>
        <v>Mayo</v>
      </c>
      <c r="I13">
        <f ca="1"/>
        <v>65.598275017326216</v>
      </c>
      <c r="J13">
        <f ca="1"/>
        <v>38.059260091513792</v>
      </c>
      <c r="K13">
        <f ca="1"/>
        <v>38.990013447224172</v>
      </c>
      <c r="M13" t="str">
        <f ca="1"/>
        <v>Septiembre</v>
      </c>
      <c r="N13">
        <f ca="1"/>
        <v>41.909281794076136</v>
      </c>
      <c r="O13">
        <f ca="1"/>
        <v>49.21966669635232</v>
      </c>
      <c r="P13">
        <f ca="1"/>
        <v>59.203332722208202</v>
      </c>
    </row>
    <row r="14" spans="2:16" x14ac:dyDescent="0.25">
      <c r="B14" t="str">
        <f ca="1"/>
        <v>Junio</v>
      </c>
      <c r="C14">
        <f ca="1"/>
        <v>62.412344323480951</v>
      </c>
      <c r="D14">
        <f ca="1"/>
        <v>56.1079980056533</v>
      </c>
      <c r="E14">
        <f ca="1"/>
        <v>56.170728613240868</v>
      </c>
      <c r="G14" s="5"/>
      <c r="H14" t="str">
        <f ca="1"/>
        <v>Junio</v>
      </c>
      <c r="I14">
        <f ca="1"/>
        <v>62.412344323480951</v>
      </c>
      <c r="J14">
        <f ca="1"/>
        <v>56.1079980056533</v>
      </c>
      <c r="K14">
        <f ca="1"/>
        <v>56.170728613240868</v>
      </c>
      <c r="M14" t="str">
        <f ca="1"/>
        <v>Octubre</v>
      </c>
      <c r="N14">
        <f ca="1"/>
        <v>58.930686352335513</v>
      </c>
      <c r="O14">
        <f ca="1"/>
        <v>28.948554456743395</v>
      </c>
      <c r="P14">
        <f ca="1"/>
        <v>38.305160646055995</v>
      </c>
    </row>
    <row r="15" spans="2:16" x14ac:dyDescent="0.25">
      <c r="B15" t="str">
        <f ca="1"/>
        <v>Julio</v>
      </c>
      <c r="C15">
        <f ca="1"/>
        <v>42.990180006373492</v>
      </c>
      <c r="D15">
        <f ca="1"/>
        <v>27.054952403207082</v>
      </c>
      <c r="E15">
        <f ca="1"/>
        <v>40.426443690137717</v>
      </c>
      <c r="G15" s="5"/>
      <c r="H15" t="str">
        <f ca="1"/>
        <v>Julio</v>
      </c>
      <c r="I15">
        <f ca="1"/>
        <v>42.990180006373492</v>
      </c>
      <c r="J15">
        <f ca="1"/>
        <v>27.054952403207082</v>
      </c>
      <c r="K15">
        <f ca="1"/>
        <v>40.426443690137717</v>
      </c>
      <c r="M15" t="str">
        <f ca="1"/>
        <v>Noviembre</v>
      </c>
      <c r="N15">
        <f ca="1"/>
        <v>28.544970747523166</v>
      </c>
      <c r="O15">
        <f ca="1"/>
        <v>58.630104791983115</v>
      </c>
      <c r="P15">
        <f ca="1"/>
        <v>27.422529462629583</v>
      </c>
    </row>
    <row r="16" spans="2:16" x14ac:dyDescent="0.25">
      <c r="B16" t="str">
        <f ca="1"/>
        <v>Agosto</v>
      </c>
      <c r="C16">
        <f ca="1"/>
        <v>35.465211001328285</v>
      </c>
      <c r="D16">
        <f ca="1"/>
        <v>60.61373443293688</v>
      </c>
      <c r="E16">
        <f ca="1"/>
        <v>31.541560991125749</v>
      </c>
      <c r="H16" t="str">
        <f ca="1"/>
        <v>Agosto</v>
      </c>
      <c r="I16">
        <f ca="1"/>
        <v>35.465211001328285</v>
      </c>
      <c r="J16">
        <f ca="1"/>
        <v>60.61373443293688</v>
      </c>
      <c r="K16">
        <f ca="1"/>
        <v>31.541560991125749</v>
      </c>
      <c r="M16" t="str">
        <f ca="1"/>
        <v>Diciembre</v>
      </c>
      <c r="N16">
        <f ca="1"/>
        <v>58.098278127508024</v>
      </c>
      <c r="O16">
        <f ca="1"/>
        <v>46.727477729586823</v>
      </c>
      <c r="P16">
        <f ca="1"/>
        <v>41.837479066151417</v>
      </c>
    </row>
    <row r="17" spans="2:11" x14ac:dyDescent="0.25">
      <c r="B17" t="str">
        <f ca="1"/>
        <v>Septiembre</v>
      </c>
      <c r="C17">
        <f ca="1"/>
        <v>58.590076902028343</v>
      </c>
      <c r="D17">
        <f ca="1"/>
        <v>48.968502490823653</v>
      </c>
      <c r="E17">
        <f ca="1"/>
        <v>65.776329050240008</v>
      </c>
      <c r="H17" t="str">
        <f ca="1"/>
        <v>Septiembre</v>
      </c>
      <c r="I17">
        <f ca="1"/>
        <v>58.590076902028343</v>
      </c>
      <c r="J17">
        <f ca="1"/>
        <v>48.968502490823653</v>
      </c>
      <c r="K17">
        <f ca="1"/>
        <v>65.776329050240008</v>
      </c>
    </row>
    <row r="18" spans="2:11" x14ac:dyDescent="0.25">
      <c r="B18" t="str">
        <f ca="1"/>
        <v>Octubre</v>
      </c>
      <c r="C18">
        <f ca="1"/>
        <v>50.282910387276814</v>
      </c>
      <c r="D18">
        <f ca="1"/>
        <v>72.634529255016801</v>
      </c>
      <c r="E18">
        <f ca="1"/>
        <v>42.604049453772831</v>
      </c>
      <c r="H18" t="str">
        <f ca="1"/>
        <v>Octubre</v>
      </c>
      <c r="I18">
        <f ca="1"/>
        <v>50.282910387276814</v>
      </c>
      <c r="J18">
        <f ca="1"/>
        <v>72.634529255016801</v>
      </c>
      <c r="K18">
        <f ca="1"/>
        <v>42.604049453772831</v>
      </c>
    </row>
    <row r="19" spans="2:11" x14ac:dyDescent="0.25">
      <c r="B19" t="str">
        <f ca="1"/>
        <v>Noviembre</v>
      </c>
      <c r="C19">
        <f ca="1"/>
        <v>60.147326779859327</v>
      </c>
      <c r="D19">
        <f ca="1"/>
        <v>29.033988899547595</v>
      </c>
      <c r="E19">
        <f ca="1"/>
        <v>34.83742124442854</v>
      </c>
      <c r="H19" t="str">
        <f ca="1"/>
        <v>Noviembre</v>
      </c>
      <c r="I19">
        <f ca="1"/>
        <v>60.147326779859327</v>
      </c>
      <c r="J19">
        <f ca="1"/>
        <v>29.033988899547595</v>
      </c>
      <c r="K19">
        <f ca="1"/>
        <v>34.83742124442854</v>
      </c>
    </row>
    <row r="20" spans="2:11" x14ac:dyDescent="0.25">
      <c r="B20" t="str">
        <f ca="1"/>
        <v>Diciembre</v>
      </c>
      <c r="C20">
        <f ca="1"/>
        <v>71.131511461807293</v>
      </c>
      <c r="D20">
        <f ca="1"/>
        <v>43.530355275327977</v>
      </c>
      <c r="E20">
        <f ca="1"/>
        <v>48.490476040966328</v>
      </c>
      <c r="H20" t="str">
        <f ca="1"/>
        <v>Diciembre</v>
      </c>
      <c r="I20">
        <f ca="1"/>
        <v>71.131511461807293</v>
      </c>
      <c r="J20">
        <f ca="1"/>
        <v>43.530355275327977</v>
      </c>
      <c r="K20">
        <f ca="1"/>
        <v>48.490476040966328</v>
      </c>
    </row>
    <row r="24" spans="2:11" x14ac:dyDescent="0.25">
      <c r="B24" t="s">
        <v>35</v>
      </c>
      <c r="C24" t="s">
        <v>13</v>
      </c>
      <c r="D24" t="s">
        <v>14</v>
      </c>
      <c r="E24" t="s">
        <v>15</v>
      </c>
      <c r="G24" t="s">
        <v>108</v>
      </c>
      <c r="H24">
        <f>SUMIF(D25:D36,"&gt;50")</f>
        <v>464.16257870893861</v>
      </c>
    </row>
    <row r="25" spans="2:11" x14ac:dyDescent="0.25">
      <c r="B25" t="s">
        <v>0</v>
      </c>
      <c r="C25">
        <v>25.0513556837995</v>
      </c>
      <c r="D25">
        <v>70.291707010480053</v>
      </c>
      <c r="E25">
        <v>50.083910262813276</v>
      </c>
      <c r="G25" t="s">
        <v>109</v>
      </c>
      <c r="H25">
        <f>COUNTIF(C25:E36,"&lt;50")</f>
        <v>20</v>
      </c>
    </row>
    <row r="26" spans="2:11" x14ac:dyDescent="0.25">
      <c r="B26" t="s">
        <v>1</v>
      </c>
      <c r="C26">
        <v>73.767531749203172</v>
      </c>
      <c r="D26">
        <v>72.530063242449643</v>
      </c>
      <c r="E26">
        <v>46.620981085610097</v>
      </c>
      <c r="G26" t="s">
        <v>110</v>
      </c>
      <c r="H26">
        <f>SUM(D25:D36,E25:E36)</f>
        <v>1189.5245675111823</v>
      </c>
    </row>
    <row r="27" spans="2:11" x14ac:dyDescent="0.25">
      <c r="B27" t="s">
        <v>2</v>
      </c>
      <c r="C27">
        <v>36.076122312202074</v>
      </c>
      <c r="D27">
        <v>60.440412910933858</v>
      </c>
      <c r="E27">
        <v>65.255237463247752</v>
      </c>
      <c r="G27" t="s">
        <v>111</v>
      </c>
      <c r="H27">
        <f ca="1">SUMIF(B25:B36,"Febrero",C25:C36)+SUMIF(B25:D36,"Febrero",D25:D36)</f>
        <v>146.29759499165283</v>
      </c>
    </row>
    <row r="28" spans="2:11" x14ac:dyDescent="0.25">
      <c r="B28" t="s">
        <v>3</v>
      </c>
      <c r="C28">
        <v>57.014294456782679</v>
      </c>
      <c r="D28">
        <v>30.308272440956856</v>
      </c>
      <c r="E28">
        <v>25.372444304342991</v>
      </c>
    </row>
    <row r="29" spans="2:11" x14ac:dyDescent="0.25">
      <c r="B29" t="s">
        <v>4</v>
      </c>
      <c r="C29">
        <v>58.949725127099171</v>
      </c>
      <c r="D29">
        <v>27.441740567111481</v>
      </c>
      <c r="E29">
        <v>44.376958292551024</v>
      </c>
    </row>
    <row r="30" spans="2:11" x14ac:dyDescent="0.25">
      <c r="B30" t="s">
        <v>5</v>
      </c>
      <c r="C30">
        <v>25.401569166517078</v>
      </c>
      <c r="D30">
        <v>73.648124028776792</v>
      </c>
      <c r="E30">
        <v>43.809750087210887</v>
      </c>
    </row>
    <row r="31" spans="2:11" x14ac:dyDescent="0.25">
      <c r="B31" t="s">
        <v>6</v>
      </c>
      <c r="C31">
        <v>32.931450179131062</v>
      </c>
      <c r="D31">
        <v>62.481782115863169</v>
      </c>
      <c r="E31">
        <v>69.22479004800789</v>
      </c>
    </row>
    <row r="32" spans="2:11" x14ac:dyDescent="0.25">
      <c r="B32" t="s">
        <v>7</v>
      </c>
      <c r="C32">
        <v>30.679633030809782</v>
      </c>
      <c r="D32">
        <v>32.925636158539092</v>
      </c>
      <c r="E32">
        <v>25.458127056967101</v>
      </c>
    </row>
    <row r="33" spans="2:5" x14ac:dyDescent="0.25">
      <c r="B33" t="s">
        <v>8</v>
      </c>
      <c r="C33">
        <v>47.478099458519424</v>
      </c>
      <c r="D33">
        <v>58.726830209540481</v>
      </c>
      <c r="E33">
        <v>58.047856789423776</v>
      </c>
    </row>
    <row r="34" spans="2:5" x14ac:dyDescent="0.25">
      <c r="B34" t="s">
        <v>9</v>
      </c>
      <c r="C34">
        <v>59.112877435198627</v>
      </c>
      <c r="D34">
        <v>66.043659190894616</v>
      </c>
      <c r="E34">
        <v>70.072058639832804</v>
      </c>
    </row>
    <row r="35" spans="2:5" x14ac:dyDescent="0.25">
      <c r="B35" t="s">
        <v>10</v>
      </c>
      <c r="C35">
        <v>26.365576598079031</v>
      </c>
      <c r="D35">
        <v>25.974058303750596</v>
      </c>
      <c r="E35">
        <v>42.436953342928092</v>
      </c>
    </row>
    <row r="36" spans="2:5" x14ac:dyDescent="0.25">
      <c r="B36" t="s">
        <v>11</v>
      </c>
      <c r="C36">
        <v>25.436836643296104</v>
      </c>
      <c r="D36">
        <v>39.187907995957119</v>
      </c>
      <c r="E36">
        <v>28.765305962992954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A162-8F72-463E-9EE0-3045BFEE1E88}">
  <sheetPr codeName="Hoja23"/>
  <dimension ref="A1:K12"/>
  <sheetViews>
    <sheetView workbookViewId="0">
      <selection activeCell="D2" sqref="D2"/>
    </sheetView>
  </sheetViews>
  <sheetFormatPr baseColWidth="10" defaultRowHeight="15" x14ac:dyDescent="0.25"/>
  <cols>
    <col min="1" max="1" width="19.42578125" customWidth="1"/>
    <col min="2" max="2" width="15.140625" customWidth="1"/>
    <col min="3" max="3" width="15.5703125" customWidth="1"/>
    <col min="4" max="4" width="11.42578125" customWidth="1"/>
    <col min="5" max="5" width="14.5703125" customWidth="1"/>
    <col min="7" max="7" width="15" customWidth="1"/>
  </cols>
  <sheetData>
    <row r="1" spans="1:11" x14ac:dyDescent="0.25">
      <c r="A1" s="11" t="s">
        <v>22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1" t="s">
        <v>120</v>
      </c>
      <c r="H1" s="11"/>
      <c r="I1" s="11"/>
      <c r="J1" s="11"/>
      <c r="K1" s="11"/>
    </row>
    <row r="2" spans="1:11" x14ac:dyDescent="0.25">
      <c r="A2" t="s">
        <v>112</v>
      </c>
      <c r="B2">
        <v>10</v>
      </c>
      <c r="C2">
        <v>35</v>
      </c>
      <c r="D2">
        <v>9</v>
      </c>
      <c r="E2">
        <f>B2*D2</f>
        <v>90</v>
      </c>
      <c r="F2">
        <f>C2*D2</f>
        <v>315</v>
      </c>
      <c r="G2">
        <f>F2-E2</f>
        <v>225</v>
      </c>
    </row>
    <row r="3" spans="1:11" x14ac:dyDescent="0.25">
      <c r="A3" t="s">
        <v>113</v>
      </c>
      <c r="B3">
        <v>21</v>
      </c>
      <c r="C3">
        <v>75</v>
      </c>
      <c r="D3">
        <v>264</v>
      </c>
      <c r="E3">
        <f t="shared" ref="E3:E4" si="0">B3*D3</f>
        <v>5544</v>
      </c>
      <c r="F3">
        <f t="shared" ref="F3:F4" si="1">C3*D3</f>
        <v>19800</v>
      </c>
      <c r="G3">
        <f t="shared" ref="G3:G4" si="2">F3-E3</f>
        <v>14256</v>
      </c>
    </row>
    <row r="4" spans="1:11" x14ac:dyDescent="0.25">
      <c r="A4" t="s">
        <v>114</v>
      </c>
      <c r="B4">
        <v>150</v>
      </c>
      <c r="C4">
        <v>450</v>
      </c>
      <c r="D4">
        <v>6</v>
      </c>
      <c r="E4">
        <f t="shared" si="0"/>
        <v>900</v>
      </c>
      <c r="F4">
        <f t="shared" si="1"/>
        <v>2700</v>
      </c>
      <c r="G4">
        <f t="shared" si="2"/>
        <v>1800</v>
      </c>
    </row>
    <row r="5" spans="1:11" x14ac:dyDescent="0.25">
      <c r="D5">
        <f>SUM(D2:D4)</f>
        <v>279</v>
      </c>
      <c r="E5">
        <f>SUM(E2:E4)</f>
        <v>6534</v>
      </c>
      <c r="G5">
        <f>SUM(G2:G4)</f>
        <v>16281</v>
      </c>
    </row>
    <row r="7" spans="1:11" x14ac:dyDescent="0.25">
      <c r="A7" t="s">
        <v>121</v>
      </c>
    </row>
    <row r="8" spans="1:11" x14ac:dyDescent="0.25">
      <c r="A8" t="s">
        <v>122</v>
      </c>
      <c r="B8">
        <v>6538</v>
      </c>
    </row>
    <row r="9" spans="1:11" x14ac:dyDescent="0.25">
      <c r="A9" t="s">
        <v>123</v>
      </c>
      <c r="B9">
        <v>8</v>
      </c>
    </row>
    <row r="10" spans="1:11" x14ac:dyDescent="0.25">
      <c r="A10" t="s">
        <v>124</v>
      </c>
      <c r="B10">
        <v>2</v>
      </c>
    </row>
    <row r="11" spans="1:11" x14ac:dyDescent="0.25">
      <c r="A11" t="s">
        <v>125</v>
      </c>
      <c r="B11">
        <v>10</v>
      </c>
    </row>
    <row r="12" spans="1:11" x14ac:dyDescent="0.25">
      <c r="A12" t="s">
        <v>126</v>
      </c>
      <c r="B12">
        <v>280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7D6B-FB6C-437C-94AB-CF23AAEA6ACB}">
  <sheetPr codeName="Hoja24"/>
  <dimension ref="A1:G14"/>
  <sheetViews>
    <sheetView workbookViewId="0">
      <selection activeCell="B13" sqref="B13"/>
    </sheetView>
  </sheetViews>
  <sheetFormatPr baseColWidth="10" defaultRowHeight="15" x14ac:dyDescent="0.25"/>
  <cols>
    <col min="1" max="1" width="22.42578125" customWidth="1"/>
    <col min="2" max="2" width="17.28515625" customWidth="1"/>
    <col min="3" max="3" width="15.5703125" customWidth="1"/>
    <col min="7" max="7" width="15" customWidth="1"/>
  </cols>
  <sheetData>
    <row r="1" spans="1:7" x14ac:dyDescent="0.25">
      <c r="A1" t="s">
        <v>22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 x14ac:dyDescent="0.25">
      <c r="A2" t="s">
        <v>127</v>
      </c>
      <c r="B2">
        <v>0.5</v>
      </c>
      <c r="C2">
        <v>1.7</v>
      </c>
      <c r="D2">
        <v>0</v>
      </c>
      <c r="E2">
        <f>B2*D2</f>
        <v>0</v>
      </c>
      <c r="F2">
        <f>C2*D2</f>
        <v>0</v>
      </c>
      <c r="G2">
        <f>F2-E2</f>
        <v>0</v>
      </c>
    </row>
    <row r="3" spans="1:7" x14ac:dyDescent="0.25">
      <c r="A3" t="s">
        <v>128</v>
      </c>
      <c r="B3">
        <v>0.8</v>
      </c>
      <c r="C3">
        <v>3.1</v>
      </c>
      <c r="D3">
        <v>15</v>
      </c>
      <c r="E3">
        <f t="shared" ref="E3:E5" si="0">B3*D3</f>
        <v>12</v>
      </c>
      <c r="F3">
        <f t="shared" ref="F3:F5" si="1">C3*D3</f>
        <v>46.5</v>
      </c>
      <c r="G3">
        <f t="shared" ref="G3:G5" si="2">F3-E3</f>
        <v>34.5</v>
      </c>
    </row>
    <row r="4" spans="1:7" x14ac:dyDescent="0.25">
      <c r="A4" t="s">
        <v>129</v>
      </c>
      <c r="B4">
        <v>0.6</v>
      </c>
      <c r="C4">
        <v>1.2</v>
      </c>
      <c r="D4">
        <v>0</v>
      </c>
      <c r="E4">
        <f t="shared" si="0"/>
        <v>0</v>
      </c>
      <c r="F4">
        <f t="shared" si="1"/>
        <v>0</v>
      </c>
      <c r="G4">
        <f t="shared" si="2"/>
        <v>0</v>
      </c>
    </row>
    <row r="5" spans="1:7" x14ac:dyDescent="0.25">
      <c r="A5" t="s">
        <v>130</v>
      </c>
      <c r="B5">
        <v>1.4</v>
      </c>
      <c r="C5">
        <v>4.5</v>
      </c>
      <c r="D5">
        <v>235</v>
      </c>
      <c r="E5">
        <f t="shared" si="0"/>
        <v>329</v>
      </c>
      <c r="F5">
        <f t="shared" si="1"/>
        <v>1057.5</v>
      </c>
      <c r="G5">
        <f t="shared" si="2"/>
        <v>728.5</v>
      </c>
    </row>
    <row r="6" spans="1:7" x14ac:dyDescent="0.25">
      <c r="D6">
        <f>SUM(D2:D5)</f>
        <v>250</v>
      </c>
      <c r="E6">
        <f>SUM(E2:E5)</f>
        <v>341</v>
      </c>
      <c r="G6">
        <f>SUM(G2:G5)</f>
        <v>763</v>
      </c>
    </row>
    <row r="8" spans="1:7" x14ac:dyDescent="0.25">
      <c r="A8" t="s">
        <v>121</v>
      </c>
    </row>
    <row r="9" spans="1:7" x14ac:dyDescent="0.25">
      <c r="A9" t="s">
        <v>131</v>
      </c>
      <c r="B9">
        <v>20</v>
      </c>
    </row>
    <row r="10" spans="1:7" x14ac:dyDescent="0.25">
      <c r="A10" t="s">
        <v>132</v>
      </c>
      <c r="B10">
        <v>15</v>
      </c>
    </row>
    <row r="11" spans="1:7" x14ac:dyDescent="0.25">
      <c r="A11" t="s">
        <v>133</v>
      </c>
      <c r="B11">
        <v>15</v>
      </c>
    </row>
    <row r="12" spans="1:7" x14ac:dyDescent="0.25">
      <c r="A12" t="s">
        <v>134</v>
      </c>
      <c r="B12">
        <v>250</v>
      </c>
    </row>
    <row r="13" spans="1:7" x14ac:dyDescent="0.25">
      <c r="A13" t="s">
        <v>135</v>
      </c>
      <c r="B13">
        <v>1800</v>
      </c>
    </row>
    <row r="14" spans="1:7" x14ac:dyDescent="0.25">
      <c r="A14" t="s">
        <v>137</v>
      </c>
      <c r="B14" t="s">
        <v>136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5892-655A-494F-B7DE-DAA7FCBF7A75}">
  <sheetPr codeName="Hoja25"/>
  <dimension ref="A1:G17"/>
  <sheetViews>
    <sheetView workbookViewId="0"/>
  </sheetViews>
  <sheetFormatPr baseColWidth="10" defaultRowHeight="15" x14ac:dyDescent="0.25"/>
  <cols>
    <col min="1" max="1" width="20.140625" customWidth="1"/>
    <col min="2" max="2" width="15.7109375" customWidth="1"/>
    <col min="3" max="3" width="13.7109375" customWidth="1"/>
    <col min="7" max="7" width="15.5703125" customWidth="1"/>
  </cols>
  <sheetData>
    <row r="1" spans="1:7" x14ac:dyDescent="0.25">
      <c r="A1" t="s">
        <v>22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 x14ac:dyDescent="0.25">
      <c r="A2" t="s">
        <v>138</v>
      </c>
      <c r="B2">
        <v>75</v>
      </c>
      <c r="C2">
        <v>150</v>
      </c>
      <c r="D2">
        <v>20</v>
      </c>
      <c r="E2">
        <f>D2*B2</f>
        <v>1500</v>
      </c>
      <c r="F2">
        <f>C2*D2</f>
        <v>3000</v>
      </c>
      <c r="G2">
        <f>F2-E2</f>
        <v>1500</v>
      </c>
    </row>
    <row r="3" spans="1:7" x14ac:dyDescent="0.25">
      <c r="A3" t="s">
        <v>139</v>
      </c>
      <c r="B3">
        <v>250</v>
      </c>
      <c r="C3">
        <v>430</v>
      </c>
      <c r="D3">
        <v>0</v>
      </c>
      <c r="E3">
        <f t="shared" ref="E3:E9" si="0">D3*B3</f>
        <v>0</v>
      </c>
      <c r="F3">
        <f t="shared" ref="F3:F9" si="1">C3*D3</f>
        <v>0</v>
      </c>
      <c r="G3">
        <f t="shared" ref="G3:G9" si="2">F3-E3</f>
        <v>0</v>
      </c>
    </row>
    <row r="4" spans="1:7" x14ac:dyDescent="0.25">
      <c r="A4" t="s">
        <v>140</v>
      </c>
      <c r="B4">
        <v>1</v>
      </c>
      <c r="C4">
        <v>5</v>
      </c>
      <c r="D4">
        <v>0</v>
      </c>
      <c r="E4">
        <f t="shared" si="0"/>
        <v>0</v>
      </c>
      <c r="F4">
        <f t="shared" si="1"/>
        <v>0</v>
      </c>
      <c r="G4">
        <f t="shared" si="2"/>
        <v>0</v>
      </c>
    </row>
    <row r="5" spans="1:7" x14ac:dyDescent="0.25">
      <c r="A5" t="s">
        <v>141</v>
      </c>
      <c r="B5">
        <v>50</v>
      </c>
      <c r="C5">
        <v>104</v>
      </c>
      <c r="D5">
        <v>169.99999999189376</v>
      </c>
      <c r="E5">
        <f t="shared" si="0"/>
        <v>8499.9999995946873</v>
      </c>
      <c r="F5">
        <f t="shared" si="1"/>
        <v>17679.999999156949</v>
      </c>
      <c r="G5">
        <f t="shared" si="2"/>
        <v>9179.999999562262</v>
      </c>
    </row>
    <row r="6" spans="1:7" x14ac:dyDescent="0.25">
      <c r="A6" t="s">
        <v>142</v>
      </c>
      <c r="B6">
        <v>5</v>
      </c>
      <c r="C6">
        <v>12</v>
      </c>
      <c r="D6">
        <v>0</v>
      </c>
      <c r="E6">
        <f t="shared" si="0"/>
        <v>0</v>
      </c>
      <c r="F6">
        <f t="shared" si="1"/>
        <v>0</v>
      </c>
      <c r="G6">
        <f t="shared" si="2"/>
        <v>0</v>
      </c>
    </row>
    <row r="7" spans="1:7" x14ac:dyDescent="0.25">
      <c r="A7" t="s">
        <v>143</v>
      </c>
      <c r="B7">
        <v>590</v>
      </c>
      <c r="C7">
        <v>900</v>
      </c>
      <c r="D7">
        <v>0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t="s">
        <v>144</v>
      </c>
      <c r="B8">
        <v>5</v>
      </c>
      <c r="C8">
        <v>10</v>
      </c>
      <c r="D8">
        <v>0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A9" t="s">
        <v>145</v>
      </c>
      <c r="B9">
        <v>150</v>
      </c>
      <c r="C9">
        <v>350</v>
      </c>
      <c r="D9">
        <v>0</v>
      </c>
      <c r="E9">
        <f t="shared" si="0"/>
        <v>0</v>
      </c>
      <c r="F9">
        <f t="shared" si="1"/>
        <v>0</v>
      </c>
      <c r="G9">
        <f t="shared" si="2"/>
        <v>0</v>
      </c>
    </row>
    <row r="10" spans="1:7" x14ac:dyDescent="0.25">
      <c r="D10">
        <f>SUM(D2:D9)</f>
        <v>189.99999999189376</v>
      </c>
      <c r="E10">
        <f>SUM(E2:E9)</f>
        <v>9999.9999995946873</v>
      </c>
      <c r="F10">
        <f>SUM(F2:F9)</f>
        <v>20679.999999156949</v>
      </c>
      <c r="G10">
        <f>SUM(G2:G9)</f>
        <v>10679.999999562262</v>
      </c>
    </row>
    <row r="11" spans="1:7" x14ac:dyDescent="0.25">
      <c r="A11" t="s">
        <v>121</v>
      </c>
    </row>
    <row r="13" spans="1:7" x14ac:dyDescent="0.25">
      <c r="A13" t="s">
        <v>146</v>
      </c>
      <c r="B13">
        <v>20</v>
      </c>
    </row>
    <row r="14" spans="1:7" x14ac:dyDescent="0.25">
      <c r="A14" t="s">
        <v>122</v>
      </c>
      <c r="B14">
        <v>10000</v>
      </c>
    </row>
    <row r="15" spans="1:7" x14ac:dyDescent="0.25">
      <c r="A15" t="s">
        <v>140</v>
      </c>
      <c r="B15">
        <f>D2+D5</f>
        <v>189.99999999189376</v>
      </c>
    </row>
    <row r="16" spans="1:7" x14ac:dyDescent="0.25">
      <c r="A16" t="s">
        <v>147</v>
      </c>
      <c r="B16" t="s">
        <v>148</v>
      </c>
    </row>
    <row r="17" spans="1:2" x14ac:dyDescent="0.25">
      <c r="A17" t="s">
        <v>149</v>
      </c>
      <c r="B17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A09D-C9E6-454D-945A-477198578781}">
  <sheetPr codeName="Hoja26"/>
  <dimension ref="A1:AH80"/>
  <sheetViews>
    <sheetView topLeftCell="H60" workbookViewId="0">
      <selection activeCell="Q64" sqref="Q64"/>
    </sheetView>
  </sheetViews>
  <sheetFormatPr baseColWidth="10" defaultRowHeight="15" x14ac:dyDescent="0.25"/>
  <cols>
    <col min="17" max="17" width="11.7109375" bestFit="1" customWidth="1"/>
  </cols>
  <sheetData>
    <row r="1" spans="1:22" x14ac:dyDescent="0.25">
      <c r="A1" t="s">
        <v>35</v>
      </c>
      <c r="B1" t="s">
        <v>13</v>
      </c>
      <c r="C1" t="s">
        <v>14</v>
      </c>
      <c r="D1" t="s">
        <v>15</v>
      </c>
      <c r="E1" t="s">
        <v>150</v>
      </c>
    </row>
    <row r="2" spans="1:22" x14ac:dyDescent="0.25">
      <c r="A2" t="s">
        <v>0</v>
      </c>
      <c r="B2">
        <v>61.907877395343803</v>
      </c>
      <c r="C2">
        <v>62.397107121328531</v>
      </c>
      <c r="D2">
        <v>38.378248268069953</v>
      </c>
    </row>
    <row r="3" spans="1:22" x14ac:dyDescent="0.25">
      <c r="A3" t="s">
        <v>1</v>
      </c>
      <c r="B3">
        <v>57.494909841766159</v>
      </c>
      <c r="C3">
        <v>39.828644105178128</v>
      </c>
      <c r="D3">
        <v>74.340431501038054</v>
      </c>
    </row>
    <row r="4" spans="1:22" x14ac:dyDescent="0.25">
      <c r="A4" t="s">
        <v>2</v>
      </c>
      <c r="B4">
        <v>29.203407270666517</v>
      </c>
      <c r="C4">
        <v>72.368300939890474</v>
      </c>
      <c r="D4">
        <v>34.08999925753514</v>
      </c>
      <c r="K4" t="str" cm="1">
        <f t="array" ref="K4:O6">_xlfn._xlws.FILTER(Recibos1[],(Recibos1[Agua]&gt;50)*(Recibos1[Luz]&gt;50),"---")</f>
        <v>Enero</v>
      </c>
      <c r="L4">
        <v>61.907877395343803</v>
      </c>
      <c r="M4">
        <v>62.397107121328531</v>
      </c>
      <c r="N4">
        <v>38.378248268069953</v>
      </c>
      <c r="O4">
        <v>0</v>
      </c>
      <c r="R4" t="s">
        <v>151</v>
      </c>
    </row>
    <row r="5" spans="1:22" x14ac:dyDescent="0.25">
      <c r="A5" t="s">
        <v>3</v>
      </c>
      <c r="B5">
        <v>52.930791590488809</v>
      </c>
      <c r="C5">
        <v>27.548746996794023</v>
      </c>
      <c r="D5">
        <v>38.149989587172968</v>
      </c>
      <c r="K5" t="str">
        <v>Octubre</v>
      </c>
      <c r="L5">
        <v>67.847706403668482</v>
      </c>
      <c r="M5">
        <v>64.576388877611379</v>
      </c>
      <c r="N5">
        <v>68.86734926084965</v>
      </c>
      <c r="O5">
        <v>0</v>
      </c>
      <c r="R5" t="s">
        <v>152</v>
      </c>
    </row>
    <row r="6" spans="1:22" x14ac:dyDescent="0.25">
      <c r="A6" t="s">
        <v>4</v>
      </c>
      <c r="B6">
        <v>32.863763702174481</v>
      </c>
      <c r="C6">
        <v>27.800893111137569</v>
      </c>
      <c r="D6">
        <v>34.709293790334982</v>
      </c>
      <c r="K6" t="str">
        <v>Diciembre</v>
      </c>
      <c r="L6">
        <v>64.785377629046579</v>
      </c>
      <c r="M6">
        <v>74.132006930421653</v>
      </c>
      <c r="N6">
        <v>29.785923724547942</v>
      </c>
      <c r="O6">
        <v>0</v>
      </c>
      <c r="V6">
        <f>SUM(Recibos1[Luz])</f>
        <v>618.10955204410459</v>
      </c>
    </row>
    <row r="7" spans="1:22" x14ac:dyDescent="0.25">
      <c r="A7" t="s">
        <v>5</v>
      </c>
      <c r="B7">
        <v>34.98410812728909</v>
      </c>
      <c r="C7">
        <v>74.638693863772119</v>
      </c>
      <c r="D7">
        <v>44.42735486200695</v>
      </c>
    </row>
    <row r="8" spans="1:22" x14ac:dyDescent="0.25">
      <c r="A8" t="s">
        <v>6</v>
      </c>
      <c r="B8">
        <v>73.392686969715584</v>
      </c>
      <c r="C8">
        <v>31.352602696503524</v>
      </c>
      <c r="D8">
        <v>37.853944727991603</v>
      </c>
    </row>
    <row r="9" spans="1:22" x14ac:dyDescent="0.25">
      <c r="A9" t="s">
        <v>7</v>
      </c>
      <c r="B9">
        <v>37.127349558889463</v>
      </c>
      <c r="C9">
        <v>54.70547330857535</v>
      </c>
      <c r="D9">
        <v>31.283211682270661</v>
      </c>
    </row>
    <row r="10" spans="1:22" x14ac:dyDescent="0.25">
      <c r="A10" t="s">
        <v>8</v>
      </c>
      <c r="B10">
        <v>48.839568131520863</v>
      </c>
      <c r="C10">
        <v>28.737206312291434</v>
      </c>
      <c r="D10">
        <v>45.186712126024446</v>
      </c>
    </row>
    <row r="11" spans="1:22" x14ac:dyDescent="0.25">
      <c r="A11" t="s">
        <v>9</v>
      </c>
      <c r="B11">
        <v>67.847706403668482</v>
      </c>
      <c r="C11">
        <v>64.576388877611379</v>
      </c>
      <c r="D11">
        <v>68.86734926084965</v>
      </c>
    </row>
    <row r="12" spans="1:22" x14ac:dyDescent="0.25">
      <c r="A12" t="s">
        <v>10</v>
      </c>
      <c r="B12">
        <v>56.732005423534758</v>
      </c>
      <c r="C12">
        <v>34.932115676618935</v>
      </c>
      <c r="D12">
        <v>26.26937586137177</v>
      </c>
    </row>
    <row r="13" spans="1:22" x14ac:dyDescent="0.25">
      <c r="A13" t="s">
        <v>11</v>
      </c>
      <c r="B13">
        <v>64.785377629046579</v>
      </c>
      <c r="C13">
        <v>74.132006930421653</v>
      </c>
      <c r="D13">
        <v>29.785923724547942</v>
      </c>
    </row>
    <row r="18" spans="11:34" x14ac:dyDescent="0.25">
      <c r="K18" t="str" cm="1">
        <f t="array" ref="K18:O19">_xlfn._xlws.FILTER(Recibos1[],(Recibos1[Teléfono]&gt;50)+(Recibos1[Meses]="Febrero"),"---")</f>
        <v>Febrero</v>
      </c>
      <c r="L18">
        <v>57.494909841766159</v>
      </c>
      <c r="M18">
        <v>39.828644105178128</v>
      </c>
      <c r="N18">
        <v>74.340431501038054</v>
      </c>
      <c r="O18">
        <v>0</v>
      </c>
      <c r="X18" t="str" cm="1">
        <f t="array" ref="X18:AB30">_xlfn.VSTACK(Recibos1[#Headers],Recibos1[#Data])</f>
        <v>Meses</v>
      </c>
      <c r="Y18" t="str">
        <v>Luz</v>
      </c>
      <c r="Z18" t="str">
        <v>Agua</v>
      </c>
      <c r="AA18" t="str">
        <v>Teléfono</v>
      </c>
      <c r="AB18" t="str">
        <v>Seguros</v>
      </c>
      <c r="AD18" t="str" cm="1">
        <f t="array" ref="AD18:AH29">Recibos1[#Data]</f>
        <v>Enero</v>
      </c>
      <c r="AE18">
        <v>61.907877395343803</v>
      </c>
      <c r="AF18">
        <v>62.397107121328531</v>
      </c>
      <c r="AG18">
        <v>38.378248268069953</v>
      </c>
      <c r="AH18">
        <v>0</v>
      </c>
    </row>
    <row r="19" spans="11:34" x14ac:dyDescent="0.25">
      <c r="K19" t="str">
        <v>Octubre</v>
      </c>
      <c r="L19">
        <v>67.847706403668482</v>
      </c>
      <c r="M19">
        <v>64.576388877611379</v>
      </c>
      <c r="N19">
        <v>68.86734926084965</v>
      </c>
      <c r="O19">
        <v>0</v>
      </c>
      <c r="X19" t="str">
        <v>Enero</v>
      </c>
      <c r="Y19">
        <v>61.907877395343803</v>
      </c>
      <c r="Z19">
        <v>62.397107121328531</v>
      </c>
      <c r="AA19">
        <v>38.378248268069953</v>
      </c>
      <c r="AB19">
        <v>0</v>
      </c>
      <c r="AD19" t="str">
        <v>Febrero</v>
      </c>
      <c r="AE19">
        <v>57.494909841766159</v>
      </c>
      <c r="AF19">
        <v>39.828644105178128</v>
      </c>
      <c r="AG19">
        <v>74.340431501038054</v>
      </c>
      <c r="AH19">
        <v>0</v>
      </c>
    </row>
    <row r="20" spans="11:34" x14ac:dyDescent="0.25">
      <c r="X20" t="str">
        <v>Febrero</v>
      </c>
      <c r="Y20">
        <v>57.494909841766159</v>
      </c>
      <c r="Z20">
        <v>39.828644105178128</v>
      </c>
      <c r="AA20">
        <v>74.340431501038054</v>
      </c>
      <c r="AB20">
        <v>0</v>
      </c>
      <c r="AD20" t="str">
        <v>Marzo</v>
      </c>
      <c r="AE20">
        <v>29.203407270666517</v>
      </c>
      <c r="AF20">
        <v>72.368300939890474</v>
      </c>
      <c r="AG20">
        <v>34.08999925753514</v>
      </c>
      <c r="AH20">
        <v>0</v>
      </c>
    </row>
    <row r="21" spans="11:34" x14ac:dyDescent="0.25">
      <c r="X21" t="str">
        <v>Marzo</v>
      </c>
      <c r="Y21">
        <v>29.203407270666517</v>
      </c>
      <c r="Z21">
        <v>72.368300939890474</v>
      </c>
      <c r="AA21">
        <v>34.08999925753514</v>
      </c>
      <c r="AB21">
        <v>0</v>
      </c>
      <c r="AD21" t="str">
        <v>Abril</v>
      </c>
      <c r="AE21">
        <v>52.930791590488809</v>
      </c>
      <c r="AF21">
        <v>27.548746996794023</v>
      </c>
      <c r="AG21">
        <v>38.149989587172968</v>
      </c>
      <c r="AH21">
        <v>0</v>
      </c>
    </row>
    <row r="22" spans="11:34" x14ac:dyDescent="0.25">
      <c r="X22" t="str">
        <v>Abril</v>
      </c>
      <c r="Y22">
        <v>52.930791590488809</v>
      </c>
      <c r="Z22">
        <v>27.548746996794023</v>
      </c>
      <c r="AA22">
        <v>38.149989587172968</v>
      </c>
      <c r="AB22">
        <v>0</v>
      </c>
      <c r="AD22" t="str">
        <v>Mayo</v>
      </c>
      <c r="AE22">
        <v>32.863763702174481</v>
      </c>
      <c r="AF22">
        <v>27.800893111137569</v>
      </c>
      <c r="AG22">
        <v>34.709293790334982</v>
      </c>
      <c r="AH22">
        <v>0</v>
      </c>
    </row>
    <row r="23" spans="11:34" x14ac:dyDescent="0.25">
      <c r="K23" t="str" cm="1">
        <f t="array" ref="K23:N34">_xlfn.CHOOSECOLS(Recibos1[],1,2,3,4)</f>
        <v>Enero</v>
      </c>
      <c r="L23">
        <v>61.907877395343803</v>
      </c>
      <c r="M23">
        <v>62.397107121328531</v>
      </c>
      <c r="N23">
        <v>38.378248268069953</v>
      </c>
      <c r="Q23" t="str" cm="1">
        <f t="array" ref="Q23:T34">_xlfn.DROP(Recibos1[],,-1)</f>
        <v>Enero</v>
      </c>
      <c r="R23">
        <v>61.907877395343803</v>
      </c>
      <c r="S23">
        <v>62.397107121328531</v>
      </c>
      <c r="T23">
        <v>38.378248268069953</v>
      </c>
      <c r="X23" t="str">
        <v>Mayo</v>
      </c>
      <c r="Y23">
        <v>32.863763702174481</v>
      </c>
      <c r="Z23">
        <v>27.800893111137569</v>
      </c>
      <c r="AA23">
        <v>34.709293790334982</v>
      </c>
      <c r="AB23">
        <v>0</v>
      </c>
      <c r="AD23" t="str">
        <v>Junio</v>
      </c>
      <c r="AE23">
        <v>34.98410812728909</v>
      </c>
      <c r="AF23">
        <v>74.638693863772119</v>
      </c>
      <c r="AG23">
        <v>44.42735486200695</v>
      </c>
      <c r="AH23">
        <v>0</v>
      </c>
    </row>
    <row r="24" spans="11:34" x14ac:dyDescent="0.25">
      <c r="K24" t="str">
        <v>Febrero</v>
      </c>
      <c r="L24">
        <v>57.494909841766159</v>
      </c>
      <c r="M24">
        <v>39.828644105178128</v>
      </c>
      <c r="N24">
        <v>74.340431501038054</v>
      </c>
      <c r="Q24" t="str">
        <v>Febrero</v>
      </c>
      <c r="R24">
        <v>57.494909841766159</v>
      </c>
      <c r="S24">
        <v>39.828644105178128</v>
      </c>
      <c r="T24">
        <v>74.340431501038054</v>
      </c>
      <c r="X24" t="str">
        <v>Junio</v>
      </c>
      <c r="Y24">
        <v>34.98410812728909</v>
      </c>
      <c r="Z24">
        <v>74.638693863772119</v>
      </c>
      <c r="AA24">
        <v>44.42735486200695</v>
      </c>
      <c r="AB24">
        <v>0</v>
      </c>
      <c r="AD24" t="str">
        <v>Julio</v>
      </c>
      <c r="AE24">
        <v>73.392686969715584</v>
      </c>
      <c r="AF24">
        <v>31.352602696503524</v>
      </c>
      <c r="AG24">
        <v>37.853944727991603</v>
      </c>
      <c r="AH24">
        <v>0</v>
      </c>
    </row>
    <row r="25" spans="11:34" x14ac:dyDescent="0.25">
      <c r="K25" t="str">
        <v>Marzo</v>
      </c>
      <c r="L25">
        <v>29.203407270666517</v>
      </c>
      <c r="M25">
        <v>72.368300939890474</v>
      </c>
      <c r="N25">
        <v>34.08999925753514</v>
      </c>
      <c r="Q25" t="str">
        <v>Marzo</v>
      </c>
      <c r="R25">
        <v>29.203407270666517</v>
      </c>
      <c r="S25">
        <v>72.368300939890474</v>
      </c>
      <c r="T25">
        <v>34.08999925753514</v>
      </c>
      <c r="X25" t="str">
        <v>Julio</v>
      </c>
      <c r="Y25">
        <v>73.392686969715584</v>
      </c>
      <c r="Z25">
        <v>31.352602696503524</v>
      </c>
      <c r="AA25">
        <v>37.853944727991603</v>
      </c>
      <c r="AB25">
        <v>0</v>
      </c>
      <c r="AD25" t="str">
        <v>Agosto</v>
      </c>
      <c r="AE25">
        <v>37.127349558889463</v>
      </c>
      <c r="AF25">
        <v>54.70547330857535</v>
      </c>
      <c r="AG25">
        <v>31.283211682270661</v>
      </c>
      <c r="AH25">
        <v>0</v>
      </c>
    </row>
    <row r="26" spans="11:34" x14ac:dyDescent="0.25">
      <c r="K26" t="str">
        <v>Abril</v>
      </c>
      <c r="L26">
        <v>52.930791590488809</v>
      </c>
      <c r="M26">
        <v>27.548746996794023</v>
      </c>
      <c r="N26">
        <v>38.149989587172968</v>
      </c>
      <c r="Q26" t="str">
        <v>Abril</v>
      </c>
      <c r="R26">
        <v>52.930791590488809</v>
      </c>
      <c r="S26">
        <v>27.548746996794023</v>
      </c>
      <c r="T26">
        <v>38.149989587172968</v>
      </c>
      <c r="X26" t="str">
        <v>Agosto</v>
      </c>
      <c r="Y26">
        <v>37.127349558889463</v>
      </c>
      <c r="Z26">
        <v>54.70547330857535</v>
      </c>
      <c r="AA26">
        <v>31.283211682270661</v>
      </c>
      <c r="AB26">
        <v>0</v>
      </c>
      <c r="AD26" t="str">
        <v>Septiembre</v>
      </c>
      <c r="AE26">
        <v>48.839568131520863</v>
      </c>
      <c r="AF26">
        <v>28.737206312291434</v>
      </c>
      <c r="AG26">
        <v>45.186712126024446</v>
      </c>
      <c r="AH26">
        <v>0</v>
      </c>
    </row>
    <row r="27" spans="11:34" x14ac:dyDescent="0.25">
      <c r="K27" t="str">
        <v>Mayo</v>
      </c>
      <c r="L27">
        <v>32.863763702174481</v>
      </c>
      <c r="M27">
        <v>27.800893111137569</v>
      </c>
      <c r="N27">
        <v>34.709293790334982</v>
      </c>
      <c r="Q27" t="str">
        <v>Mayo</v>
      </c>
      <c r="R27">
        <v>32.863763702174481</v>
      </c>
      <c r="S27">
        <v>27.800893111137569</v>
      </c>
      <c r="T27">
        <v>34.709293790334982</v>
      </c>
      <c r="X27" t="str">
        <v>Septiembre</v>
      </c>
      <c r="Y27">
        <v>48.839568131520863</v>
      </c>
      <c r="Z27">
        <v>28.737206312291434</v>
      </c>
      <c r="AA27">
        <v>45.186712126024446</v>
      </c>
      <c r="AB27">
        <v>0</v>
      </c>
      <c r="AD27" t="str">
        <v>Octubre</v>
      </c>
      <c r="AE27">
        <v>67.847706403668482</v>
      </c>
      <c r="AF27">
        <v>64.576388877611379</v>
      </c>
      <c r="AG27">
        <v>68.86734926084965</v>
      </c>
      <c r="AH27">
        <v>0</v>
      </c>
    </row>
    <row r="28" spans="11:34" x14ac:dyDescent="0.25">
      <c r="K28" t="str">
        <v>Junio</v>
      </c>
      <c r="L28">
        <v>34.98410812728909</v>
      </c>
      <c r="M28">
        <v>74.638693863772119</v>
      </c>
      <c r="N28">
        <v>44.42735486200695</v>
      </c>
      <c r="Q28" t="str">
        <v>Junio</v>
      </c>
      <c r="R28">
        <v>34.98410812728909</v>
      </c>
      <c r="S28">
        <v>74.638693863772119</v>
      </c>
      <c r="T28">
        <v>44.42735486200695</v>
      </c>
      <c r="X28" t="str">
        <v>Octubre</v>
      </c>
      <c r="Y28">
        <v>67.847706403668482</v>
      </c>
      <c r="Z28">
        <v>64.576388877611379</v>
      </c>
      <c r="AA28">
        <v>68.86734926084965</v>
      </c>
      <c r="AB28">
        <v>0</v>
      </c>
      <c r="AD28" t="str">
        <v>Noviembre</v>
      </c>
      <c r="AE28">
        <v>56.732005423534758</v>
      </c>
      <c r="AF28">
        <v>34.932115676618935</v>
      </c>
      <c r="AG28">
        <v>26.26937586137177</v>
      </c>
      <c r="AH28">
        <v>0</v>
      </c>
    </row>
    <row r="29" spans="11:34" x14ac:dyDescent="0.25">
      <c r="K29" t="str">
        <v>Julio</v>
      </c>
      <c r="L29">
        <v>73.392686969715584</v>
      </c>
      <c r="M29">
        <v>31.352602696503524</v>
      </c>
      <c r="N29">
        <v>37.853944727991603</v>
      </c>
      <c r="Q29" t="str">
        <v>Julio</v>
      </c>
      <c r="R29">
        <v>73.392686969715584</v>
      </c>
      <c r="S29">
        <v>31.352602696503524</v>
      </c>
      <c r="T29">
        <v>37.853944727991603</v>
      </c>
      <c r="X29" t="str">
        <v>Noviembre</v>
      </c>
      <c r="Y29">
        <v>56.732005423534758</v>
      </c>
      <c r="Z29">
        <v>34.932115676618935</v>
      </c>
      <c r="AA29">
        <v>26.26937586137177</v>
      </c>
      <c r="AB29">
        <v>0</v>
      </c>
      <c r="AD29" t="str">
        <v>Diciembre</v>
      </c>
      <c r="AE29">
        <v>64.785377629046579</v>
      </c>
      <c r="AF29">
        <v>74.132006930421653</v>
      </c>
      <c r="AG29">
        <v>29.785923724547942</v>
      </c>
      <c r="AH29">
        <v>0</v>
      </c>
    </row>
    <row r="30" spans="11:34" x14ac:dyDescent="0.25">
      <c r="K30" t="str">
        <v>Agosto</v>
      </c>
      <c r="L30">
        <v>37.127349558889463</v>
      </c>
      <c r="M30">
        <v>54.70547330857535</v>
      </c>
      <c r="N30">
        <v>31.283211682270661</v>
      </c>
      <c r="Q30" t="str">
        <v>Agosto</v>
      </c>
      <c r="R30">
        <v>37.127349558889463</v>
      </c>
      <c r="S30">
        <v>54.70547330857535</v>
      </c>
      <c r="T30">
        <v>31.283211682270661</v>
      </c>
      <c r="X30" t="str">
        <v>Diciembre</v>
      </c>
      <c r="Y30">
        <v>64.785377629046579</v>
      </c>
      <c r="Z30">
        <v>74.132006930421653</v>
      </c>
      <c r="AA30">
        <v>29.785923724547942</v>
      </c>
      <c r="AB30">
        <v>0</v>
      </c>
    </row>
    <row r="31" spans="11:34" x14ac:dyDescent="0.25">
      <c r="K31" t="str">
        <v>Septiembre</v>
      </c>
      <c r="L31">
        <v>48.839568131520863</v>
      </c>
      <c r="M31">
        <v>28.737206312291434</v>
      </c>
      <c r="N31">
        <v>45.186712126024446</v>
      </c>
      <c r="Q31" t="str">
        <v>Septiembre</v>
      </c>
      <c r="R31">
        <v>48.839568131520863</v>
      </c>
      <c r="S31">
        <v>28.737206312291434</v>
      </c>
      <c r="T31">
        <v>45.186712126024446</v>
      </c>
    </row>
    <row r="32" spans="11:34" x14ac:dyDescent="0.25">
      <c r="K32" t="str">
        <v>Octubre</v>
      </c>
      <c r="L32">
        <v>67.847706403668482</v>
      </c>
      <c r="M32">
        <v>64.576388877611379</v>
      </c>
      <c r="N32">
        <v>68.86734926084965</v>
      </c>
      <c r="Q32" t="str">
        <v>Octubre</v>
      </c>
      <c r="R32">
        <v>67.847706403668482</v>
      </c>
      <c r="S32">
        <v>64.576388877611379</v>
      </c>
      <c r="T32">
        <v>68.86734926084965</v>
      </c>
    </row>
    <row r="33" spans="11:20" x14ac:dyDescent="0.25">
      <c r="K33" t="str">
        <v>Noviembre</v>
      </c>
      <c r="L33">
        <v>56.732005423534758</v>
      </c>
      <c r="M33">
        <v>34.932115676618935</v>
      </c>
      <c r="N33">
        <v>26.26937586137177</v>
      </c>
      <c r="Q33" t="str">
        <v>Noviembre</v>
      </c>
      <c r="R33">
        <v>56.732005423534758</v>
      </c>
      <c r="S33">
        <v>34.932115676618935</v>
      </c>
      <c r="T33">
        <v>26.26937586137177</v>
      </c>
    </row>
    <row r="34" spans="11:20" x14ac:dyDescent="0.25">
      <c r="K34" t="str">
        <v>Diciembre</v>
      </c>
      <c r="L34">
        <v>64.785377629046579</v>
      </c>
      <c r="M34">
        <v>74.132006930421653</v>
      </c>
      <c r="N34">
        <v>29.785923724547942</v>
      </c>
      <c r="Q34" t="str">
        <v>Diciembre</v>
      </c>
      <c r="R34">
        <v>64.785377629046579</v>
      </c>
      <c r="S34">
        <v>74.132006930421653</v>
      </c>
      <c r="T34">
        <v>29.785923724547942</v>
      </c>
    </row>
    <row r="44" spans="11:20" x14ac:dyDescent="0.25">
      <c r="K44" t="str" cm="1">
        <f t="array" ref="K44:O56">Recibos1[#All]</f>
        <v>Meses</v>
      </c>
      <c r="L44" t="str">
        <v>Luz</v>
      </c>
      <c r="M44" t="str">
        <v>Agua</v>
      </c>
      <c r="N44" t="str">
        <v>Teléfono</v>
      </c>
      <c r="O44" t="str">
        <v>Seguros</v>
      </c>
    </row>
    <row r="45" spans="11:20" x14ac:dyDescent="0.25">
      <c r="K45" t="str">
        <v>Enero</v>
      </c>
      <c r="L45">
        <v>61.907877395343803</v>
      </c>
      <c r="M45">
        <v>62.397107121328531</v>
      </c>
      <c r="N45">
        <v>38.378248268069953</v>
      </c>
      <c r="O45">
        <v>0</v>
      </c>
    </row>
    <row r="46" spans="11:20" x14ac:dyDescent="0.25">
      <c r="K46" t="str">
        <v>Febrero</v>
      </c>
      <c r="L46">
        <v>57.494909841766159</v>
      </c>
      <c r="M46">
        <v>39.828644105178128</v>
      </c>
      <c r="N46">
        <v>74.340431501038054</v>
      </c>
      <c r="O46">
        <v>0</v>
      </c>
    </row>
    <row r="47" spans="11:20" x14ac:dyDescent="0.25">
      <c r="K47" t="str">
        <v>Marzo</v>
      </c>
      <c r="L47">
        <v>29.203407270666517</v>
      </c>
      <c r="M47">
        <v>72.368300939890474</v>
      </c>
      <c r="N47">
        <v>34.08999925753514</v>
      </c>
      <c r="O47">
        <v>0</v>
      </c>
    </row>
    <row r="48" spans="11:20" x14ac:dyDescent="0.25">
      <c r="K48" t="str">
        <v>Abril</v>
      </c>
      <c r="L48">
        <v>52.930791590488809</v>
      </c>
      <c r="M48">
        <v>27.548746996794023</v>
      </c>
      <c r="N48">
        <v>38.149989587172968</v>
      </c>
      <c r="O48">
        <v>0</v>
      </c>
    </row>
    <row r="49" spans="11:21" x14ac:dyDescent="0.25">
      <c r="K49" t="str">
        <v>Mayo</v>
      </c>
      <c r="L49">
        <v>32.863763702174481</v>
      </c>
      <c r="M49">
        <v>27.800893111137569</v>
      </c>
      <c r="N49">
        <v>34.709293790334982</v>
      </c>
      <c r="O49">
        <v>0</v>
      </c>
    </row>
    <row r="50" spans="11:21" x14ac:dyDescent="0.25">
      <c r="K50" t="str">
        <v>Junio</v>
      </c>
      <c r="L50">
        <v>34.98410812728909</v>
      </c>
      <c r="M50">
        <v>74.638693863772119</v>
      </c>
      <c r="N50">
        <v>44.42735486200695</v>
      </c>
      <c r="O50">
        <v>0</v>
      </c>
    </row>
    <row r="51" spans="11:21" x14ac:dyDescent="0.25">
      <c r="K51" t="str">
        <v>Julio</v>
      </c>
      <c r="L51">
        <v>73.392686969715584</v>
      </c>
      <c r="M51">
        <v>31.352602696503524</v>
      </c>
      <c r="N51">
        <v>37.853944727991603</v>
      </c>
      <c r="O51">
        <v>0</v>
      </c>
    </row>
    <row r="52" spans="11:21" x14ac:dyDescent="0.25">
      <c r="K52" t="str">
        <v>Agosto</v>
      </c>
      <c r="L52">
        <v>37.127349558889463</v>
      </c>
      <c r="M52">
        <v>54.70547330857535</v>
      </c>
      <c r="N52">
        <v>31.283211682270661</v>
      </c>
      <c r="O52">
        <v>0</v>
      </c>
    </row>
    <row r="53" spans="11:21" x14ac:dyDescent="0.25">
      <c r="K53" t="str">
        <v>Septiembre</v>
      </c>
      <c r="L53">
        <v>48.839568131520863</v>
      </c>
      <c r="M53">
        <v>28.737206312291434</v>
      </c>
      <c r="N53">
        <v>45.186712126024446</v>
      </c>
      <c r="O53">
        <v>0</v>
      </c>
    </row>
    <row r="54" spans="11:21" x14ac:dyDescent="0.25">
      <c r="K54" t="str">
        <v>Octubre</v>
      </c>
      <c r="L54">
        <v>67.847706403668482</v>
      </c>
      <c r="M54">
        <v>64.576388877611379</v>
      </c>
      <c r="N54">
        <v>68.86734926084965</v>
      </c>
      <c r="O54">
        <v>0</v>
      </c>
    </row>
    <row r="55" spans="11:21" x14ac:dyDescent="0.25">
      <c r="K55" t="str">
        <v>Noviembre</v>
      </c>
      <c r="L55">
        <v>56.732005423534758</v>
      </c>
      <c r="M55">
        <v>34.932115676618935</v>
      </c>
      <c r="N55">
        <v>26.26937586137177</v>
      </c>
      <c r="O55">
        <v>0</v>
      </c>
    </row>
    <row r="56" spans="11:21" x14ac:dyDescent="0.25">
      <c r="K56" t="str">
        <v>Diciembre</v>
      </c>
      <c r="L56">
        <v>64.785377629046579</v>
      </c>
      <c r="M56">
        <v>74.132006930421653</v>
      </c>
      <c r="N56">
        <v>29.785923724547942</v>
      </c>
      <c r="O56">
        <v>0</v>
      </c>
    </row>
    <row r="60" spans="11:21" x14ac:dyDescent="0.25">
      <c r="K60" t="str" cm="1">
        <f t="array" ref="K60:O72">_xlfn.ANCHORARRAY(K44)</f>
        <v>Meses</v>
      </c>
      <c r="L60" t="str">
        <v>Luz</v>
      </c>
      <c r="M60" t="str">
        <v>Agua</v>
      </c>
      <c r="N60" t="str">
        <v>Teléfono</v>
      </c>
      <c r="O60" t="str">
        <v>Seguros</v>
      </c>
      <c r="Q60" t="s">
        <v>151</v>
      </c>
    </row>
    <row r="61" spans="11:21" x14ac:dyDescent="0.25">
      <c r="K61" t="str">
        <v>Enero</v>
      </c>
      <c r="L61">
        <v>61.907877395343803</v>
      </c>
      <c r="M61">
        <v>62.397107121328531</v>
      </c>
      <c r="N61">
        <v>38.378248268069953</v>
      </c>
      <c r="O61">
        <v>0</v>
      </c>
      <c r="Q61" t="s">
        <v>152</v>
      </c>
    </row>
    <row r="62" spans="11:21" x14ac:dyDescent="0.25">
      <c r="K62" t="str">
        <v>Febrero</v>
      </c>
      <c r="L62">
        <v>57.494909841766159</v>
      </c>
      <c r="M62">
        <v>39.828644105178128</v>
      </c>
      <c r="N62">
        <v>74.340431501038054</v>
      </c>
      <c r="O62">
        <v>0</v>
      </c>
    </row>
    <row r="63" spans="11:21" x14ac:dyDescent="0.25">
      <c r="K63" t="str">
        <v>Marzo</v>
      </c>
      <c r="L63">
        <v>29.203407270666517</v>
      </c>
      <c r="M63">
        <v>72.368300939890474</v>
      </c>
      <c r="N63">
        <v>34.08999925753514</v>
      </c>
      <c r="O63">
        <v>0</v>
      </c>
    </row>
    <row r="64" spans="11:21" x14ac:dyDescent="0.25">
      <c r="K64" t="str">
        <v>Abril</v>
      </c>
      <c r="L64">
        <v>52.930791590488809</v>
      </c>
      <c r="M64">
        <v>27.548746996794023</v>
      </c>
      <c r="N64">
        <v>38.149989587172968</v>
      </c>
      <c r="O64">
        <v>0</v>
      </c>
      <c r="Q64" t="str" cm="1">
        <f t="array" ref="Q64:U66">_xlfn._xlws.FILTER(_xlfn.ANCHORARRAY(K60),(_xlfn.CHOOSECOLS(_xlfn.ANCHORARRAY(K60),1)="Febrero")+(_xlfn.CHOOSECOLS(_xlfn.ANCHORARRAY(K60),4)&gt;50),"---")</f>
        <v>Meses</v>
      </c>
      <c r="R64" t="str">
        <v>Luz</v>
      </c>
      <c r="S64" t="str">
        <v>Agua</v>
      </c>
      <c r="T64" t="str">
        <v>Teléfono</v>
      </c>
      <c r="U64" t="str">
        <v>Seguros</v>
      </c>
    </row>
    <row r="65" spans="11:21" x14ac:dyDescent="0.25">
      <c r="K65" t="str">
        <v>Mayo</v>
      </c>
      <c r="L65">
        <v>32.863763702174481</v>
      </c>
      <c r="M65">
        <v>27.800893111137569</v>
      </c>
      <c r="N65">
        <v>34.709293790334982</v>
      </c>
      <c r="O65">
        <v>0</v>
      </c>
      <c r="Q65" t="str">
        <v>Febrero</v>
      </c>
      <c r="R65">
        <v>57.494909841766159</v>
      </c>
      <c r="S65">
        <v>39.828644105178128</v>
      </c>
      <c r="T65">
        <v>74.340431501038054</v>
      </c>
      <c r="U65">
        <v>0</v>
      </c>
    </row>
    <row r="66" spans="11:21" x14ac:dyDescent="0.25">
      <c r="K66" t="str">
        <v>Junio</v>
      </c>
      <c r="L66">
        <v>34.98410812728909</v>
      </c>
      <c r="M66">
        <v>74.638693863772119</v>
      </c>
      <c r="N66">
        <v>44.42735486200695</v>
      </c>
      <c r="O66">
        <v>0</v>
      </c>
      <c r="Q66" t="str">
        <v>Octubre</v>
      </c>
      <c r="R66">
        <v>67.847706403668482</v>
      </c>
      <c r="S66">
        <v>64.576388877611379</v>
      </c>
      <c r="T66">
        <v>68.86734926084965</v>
      </c>
      <c r="U66">
        <v>0</v>
      </c>
    </row>
    <row r="67" spans="11:21" x14ac:dyDescent="0.25">
      <c r="K67" t="str">
        <v>Julio</v>
      </c>
      <c r="L67">
        <v>73.392686969715584</v>
      </c>
      <c r="M67">
        <v>31.352602696503524</v>
      </c>
      <c r="N67">
        <v>37.853944727991603</v>
      </c>
      <c r="O67">
        <v>0</v>
      </c>
    </row>
    <row r="68" spans="11:21" x14ac:dyDescent="0.25">
      <c r="K68" t="str">
        <v>Agosto</v>
      </c>
      <c r="L68">
        <v>37.127349558889463</v>
      </c>
      <c r="M68">
        <v>54.70547330857535</v>
      </c>
      <c r="N68">
        <v>31.283211682270661</v>
      </c>
      <c r="O68">
        <v>0</v>
      </c>
    </row>
    <row r="69" spans="11:21" x14ac:dyDescent="0.25">
      <c r="K69" t="str">
        <v>Septiembre</v>
      </c>
      <c r="L69">
        <v>48.839568131520863</v>
      </c>
      <c r="M69">
        <v>28.737206312291434</v>
      </c>
      <c r="N69">
        <v>45.186712126024446</v>
      </c>
      <c r="O69">
        <v>0</v>
      </c>
    </row>
    <row r="70" spans="11:21" x14ac:dyDescent="0.25">
      <c r="K70" t="str">
        <v>Octubre</v>
      </c>
      <c r="L70">
        <v>67.847706403668482</v>
      </c>
      <c r="M70">
        <v>64.576388877611379</v>
      </c>
      <c r="N70">
        <v>68.86734926084965</v>
      </c>
      <c r="O70">
        <v>0</v>
      </c>
    </row>
    <row r="71" spans="11:21" x14ac:dyDescent="0.25">
      <c r="K71" t="str">
        <v>Noviembre</v>
      </c>
      <c r="L71">
        <v>56.732005423534758</v>
      </c>
      <c r="M71">
        <v>34.932115676618935</v>
      </c>
      <c r="N71">
        <v>26.26937586137177</v>
      </c>
      <c r="O71">
        <v>0</v>
      </c>
      <c r="Q71" t="s">
        <v>153</v>
      </c>
    </row>
    <row r="72" spans="11:21" x14ac:dyDescent="0.25">
      <c r="K72" t="str">
        <v>Diciembre</v>
      </c>
      <c r="L72">
        <v>64.785377629046579</v>
      </c>
      <c r="M72">
        <v>74.132006930421653</v>
      </c>
      <c r="N72">
        <v>29.785923724547942</v>
      </c>
      <c r="O72">
        <v>0</v>
      </c>
    </row>
    <row r="75" spans="11:21" x14ac:dyDescent="0.25">
      <c r="Q75" t="str" cm="1">
        <f t="array" ref="Q75:U80">_xlfn.VSTACK(_xlfn.TAKE(_xlfn.ANCHORARRAY(K60),1),_xlfn._xlws.FILTER(_xlfn.ANCHORARRAY(K60),(_xlfn.CHOOSECOLS(_xlfn.ANCHORARRAY(K60),3)&gt;(_xlfn.CHOOSECOLS(_xlfn.ANCHORARRAY(K60),2))),"---"))</f>
        <v>Meses</v>
      </c>
      <c r="R75" t="str">
        <v>Luz</v>
      </c>
      <c r="S75" t="str">
        <v>Agua</v>
      </c>
      <c r="T75" t="str">
        <v>Teléfono</v>
      </c>
      <c r="U75" t="str">
        <v>Seguros</v>
      </c>
    </row>
    <row r="76" spans="11:21" x14ac:dyDescent="0.25">
      <c r="Q76" t="str">
        <v>Enero</v>
      </c>
      <c r="R76">
        <v>61.907877395343803</v>
      </c>
      <c r="S76">
        <v>62.397107121328531</v>
      </c>
      <c r="T76">
        <v>38.378248268069953</v>
      </c>
      <c r="U76">
        <v>0</v>
      </c>
    </row>
    <row r="77" spans="11:21" x14ac:dyDescent="0.25">
      <c r="Q77" t="str">
        <v>Marzo</v>
      </c>
      <c r="R77">
        <v>29.203407270666517</v>
      </c>
      <c r="S77">
        <v>72.368300939890474</v>
      </c>
      <c r="T77">
        <v>34.08999925753514</v>
      </c>
      <c r="U77">
        <v>0</v>
      </c>
    </row>
    <row r="78" spans="11:21" x14ac:dyDescent="0.25">
      <c r="Q78" t="str">
        <v>Junio</v>
      </c>
      <c r="R78">
        <v>34.98410812728909</v>
      </c>
      <c r="S78">
        <v>74.638693863772119</v>
      </c>
      <c r="T78">
        <v>44.42735486200695</v>
      </c>
      <c r="U78">
        <v>0</v>
      </c>
    </row>
    <row r="79" spans="11:21" x14ac:dyDescent="0.25">
      <c r="Q79" t="str">
        <v>Agosto</v>
      </c>
      <c r="R79">
        <v>37.127349558889463</v>
      </c>
      <c r="S79">
        <v>54.70547330857535</v>
      </c>
      <c r="T79">
        <v>31.283211682270661</v>
      </c>
      <c r="U79">
        <v>0</v>
      </c>
    </row>
    <row r="80" spans="11:21" x14ac:dyDescent="0.25">
      <c r="Q80" t="str">
        <v>Diciembre</v>
      </c>
      <c r="R80">
        <v>64.785377629046579</v>
      </c>
      <c r="S80">
        <v>74.132006930421653</v>
      </c>
      <c r="T80">
        <v>29.785923724547942</v>
      </c>
      <c r="U80">
        <v>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B103-57D5-4F9D-BEF0-5862C1353430}">
  <sheetPr codeName="Hoja27"/>
  <dimension ref="A1:O5"/>
  <sheetViews>
    <sheetView workbookViewId="0"/>
  </sheetViews>
  <sheetFormatPr baseColWidth="10" defaultRowHeight="15" x14ac:dyDescent="0.25"/>
  <cols>
    <col min="3" max="3" width="20" bestFit="1" customWidth="1"/>
    <col min="7" max="7" width="17.85546875" customWidth="1"/>
    <col min="9" max="9" width="11.7109375" bestFit="1" customWidth="1"/>
  </cols>
  <sheetData>
    <row r="1" spans="1:15" x14ac:dyDescent="0.25">
      <c r="A1">
        <f>_xlfn.LET(_xlpm.a,5,_xlpm.b,10,_xlpm.c,_xlpm.a*_xlpm.b,_xlpm.c)</f>
        <v>50</v>
      </c>
    </row>
    <row r="3" spans="1:15" x14ac:dyDescent="0.25">
      <c r="A3" t="str" cm="1">
        <f t="array" ref="A3:E5">_xlfn.LET(_xlpm.matriz,_xlfn.ANCHORARRAY(TABLAS!K60),_xlpm.Meses,_xlfn.CHOOSECOLS(_xlpm.matriz,1),_xlpm.Teléfono,_xlfn.CHOOSECOLS(_xlpm.matriz,4),_xlpm.Resultado,_xlfn._xlws.FILTER(_xlpm.matriz,(_xlpm.Meses="Febrero")+(_xlpm.Teléfono&gt;50),"---"),_xlpm.Resultado)</f>
        <v>Meses</v>
      </c>
      <c r="B3" t="str">
        <v>Luz</v>
      </c>
      <c r="C3" t="str">
        <v>Agua</v>
      </c>
      <c r="D3" t="str">
        <v>Teléfono</v>
      </c>
      <c r="E3" t="str">
        <v>Seguros</v>
      </c>
      <c r="G3" t="s">
        <v>155</v>
      </c>
      <c r="I3" t="s">
        <v>154</v>
      </c>
      <c r="O3" t="s">
        <v>156</v>
      </c>
    </row>
    <row r="4" spans="1:15" x14ac:dyDescent="0.25">
      <c r="A4" t="str">
        <v>Febrero</v>
      </c>
      <c r="B4">
        <v>57.494909841766159</v>
      </c>
      <c r="C4">
        <v>39.828644105178128</v>
      </c>
      <c r="D4">
        <v>74.340431501038054</v>
      </c>
      <c r="E4">
        <v>0</v>
      </c>
    </row>
    <row r="5" spans="1:15" x14ac:dyDescent="0.25">
      <c r="A5" t="str">
        <v>Octubre</v>
      </c>
      <c r="B5">
        <v>67.847706403668482</v>
      </c>
      <c r="C5">
        <v>64.576388877611379</v>
      </c>
      <c r="D5">
        <v>68.86734926084965</v>
      </c>
      <c r="E5">
        <v>0</v>
      </c>
      <c r="G5">
        <f>_xlfn.LET(_xlpm.matriz,_xlfn.ANCHORARRAY(TABLAS!K60),_xlpm.Teléfono,_xlfn.CHOOSECOLS(_xlpm.matriz,4),_xlpm.sumaelementos,SUM(_xlpm.Teléfono),_xlpm.resultado2,_xlpm.sumaelementos,_xlpm.resultado2)</f>
        <v>503.34183464921415</v>
      </c>
      <c r="I5">
        <f>_xlfn.LET(_xlpm.matriz,_xlfn.ANCHORARRAY(TABLAS!K60),_xlpm.Teléfono,_xlfn.CHOOSECOLS(_xlpm.matriz,4),_xlpm.sumaelementos,SUM(_xlpm.Teléfono),_xlpm.numeroelementos,COUNT(_xlpm.Teléfono),_xlpm.Resultado3,_xlpm.sumaelementos/_xlpm.numeroelementos,_xlpm.Resultado3)</f>
        <v>41.94515288743451</v>
      </c>
      <c r="O5" cm="1">
        <f t="array" ref="O5">_xlfn.LET(_xlpm.matriz,_xlfn.ANCHORARRAY(TABLAS!K60),_xlpm.Meses,_xlfn.CHOOSECOLS(_xlpm.matriz,1),_xlpm.Teléfono,_xlfn.CHOOSECOLS(_xlpm.matriz,4),_xlpm.Resultado,_xlfn._xlws.FILTER(_xlpm.matriz,(_xlpm.Meses="Febrero")+(_xlpm.Teléfono&gt;50),"---"),_xlpm.sumaelementos,SUM(_xlpm.Teléfono),_xlpm.resultado2,_xlpm.sumaelementos,_xlpm.numeroelementos,COUNT(_xlpm.Teléfono),_xlpm.Resultado3,_xlpm.sumaelementos/_xlpm.numeroelementos,_xlpm.RESULTADO4,ROWS(_xlpm.Resultado),_xlpm.RESULTADO4)</f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E97F-2F25-47E7-824A-971353212686}">
  <sheetPr codeName="Hoja28"/>
  <dimension ref="A1:O13"/>
  <sheetViews>
    <sheetView topLeftCell="B1" workbookViewId="0">
      <selection activeCell="H4" sqref="H4"/>
    </sheetView>
  </sheetViews>
  <sheetFormatPr baseColWidth="10" defaultRowHeight="15" x14ac:dyDescent="0.25"/>
  <cols>
    <col min="8" max="8" width="20.5703125" customWidth="1"/>
    <col min="13" max="13" width="17.28515625" customWidth="1"/>
    <col min="14" max="14" width="11.7109375" bestFit="1" customWidth="1"/>
  </cols>
  <sheetData>
    <row r="1" spans="1:15" x14ac:dyDescent="0.25">
      <c r="A1" t="str" cm="1">
        <f t="array" aca="1" ref="A1:D13" ca="1">_xlfn.VSTACK(TRANSPOSE({"Meses";"Luz";"Agua";"Teléfono"}),_xlfn.HSTACK(PROPER(TEXT(DATE(2026,_xlfn.SEQUENCE(12),1),"mmmm")),_xlfn.RANDARRAY(12,3,25,75,FALSE)))</f>
        <v>Meses</v>
      </c>
      <c r="B1" t="str">
        <f ca="1"/>
        <v>Luz</v>
      </c>
      <c r="C1" t="str">
        <f ca="1"/>
        <v>Agua</v>
      </c>
      <c r="D1" t="str">
        <f ca="1"/>
        <v>Teléfono</v>
      </c>
      <c r="H1" t="s">
        <v>157</v>
      </c>
      <c r="N1" t="s">
        <v>13</v>
      </c>
      <c r="O1" t="s">
        <v>15</v>
      </c>
    </row>
    <row r="2" spans="1:15" x14ac:dyDescent="0.25">
      <c r="A2" t="str">
        <f ca="1"/>
        <v>Enero</v>
      </c>
      <c r="B2">
        <f ca="1"/>
        <v>27.786133608216304</v>
      </c>
      <c r="C2">
        <f ca="1"/>
        <v>62.31010153801104</v>
      </c>
      <c r="D2">
        <f ca="1"/>
        <v>52.234036636728476</v>
      </c>
      <c r="N2">
        <f ca="1">_xlfn.LET(_xlpm.matriz,_xlfn.ANCHORARRAY(A1),_xlpm.títulos,_xlfn.TAKE(_xlpm.matriz,1),_xlpm.número,MATCH(N1,_xlpm.títulos,0),_xlpm.número)</f>
        <v>2</v>
      </c>
      <c r="O2">
        <f ca="1">_xlfn.LET(_xlpm.matriz,_xlfn.ANCHORARRAY(A1),_xlpm.títulos,_xlfn.TAKE(_xlpm.matriz,1),_xlpm.número2,MATCH(O1,_xlpm.títulos,0),_xlpm.número2)</f>
        <v>4</v>
      </c>
    </row>
    <row r="3" spans="1:15" x14ac:dyDescent="0.25">
      <c r="A3" t="str">
        <f ca="1"/>
        <v>Febrero</v>
      </c>
      <c r="B3">
        <f ca="1"/>
        <v>62.865968895122535</v>
      </c>
      <c r="C3">
        <f ca="1"/>
        <v>47.415959388718946</v>
      </c>
      <c r="D3">
        <f ca="1"/>
        <v>70.406843052033963</v>
      </c>
    </row>
    <row r="4" spans="1:15" x14ac:dyDescent="0.25">
      <c r="A4" t="str">
        <f ca="1"/>
        <v>Marzo</v>
      </c>
      <c r="B4">
        <f ca="1"/>
        <v>33.7426247093304</v>
      </c>
      <c r="C4">
        <f ca="1"/>
        <v>54.620056487965186</v>
      </c>
      <c r="D4">
        <f ca="1"/>
        <v>34.624522945567691</v>
      </c>
      <c r="H4" t="str">
        <f ca="1">_xlfn.LET(_xlpm.matriz,_xlfn.ANCHORARRAY(A1),_xlpm.Luz,_xlfn.CHOOSECOLS(_xlpm.matriz,2),_xlpm.Agua,_xlfn.CHOOSECOLS(_xlpm.matriz,3),IF(AVERAGE(_xlpm.Luz)&gt;AVERAGE(_xlpm.Agua),"Luz Mayor Promedio","Agua Mayor Promedio"))</f>
        <v>Agua Mayor Promedio</v>
      </c>
    </row>
    <row r="5" spans="1:15" x14ac:dyDescent="0.25">
      <c r="A5" t="str">
        <f ca="1"/>
        <v>Abril</v>
      </c>
      <c r="B5">
        <f ca="1"/>
        <v>38.31625044590055</v>
      </c>
      <c r="C5">
        <f ca="1"/>
        <v>38.293662394361021</v>
      </c>
      <c r="D5">
        <f ca="1"/>
        <v>32.430057503899945</v>
      </c>
      <c r="M5" t="s">
        <v>327</v>
      </c>
    </row>
    <row r="6" spans="1:15" x14ac:dyDescent="0.25">
      <c r="A6" t="str">
        <f ca="1"/>
        <v>Mayo</v>
      </c>
      <c r="B6">
        <f ca="1"/>
        <v>67.237679244421471</v>
      </c>
      <c r="C6">
        <f ca="1"/>
        <v>40.81097614649974</v>
      </c>
      <c r="D6">
        <f ca="1"/>
        <v>65.723214524828606</v>
      </c>
      <c r="M6" t="str">
        <f ca="1">_xlfn.LET(_xlpm.matriz,_xlfn.ANCHORARRAY(A1),
_xlpm.títulos,_xlfn.TAKE(_xlpm.matriz,1),
_xlpm.número1,MATCH(N1,_xlpm.títulos,0),
_xlpm.número2,MATCH(O1,_xlpm.títulos,0),
_xlpm._columnaA,_xlfn.CHOOSECOLS(_xlpm.matriz,_xlpm.número1),
_xlpm._columnaB,_xlfn.CHOOSECOLS(_xlpm.matriz,_xlpm.número2),
_xlpm.out,IF(AVERAGE(_xlpm._columnaA)&gt;AVERAGE(_xlpm._columnaB),N1&amp; " es mayor",O1&amp; " es mayor"),
_xlpm.out)</f>
        <v>Teléfono es mayor</v>
      </c>
    </row>
    <row r="7" spans="1:15" x14ac:dyDescent="0.25">
      <c r="A7" t="str">
        <f ca="1"/>
        <v>Junio</v>
      </c>
      <c r="B7">
        <f ca="1"/>
        <v>31.087729086251485</v>
      </c>
      <c r="C7">
        <f ca="1"/>
        <v>57.278442632374222</v>
      </c>
      <c r="D7">
        <f ca="1"/>
        <v>71.526529669775783</v>
      </c>
    </row>
    <row r="8" spans="1:15" x14ac:dyDescent="0.25">
      <c r="A8" t="str">
        <f ca="1"/>
        <v>Julio</v>
      </c>
      <c r="B8">
        <f ca="1"/>
        <v>28.236822837668555</v>
      </c>
      <c r="C8">
        <f ca="1"/>
        <v>54.783113480848073</v>
      </c>
      <c r="D8">
        <f ca="1"/>
        <v>44.023232698213931</v>
      </c>
    </row>
    <row r="9" spans="1:15" x14ac:dyDescent="0.25">
      <c r="A9" t="str">
        <f ca="1"/>
        <v>Agosto</v>
      </c>
      <c r="B9">
        <f ca="1"/>
        <v>45.32460664836114</v>
      </c>
      <c r="C9">
        <f ca="1"/>
        <v>31.492209148855409</v>
      </c>
      <c r="D9">
        <f ca="1"/>
        <v>51.613800238080842</v>
      </c>
    </row>
    <row r="10" spans="1:15" x14ac:dyDescent="0.25">
      <c r="A10" t="str">
        <f ca="1"/>
        <v>Septiembre</v>
      </c>
      <c r="B10">
        <f ca="1"/>
        <v>55.87148951362407</v>
      </c>
      <c r="C10">
        <f ca="1"/>
        <v>64.700480490042978</v>
      </c>
      <c r="D10">
        <f ca="1"/>
        <v>36.779111772291728</v>
      </c>
    </row>
    <row r="11" spans="1:15" x14ac:dyDescent="0.25">
      <c r="A11" t="str">
        <f ca="1"/>
        <v>Octubre</v>
      </c>
      <c r="B11">
        <f ca="1"/>
        <v>67.13645839031264</v>
      </c>
      <c r="C11">
        <f ca="1"/>
        <v>39.867407755255684</v>
      </c>
      <c r="D11">
        <f ca="1"/>
        <v>52.10282031013783</v>
      </c>
    </row>
    <row r="12" spans="1:15" x14ac:dyDescent="0.25">
      <c r="A12" t="str">
        <f ca="1"/>
        <v>Noviembre</v>
      </c>
      <c r="B12">
        <f ca="1"/>
        <v>37.210956212904904</v>
      </c>
      <c r="C12">
        <f ca="1"/>
        <v>48.225616670582781</v>
      </c>
      <c r="D12">
        <f ca="1"/>
        <v>52.132118042109994</v>
      </c>
    </row>
    <row r="13" spans="1:15" x14ac:dyDescent="0.25">
      <c r="A13" t="str">
        <f ca="1"/>
        <v>Diciembre</v>
      </c>
      <c r="B13">
        <f ca="1"/>
        <v>28.221532922989539</v>
      </c>
      <c r="C13">
        <f ca="1"/>
        <v>64.945215129288357</v>
      </c>
      <c r="D13">
        <f ca="1"/>
        <v>59.929119519984766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CA6E-7E34-41ED-91C2-266464341B0D}">
  <sheetPr codeName="Hoja30"/>
  <dimension ref="A1:F10000"/>
  <sheetViews>
    <sheetView topLeftCell="A9731" workbookViewId="0">
      <selection activeCell="A9752" sqref="A9752:XFD9752"/>
    </sheetView>
  </sheetViews>
  <sheetFormatPr baseColWidth="10" defaultRowHeight="15" x14ac:dyDescent="0.25"/>
  <cols>
    <col min="6" max="6" width="23.28515625" customWidth="1"/>
  </cols>
  <sheetData>
    <row r="1" spans="1:2" x14ac:dyDescent="0.25">
      <c r="A1">
        <v>1</v>
      </c>
      <c r="B1" t="str">
        <f>_xlfn.UNICHAR(A1)</f>
        <v>_x0001_</v>
      </c>
    </row>
    <row r="2" spans="1:2" x14ac:dyDescent="0.25">
      <c r="A2">
        <v>2</v>
      </c>
      <c r="B2" t="str">
        <f t="shared" ref="B2:B65" si="0">_xlfn.UNICHAR(A2)</f>
        <v>_x0002_</v>
      </c>
    </row>
    <row r="3" spans="1:2" x14ac:dyDescent="0.25">
      <c r="A3">
        <v>3</v>
      </c>
      <c r="B3" t="str">
        <f t="shared" si="0"/>
        <v>_x0003_</v>
      </c>
    </row>
    <row r="4" spans="1:2" x14ac:dyDescent="0.25">
      <c r="A4">
        <v>4</v>
      </c>
      <c r="B4" t="str">
        <f t="shared" si="0"/>
        <v>_x0004_</v>
      </c>
    </row>
    <row r="5" spans="1:2" x14ac:dyDescent="0.25">
      <c r="A5">
        <v>5</v>
      </c>
      <c r="B5" t="str">
        <f t="shared" si="0"/>
        <v>_x0005_</v>
      </c>
    </row>
    <row r="6" spans="1:2" x14ac:dyDescent="0.25">
      <c r="A6">
        <v>6</v>
      </c>
      <c r="B6" t="str">
        <f t="shared" si="0"/>
        <v>_x0006_</v>
      </c>
    </row>
    <row r="7" spans="1:2" x14ac:dyDescent="0.25">
      <c r="A7">
        <v>7</v>
      </c>
      <c r="B7" t="str">
        <f t="shared" si="0"/>
        <v>_x0007_</v>
      </c>
    </row>
    <row r="8" spans="1:2" x14ac:dyDescent="0.25">
      <c r="A8">
        <v>8</v>
      </c>
      <c r="B8" t="str">
        <f t="shared" si="0"/>
        <v>_x0008_</v>
      </c>
    </row>
    <row r="9" spans="1:2" x14ac:dyDescent="0.25">
      <c r="A9">
        <v>9</v>
      </c>
      <c r="B9" t="str">
        <f t="shared" si="0"/>
        <v xml:space="preserve">	</v>
      </c>
    </row>
    <row r="10" spans="1:2" x14ac:dyDescent="0.25">
      <c r="A10">
        <v>10</v>
      </c>
      <c r="B10" t="str">
        <f t="shared" si="0"/>
        <v xml:space="preserve">
</v>
      </c>
    </row>
    <row r="11" spans="1:2" x14ac:dyDescent="0.25">
      <c r="A11">
        <v>11</v>
      </c>
      <c r="B11" t="str">
        <f t="shared" si="0"/>
        <v>_x000B_</v>
      </c>
    </row>
    <row r="12" spans="1:2" x14ac:dyDescent="0.25">
      <c r="A12">
        <v>12</v>
      </c>
      <c r="B12" t="str">
        <f t="shared" si="0"/>
        <v>_x000C_</v>
      </c>
    </row>
    <row r="13" spans="1:2" x14ac:dyDescent="0.25">
      <c r="A13">
        <v>13</v>
      </c>
      <c r="B13" t="str">
        <f t="shared" si="0"/>
        <v>_x000D_</v>
      </c>
    </row>
    <row r="14" spans="1:2" x14ac:dyDescent="0.25">
      <c r="A14">
        <v>14</v>
      </c>
      <c r="B14" t="str">
        <f t="shared" si="0"/>
        <v>_x000E_</v>
      </c>
    </row>
    <row r="15" spans="1:2" x14ac:dyDescent="0.25">
      <c r="A15">
        <v>15</v>
      </c>
      <c r="B15" t="str">
        <f t="shared" si="0"/>
        <v>_x000F_</v>
      </c>
    </row>
    <row r="16" spans="1:2" x14ac:dyDescent="0.25">
      <c r="A16">
        <v>16</v>
      </c>
      <c r="B16" t="str">
        <f t="shared" si="0"/>
        <v>_x0010_</v>
      </c>
    </row>
    <row r="17" spans="1:2" x14ac:dyDescent="0.25">
      <c r="A17">
        <v>17</v>
      </c>
      <c r="B17" t="str">
        <f t="shared" si="0"/>
        <v>_x0011_</v>
      </c>
    </row>
    <row r="18" spans="1:2" x14ac:dyDescent="0.25">
      <c r="A18">
        <v>18</v>
      </c>
      <c r="B18" t="str">
        <f t="shared" si="0"/>
        <v>_x0012_</v>
      </c>
    </row>
    <row r="19" spans="1:2" x14ac:dyDescent="0.25">
      <c r="A19">
        <v>19</v>
      </c>
      <c r="B19" t="str">
        <f t="shared" si="0"/>
        <v>_x0013_</v>
      </c>
    </row>
    <row r="20" spans="1:2" x14ac:dyDescent="0.25">
      <c r="A20">
        <v>20</v>
      </c>
      <c r="B20" t="str">
        <f t="shared" si="0"/>
        <v>_x0014_</v>
      </c>
    </row>
    <row r="21" spans="1:2" x14ac:dyDescent="0.25">
      <c r="A21">
        <v>21</v>
      </c>
      <c r="B21" t="str">
        <f t="shared" si="0"/>
        <v>_x0015_</v>
      </c>
    </row>
    <row r="22" spans="1:2" x14ac:dyDescent="0.25">
      <c r="A22">
        <v>22</v>
      </c>
      <c r="B22" t="str">
        <f t="shared" si="0"/>
        <v>_x0016_</v>
      </c>
    </row>
    <row r="23" spans="1:2" x14ac:dyDescent="0.25">
      <c r="A23">
        <v>23</v>
      </c>
      <c r="B23" t="str">
        <f t="shared" si="0"/>
        <v>_x0017_</v>
      </c>
    </row>
    <row r="24" spans="1:2" x14ac:dyDescent="0.25">
      <c r="A24">
        <v>24</v>
      </c>
      <c r="B24" t="str">
        <f t="shared" si="0"/>
        <v>_x0018_</v>
      </c>
    </row>
    <row r="25" spans="1:2" x14ac:dyDescent="0.25">
      <c r="A25">
        <v>25</v>
      </c>
      <c r="B25" t="str">
        <f t="shared" si="0"/>
        <v>_x0019_</v>
      </c>
    </row>
    <row r="26" spans="1:2" x14ac:dyDescent="0.25">
      <c r="A26">
        <v>26</v>
      </c>
      <c r="B26" t="str">
        <f t="shared" si="0"/>
        <v>_x001A_</v>
      </c>
    </row>
    <row r="27" spans="1:2" x14ac:dyDescent="0.25">
      <c r="A27">
        <v>27</v>
      </c>
      <c r="B27" t="str">
        <f t="shared" si="0"/>
        <v>_x001B_</v>
      </c>
    </row>
    <row r="28" spans="1:2" x14ac:dyDescent="0.25">
      <c r="A28">
        <v>28</v>
      </c>
      <c r="B28" t="str">
        <f t="shared" si="0"/>
        <v>_x001C_</v>
      </c>
    </row>
    <row r="29" spans="1:2" x14ac:dyDescent="0.25">
      <c r="A29">
        <v>29</v>
      </c>
      <c r="B29" t="str">
        <f t="shared" si="0"/>
        <v>_x001D_</v>
      </c>
    </row>
    <row r="30" spans="1:2" x14ac:dyDescent="0.25">
      <c r="A30">
        <v>30</v>
      </c>
      <c r="B30" t="str">
        <f t="shared" si="0"/>
        <v>_x001E_</v>
      </c>
    </row>
    <row r="31" spans="1:2" x14ac:dyDescent="0.25">
      <c r="A31">
        <v>31</v>
      </c>
      <c r="B31" t="str">
        <f t="shared" si="0"/>
        <v>_x001F_</v>
      </c>
    </row>
    <row r="32" spans="1:2" x14ac:dyDescent="0.25">
      <c r="A32">
        <v>32</v>
      </c>
      <c r="B32" t="str">
        <f t="shared" si="0"/>
        <v xml:space="preserve"> </v>
      </c>
    </row>
    <row r="33" spans="1:2" x14ac:dyDescent="0.25">
      <c r="A33">
        <v>33</v>
      </c>
      <c r="B33" t="str">
        <f t="shared" si="0"/>
        <v>!</v>
      </c>
    </row>
    <row r="34" spans="1:2" x14ac:dyDescent="0.25">
      <c r="A34">
        <v>34</v>
      </c>
      <c r="B34" t="str">
        <f t="shared" si="0"/>
        <v>"</v>
      </c>
    </row>
    <row r="35" spans="1:2" x14ac:dyDescent="0.25">
      <c r="A35">
        <v>35</v>
      </c>
      <c r="B35" t="str">
        <f t="shared" si="0"/>
        <v>#</v>
      </c>
    </row>
    <row r="36" spans="1:2" x14ac:dyDescent="0.25">
      <c r="A36">
        <v>36</v>
      </c>
      <c r="B36" t="str">
        <f t="shared" si="0"/>
        <v>$</v>
      </c>
    </row>
    <row r="37" spans="1:2" x14ac:dyDescent="0.25">
      <c r="A37">
        <v>37</v>
      </c>
      <c r="B37" t="str">
        <f t="shared" si="0"/>
        <v>%</v>
      </c>
    </row>
    <row r="38" spans="1:2" x14ac:dyDescent="0.25">
      <c r="A38">
        <v>38</v>
      </c>
      <c r="B38" t="str">
        <f t="shared" si="0"/>
        <v>&amp;</v>
      </c>
    </row>
    <row r="39" spans="1:2" x14ac:dyDescent="0.25">
      <c r="A39">
        <v>39</v>
      </c>
      <c r="B39" t="str">
        <f t="shared" si="0"/>
        <v>'</v>
      </c>
    </row>
    <row r="40" spans="1:2" x14ac:dyDescent="0.25">
      <c r="A40">
        <v>40</v>
      </c>
      <c r="B40" t="str">
        <f t="shared" si="0"/>
        <v>(</v>
      </c>
    </row>
    <row r="41" spans="1:2" x14ac:dyDescent="0.25">
      <c r="A41">
        <v>41</v>
      </c>
      <c r="B41" t="str">
        <f t="shared" si="0"/>
        <v>)</v>
      </c>
    </row>
    <row r="42" spans="1:2" x14ac:dyDescent="0.25">
      <c r="A42">
        <v>42</v>
      </c>
      <c r="B42" t="str">
        <f t="shared" si="0"/>
        <v>*</v>
      </c>
    </row>
    <row r="43" spans="1:2" x14ac:dyDescent="0.25">
      <c r="A43">
        <v>43</v>
      </c>
      <c r="B43" t="str">
        <f t="shared" si="0"/>
        <v>+</v>
      </c>
    </row>
    <row r="44" spans="1:2" x14ac:dyDescent="0.25">
      <c r="A44">
        <v>44</v>
      </c>
      <c r="B44" t="str">
        <f t="shared" si="0"/>
        <v>,</v>
      </c>
    </row>
    <row r="45" spans="1:2" x14ac:dyDescent="0.25">
      <c r="A45">
        <v>45</v>
      </c>
      <c r="B45" t="str">
        <f t="shared" si="0"/>
        <v>-</v>
      </c>
    </row>
    <row r="46" spans="1:2" x14ac:dyDescent="0.25">
      <c r="A46">
        <v>46</v>
      </c>
      <c r="B46" t="str">
        <f t="shared" si="0"/>
        <v>.</v>
      </c>
    </row>
    <row r="47" spans="1:2" x14ac:dyDescent="0.25">
      <c r="A47">
        <v>47</v>
      </c>
      <c r="B47" t="str">
        <f t="shared" si="0"/>
        <v>/</v>
      </c>
    </row>
    <row r="48" spans="1:2" x14ac:dyDescent="0.25">
      <c r="A48">
        <v>48</v>
      </c>
      <c r="B48" t="str">
        <f t="shared" si="0"/>
        <v>0</v>
      </c>
    </row>
    <row r="49" spans="1:2" x14ac:dyDescent="0.25">
      <c r="A49">
        <v>49</v>
      </c>
      <c r="B49" t="str">
        <f t="shared" si="0"/>
        <v>1</v>
      </c>
    </row>
    <row r="50" spans="1:2" x14ac:dyDescent="0.25">
      <c r="A50">
        <v>50</v>
      </c>
      <c r="B50" t="str">
        <f t="shared" si="0"/>
        <v>2</v>
      </c>
    </row>
    <row r="51" spans="1:2" x14ac:dyDescent="0.25">
      <c r="A51">
        <v>51</v>
      </c>
      <c r="B51" t="str">
        <f t="shared" si="0"/>
        <v>3</v>
      </c>
    </row>
    <row r="52" spans="1:2" x14ac:dyDescent="0.25">
      <c r="A52">
        <v>52</v>
      </c>
      <c r="B52" t="str">
        <f t="shared" si="0"/>
        <v>4</v>
      </c>
    </row>
    <row r="53" spans="1:2" x14ac:dyDescent="0.25">
      <c r="A53">
        <v>53</v>
      </c>
      <c r="B53" t="str">
        <f t="shared" si="0"/>
        <v>5</v>
      </c>
    </row>
    <row r="54" spans="1:2" x14ac:dyDescent="0.25">
      <c r="A54">
        <v>54</v>
      </c>
      <c r="B54" t="str">
        <f t="shared" si="0"/>
        <v>6</v>
      </c>
    </row>
    <row r="55" spans="1:2" x14ac:dyDescent="0.25">
      <c r="A55">
        <v>55</v>
      </c>
      <c r="B55" t="str">
        <f t="shared" si="0"/>
        <v>7</v>
      </c>
    </row>
    <row r="56" spans="1:2" x14ac:dyDescent="0.25">
      <c r="A56">
        <v>56</v>
      </c>
      <c r="B56" t="str">
        <f t="shared" si="0"/>
        <v>8</v>
      </c>
    </row>
    <row r="57" spans="1:2" x14ac:dyDescent="0.25">
      <c r="A57">
        <v>57</v>
      </c>
      <c r="B57" t="str">
        <f t="shared" si="0"/>
        <v>9</v>
      </c>
    </row>
    <row r="58" spans="1:2" x14ac:dyDescent="0.25">
      <c r="A58">
        <v>58</v>
      </c>
      <c r="B58" t="str">
        <f t="shared" si="0"/>
        <v>:</v>
      </c>
    </row>
    <row r="59" spans="1:2" x14ac:dyDescent="0.25">
      <c r="A59">
        <v>59</v>
      </c>
      <c r="B59" t="str">
        <f t="shared" si="0"/>
        <v>;</v>
      </c>
    </row>
    <row r="60" spans="1:2" x14ac:dyDescent="0.25">
      <c r="A60">
        <v>60</v>
      </c>
      <c r="B60" t="str">
        <f t="shared" si="0"/>
        <v>&lt;</v>
      </c>
    </row>
    <row r="61" spans="1:2" x14ac:dyDescent="0.25">
      <c r="A61">
        <v>61</v>
      </c>
      <c r="B61" t="str">
        <f t="shared" si="0"/>
        <v>=</v>
      </c>
    </row>
    <row r="62" spans="1:2" x14ac:dyDescent="0.25">
      <c r="A62">
        <v>62</v>
      </c>
      <c r="B62" t="str">
        <f t="shared" si="0"/>
        <v>&gt;</v>
      </c>
    </row>
    <row r="63" spans="1:2" x14ac:dyDescent="0.25">
      <c r="A63">
        <v>63</v>
      </c>
      <c r="B63" t="str">
        <f t="shared" si="0"/>
        <v>?</v>
      </c>
    </row>
    <row r="64" spans="1:2" x14ac:dyDescent="0.25">
      <c r="A64">
        <v>64</v>
      </c>
      <c r="B64" t="str">
        <f t="shared" si="0"/>
        <v>@</v>
      </c>
    </row>
    <row r="65" spans="1:2" x14ac:dyDescent="0.25">
      <c r="A65">
        <v>65</v>
      </c>
      <c r="B65" t="str">
        <f t="shared" si="0"/>
        <v>A</v>
      </c>
    </row>
    <row r="66" spans="1:2" x14ac:dyDescent="0.25">
      <c r="A66">
        <v>66</v>
      </c>
      <c r="B66" t="str">
        <f t="shared" ref="B66:B129" si="1">_xlfn.UNICHAR(A66)</f>
        <v>B</v>
      </c>
    </row>
    <row r="67" spans="1:2" x14ac:dyDescent="0.25">
      <c r="A67">
        <v>67</v>
      </c>
      <c r="B67" t="str">
        <f t="shared" si="1"/>
        <v>C</v>
      </c>
    </row>
    <row r="68" spans="1:2" x14ac:dyDescent="0.25">
      <c r="A68">
        <v>68</v>
      </c>
      <c r="B68" t="str">
        <f t="shared" si="1"/>
        <v>D</v>
      </c>
    </row>
    <row r="69" spans="1:2" x14ac:dyDescent="0.25">
      <c r="A69">
        <v>69</v>
      </c>
      <c r="B69" t="str">
        <f t="shared" si="1"/>
        <v>E</v>
      </c>
    </row>
    <row r="70" spans="1:2" x14ac:dyDescent="0.25">
      <c r="A70">
        <v>70</v>
      </c>
      <c r="B70" t="str">
        <f t="shared" si="1"/>
        <v>F</v>
      </c>
    </row>
    <row r="71" spans="1:2" x14ac:dyDescent="0.25">
      <c r="A71">
        <v>71</v>
      </c>
      <c r="B71" t="str">
        <f t="shared" si="1"/>
        <v>G</v>
      </c>
    </row>
    <row r="72" spans="1:2" x14ac:dyDescent="0.25">
      <c r="A72">
        <v>72</v>
      </c>
      <c r="B72" t="str">
        <f t="shared" si="1"/>
        <v>H</v>
      </c>
    </row>
    <row r="73" spans="1:2" x14ac:dyDescent="0.25">
      <c r="A73">
        <v>73</v>
      </c>
      <c r="B73" t="str">
        <f t="shared" si="1"/>
        <v>I</v>
      </c>
    </row>
    <row r="74" spans="1:2" x14ac:dyDescent="0.25">
      <c r="A74">
        <v>74</v>
      </c>
      <c r="B74" t="str">
        <f t="shared" si="1"/>
        <v>J</v>
      </c>
    </row>
    <row r="75" spans="1:2" x14ac:dyDescent="0.25">
      <c r="A75">
        <v>75</v>
      </c>
      <c r="B75" t="str">
        <f t="shared" si="1"/>
        <v>K</v>
      </c>
    </row>
    <row r="76" spans="1:2" x14ac:dyDescent="0.25">
      <c r="A76">
        <v>76</v>
      </c>
      <c r="B76" t="str">
        <f t="shared" si="1"/>
        <v>L</v>
      </c>
    </row>
    <row r="77" spans="1:2" x14ac:dyDescent="0.25">
      <c r="A77">
        <v>77</v>
      </c>
      <c r="B77" t="str">
        <f t="shared" si="1"/>
        <v>M</v>
      </c>
    </row>
    <row r="78" spans="1:2" x14ac:dyDescent="0.25">
      <c r="A78">
        <v>78</v>
      </c>
      <c r="B78" t="str">
        <f t="shared" si="1"/>
        <v>N</v>
      </c>
    </row>
    <row r="79" spans="1:2" x14ac:dyDescent="0.25">
      <c r="A79">
        <v>79</v>
      </c>
      <c r="B79" t="str">
        <f t="shared" si="1"/>
        <v>O</v>
      </c>
    </row>
    <row r="80" spans="1:2" x14ac:dyDescent="0.25">
      <c r="A80">
        <v>80</v>
      </c>
      <c r="B80" t="str">
        <f t="shared" si="1"/>
        <v>P</v>
      </c>
    </row>
    <row r="81" spans="1:2" x14ac:dyDescent="0.25">
      <c r="A81">
        <v>81</v>
      </c>
      <c r="B81" t="str">
        <f t="shared" si="1"/>
        <v>Q</v>
      </c>
    </row>
    <row r="82" spans="1:2" x14ac:dyDescent="0.25">
      <c r="A82">
        <v>82</v>
      </c>
      <c r="B82" t="str">
        <f t="shared" si="1"/>
        <v>R</v>
      </c>
    </row>
    <row r="83" spans="1:2" x14ac:dyDescent="0.25">
      <c r="A83">
        <v>83</v>
      </c>
      <c r="B83" t="str">
        <f t="shared" si="1"/>
        <v>S</v>
      </c>
    </row>
    <row r="84" spans="1:2" x14ac:dyDescent="0.25">
      <c r="A84">
        <v>84</v>
      </c>
      <c r="B84" t="str">
        <f t="shared" si="1"/>
        <v>T</v>
      </c>
    </row>
    <row r="85" spans="1:2" x14ac:dyDescent="0.25">
      <c r="A85">
        <v>85</v>
      </c>
      <c r="B85" t="str">
        <f t="shared" si="1"/>
        <v>U</v>
      </c>
    </row>
    <row r="86" spans="1:2" x14ac:dyDescent="0.25">
      <c r="A86">
        <v>86</v>
      </c>
      <c r="B86" t="str">
        <f t="shared" si="1"/>
        <v>V</v>
      </c>
    </row>
    <row r="87" spans="1:2" x14ac:dyDescent="0.25">
      <c r="A87">
        <v>87</v>
      </c>
      <c r="B87" t="str">
        <f t="shared" si="1"/>
        <v>W</v>
      </c>
    </row>
    <row r="88" spans="1:2" x14ac:dyDescent="0.25">
      <c r="A88">
        <v>88</v>
      </c>
      <c r="B88" t="str">
        <f t="shared" si="1"/>
        <v>X</v>
      </c>
    </row>
    <row r="89" spans="1:2" x14ac:dyDescent="0.25">
      <c r="A89">
        <v>89</v>
      </c>
      <c r="B89" t="str">
        <f t="shared" si="1"/>
        <v>Y</v>
      </c>
    </row>
    <row r="90" spans="1:2" x14ac:dyDescent="0.25">
      <c r="A90">
        <v>90</v>
      </c>
      <c r="B90" t="str">
        <f t="shared" si="1"/>
        <v>Z</v>
      </c>
    </row>
    <row r="91" spans="1:2" x14ac:dyDescent="0.25">
      <c r="A91">
        <v>91</v>
      </c>
      <c r="B91" t="str">
        <f t="shared" si="1"/>
        <v>[</v>
      </c>
    </row>
    <row r="92" spans="1:2" x14ac:dyDescent="0.25">
      <c r="A92">
        <v>92</v>
      </c>
      <c r="B92" t="str">
        <f t="shared" si="1"/>
        <v>\</v>
      </c>
    </row>
    <row r="93" spans="1:2" x14ac:dyDescent="0.25">
      <c r="A93">
        <v>93</v>
      </c>
      <c r="B93" t="str">
        <f t="shared" si="1"/>
        <v>]</v>
      </c>
    </row>
    <row r="94" spans="1:2" x14ac:dyDescent="0.25">
      <c r="A94">
        <v>94</v>
      </c>
      <c r="B94" t="str">
        <f t="shared" si="1"/>
        <v>^</v>
      </c>
    </row>
    <row r="95" spans="1:2" x14ac:dyDescent="0.25">
      <c r="A95">
        <v>95</v>
      </c>
      <c r="B95" t="str">
        <f t="shared" si="1"/>
        <v>_</v>
      </c>
    </row>
    <row r="96" spans="1:2" x14ac:dyDescent="0.25">
      <c r="A96">
        <v>96</v>
      </c>
      <c r="B96" t="str">
        <f t="shared" si="1"/>
        <v>`</v>
      </c>
    </row>
    <row r="97" spans="1:2" x14ac:dyDescent="0.25">
      <c r="A97">
        <v>97</v>
      </c>
      <c r="B97" t="str">
        <f t="shared" si="1"/>
        <v>a</v>
      </c>
    </row>
    <row r="98" spans="1:2" x14ac:dyDescent="0.25">
      <c r="A98">
        <v>98</v>
      </c>
      <c r="B98" t="str">
        <f t="shared" si="1"/>
        <v>b</v>
      </c>
    </row>
    <row r="99" spans="1:2" x14ac:dyDescent="0.25">
      <c r="A99">
        <v>99</v>
      </c>
      <c r="B99" t="str">
        <f t="shared" si="1"/>
        <v>c</v>
      </c>
    </row>
    <row r="100" spans="1:2" x14ac:dyDescent="0.25">
      <c r="A100">
        <v>100</v>
      </c>
      <c r="B100" t="str">
        <f t="shared" si="1"/>
        <v>d</v>
      </c>
    </row>
    <row r="101" spans="1:2" x14ac:dyDescent="0.25">
      <c r="A101">
        <v>101</v>
      </c>
      <c r="B101" t="str">
        <f t="shared" si="1"/>
        <v>e</v>
      </c>
    </row>
    <row r="102" spans="1:2" x14ac:dyDescent="0.25">
      <c r="A102">
        <v>102</v>
      </c>
      <c r="B102" t="str">
        <f t="shared" si="1"/>
        <v>f</v>
      </c>
    </row>
    <row r="103" spans="1:2" x14ac:dyDescent="0.25">
      <c r="A103">
        <v>103</v>
      </c>
      <c r="B103" t="str">
        <f t="shared" si="1"/>
        <v>g</v>
      </c>
    </row>
    <row r="104" spans="1:2" x14ac:dyDescent="0.25">
      <c r="A104">
        <v>104</v>
      </c>
      <c r="B104" t="str">
        <f t="shared" si="1"/>
        <v>h</v>
      </c>
    </row>
    <row r="105" spans="1:2" x14ac:dyDescent="0.25">
      <c r="A105">
        <v>105</v>
      </c>
      <c r="B105" t="str">
        <f t="shared" si="1"/>
        <v>i</v>
      </c>
    </row>
    <row r="106" spans="1:2" x14ac:dyDescent="0.25">
      <c r="A106">
        <v>106</v>
      </c>
      <c r="B106" t="str">
        <f t="shared" si="1"/>
        <v>j</v>
      </c>
    </row>
    <row r="107" spans="1:2" x14ac:dyDescent="0.25">
      <c r="A107">
        <v>107</v>
      </c>
      <c r="B107" t="str">
        <f t="shared" si="1"/>
        <v>k</v>
      </c>
    </row>
    <row r="108" spans="1:2" x14ac:dyDescent="0.25">
      <c r="A108">
        <v>108</v>
      </c>
      <c r="B108" t="str">
        <f t="shared" si="1"/>
        <v>l</v>
      </c>
    </row>
    <row r="109" spans="1:2" x14ac:dyDescent="0.25">
      <c r="A109">
        <v>109</v>
      </c>
      <c r="B109" t="str">
        <f t="shared" si="1"/>
        <v>m</v>
      </c>
    </row>
    <row r="110" spans="1:2" x14ac:dyDescent="0.25">
      <c r="A110">
        <v>110</v>
      </c>
      <c r="B110" t="str">
        <f t="shared" si="1"/>
        <v>n</v>
      </c>
    </row>
    <row r="111" spans="1:2" x14ac:dyDescent="0.25">
      <c r="A111">
        <v>111</v>
      </c>
      <c r="B111" t="str">
        <f t="shared" si="1"/>
        <v>o</v>
      </c>
    </row>
    <row r="112" spans="1:2" x14ac:dyDescent="0.25">
      <c r="A112">
        <v>112</v>
      </c>
      <c r="B112" t="str">
        <f t="shared" si="1"/>
        <v>p</v>
      </c>
    </row>
    <row r="113" spans="1:2" x14ac:dyDescent="0.25">
      <c r="A113">
        <v>113</v>
      </c>
      <c r="B113" t="str">
        <f t="shared" si="1"/>
        <v>q</v>
      </c>
    </row>
    <row r="114" spans="1:2" x14ac:dyDescent="0.25">
      <c r="A114">
        <v>114</v>
      </c>
      <c r="B114" t="str">
        <f t="shared" si="1"/>
        <v>r</v>
      </c>
    </row>
    <row r="115" spans="1:2" x14ac:dyDescent="0.25">
      <c r="A115">
        <v>115</v>
      </c>
      <c r="B115" t="str">
        <f t="shared" si="1"/>
        <v>s</v>
      </c>
    </row>
    <row r="116" spans="1:2" x14ac:dyDescent="0.25">
      <c r="A116">
        <v>116</v>
      </c>
      <c r="B116" t="str">
        <f t="shared" si="1"/>
        <v>t</v>
      </c>
    </row>
    <row r="117" spans="1:2" x14ac:dyDescent="0.25">
      <c r="A117">
        <v>117</v>
      </c>
      <c r="B117" t="str">
        <f t="shared" si="1"/>
        <v>u</v>
      </c>
    </row>
    <row r="118" spans="1:2" x14ac:dyDescent="0.25">
      <c r="A118">
        <v>118</v>
      </c>
      <c r="B118" t="str">
        <f t="shared" si="1"/>
        <v>v</v>
      </c>
    </row>
    <row r="119" spans="1:2" x14ac:dyDescent="0.25">
      <c r="A119">
        <v>119</v>
      </c>
      <c r="B119" t="str">
        <f t="shared" si="1"/>
        <v>w</v>
      </c>
    </row>
    <row r="120" spans="1:2" x14ac:dyDescent="0.25">
      <c r="A120">
        <v>120</v>
      </c>
      <c r="B120" t="str">
        <f t="shared" si="1"/>
        <v>x</v>
      </c>
    </row>
    <row r="121" spans="1:2" x14ac:dyDescent="0.25">
      <c r="A121">
        <v>121</v>
      </c>
      <c r="B121" t="str">
        <f t="shared" si="1"/>
        <v>y</v>
      </c>
    </row>
    <row r="122" spans="1:2" x14ac:dyDescent="0.25">
      <c r="A122">
        <v>122</v>
      </c>
      <c r="B122" t="str">
        <f t="shared" si="1"/>
        <v>z</v>
      </c>
    </row>
    <row r="123" spans="1:2" x14ac:dyDescent="0.25">
      <c r="A123">
        <v>123</v>
      </c>
      <c r="B123" t="str">
        <f t="shared" si="1"/>
        <v>{</v>
      </c>
    </row>
    <row r="124" spans="1:2" x14ac:dyDescent="0.25">
      <c r="A124">
        <v>124</v>
      </c>
      <c r="B124" t="str">
        <f t="shared" si="1"/>
        <v>|</v>
      </c>
    </row>
    <row r="125" spans="1:2" x14ac:dyDescent="0.25">
      <c r="A125">
        <v>125</v>
      </c>
      <c r="B125" t="str">
        <f t="shared" si="1"/>
        <v>}</v>
      </c>
    </row>
    <row r="126" spans="1:2" x14ac:dyDescent="0.25">
      <c r="A126">
        <v>126</v>
      </c>
      <c r="B126" t="str">
        <f t="shared" si="1"/>
        <v>~</v>
      </c>
    </row>
    <row r="127" spans="1:2" x14ac:dyDescent="0.25">
      <c r="A127">
        <v>127</v>
      </c>
      <c r="B127" t="str">
        <f t="shared" si="1"/>
        <v></v>
      </c>
    </row>
    <row r="128" spans="1:2" x14ac:dyDescent="0.25">
      <c r="A128">
        <v>128</v>
      </c>
      <c r="B128" t="str">
        <f t="shared" si="1"/>
        <v></v>
      </c>
    </row>
    <row r="129" spans="1:2" x14ac:dyDescent="0.25">
      <c r="A129">
        <v>129</v>
      </c>
      <c r="B129" t="str">
        <f t="shared" si="1"/>
        <v></v>
      </c>
    </row>
    <row r="130" spans="1:2" x14ac:dyDescent="0.25">
      <c r="A130">
        <v>130</v>
      </c>
      <c r="B130" t="str">
        <f t="shared" ref="B130:B193" si="2">_xlfn.UNICHAR(A130)</f>
        <v></v>
      </c>
    </row>
    <row r="131" spans="1:2" x14ac:dyDescent="0.25">
      <c r="A131">
        <v>131</v>
      </c>
      <c r="B131" t="str">
        <f t="shared" si="2"/>
        <v></v>
      </c>
    </row>
    <row r="132" spans="1:2" x14ac:dyDescent="0.25">
      <c r="A132">
        <v>132</v>
      </c>
      <c r="B132" t="str">
        <f t="shared" si="2"/>
        <v></v>
      </c>
    </row>
    <row r="133" spans="1:2" x14ac:dyDescent="0.25">
      <c r="A133">
        <v>133</v>
      </c>
      <c r="B133" t="str">
        <f t="shared" si="2"/>
        <v></v>
      </c>
    </row>
    <row r="134" spans="1:2" x14ac:dyDescent="0.25">
      <c r="A134">
        <v>134</v>
      </c>
      <c r="B134" t="str">
        <f t="shared" si="2"/>
        <v></v>
      </c>
    </row>
    <row r="135" spans="1:2" x14ac:dyDescent="0.25">
      <c r="A135">
        <v>135</v>
      </c>
      <c r="B135" t="str">
        <f t="shared" si="2"/>
        <v></v>
      </c>
    </row>
    <row r="136" spans="1:2" x14ac:dyDescent="0.25">
      <c r="A136">
        <v>136</v>
      </c>
      <c r="B136" t="str">
        <f t="shared" si="2"/>
        <v></v>
      </c>
    </row>
    <row r="137" spans="1:2" x14ac:dyDescent="0.25">
      <c r="A137">
        <v>137</v>
      </c>
      <c r="B137" t="str">
        <f t="shared" si="2"/>
        <v></v>
      </c>
    </row>
    <row r="138" spans="1:2" x14ac:dyDescent="0.25">
      <c r="A138">
        <v>138</v>
      </c>
      <c r="B138" t="str">
        <f t="shared" si="2"/>
        <v></v>
      </c>
    </row>
    <row r="139" spans="1:2" x14ac:dyDescent="0.25">
      <c r="A139">
        <v>139</v>
      </c>
      <c r="B139" t="str">
        <f t="shared" si="2"/>
        <v></v>
      </c>
    </row>
    <row r="140" spans="1:2" x14ac:dyDescent="0.25">
      <c r="A140">
        <v>140</v>
      </c>
      <c r="B140" t="str">
        <f t="shared" si="2"/>
        <v></v>
      </c>
    </row>
    <row r="141" spans="1:2" x14ac:dyDescent="0.25">
      <c r="A141">
        <v>141</v>
      </c>
      <c r="B141" t="str">
        <f t="shared" si="2"/>
        <v></v>
      </c>
    </row>
    <row r="142" spans="1:2" x14ac:dyDescent="0.25">
      <c r="A142">
        <v>142</v>
      </c>
      <c r="B142" t="str">
        <f t="shared" si="2"/>
        <v></v>
      </c>
    </row>
    <row r="143" spans="1:2" x14ac:dyDescent="0.25">
      <c r="A143">
        <v>143</v>
      </c>
      <c r="B143" t="str">
        <f t="shared" si="2"/>
        <v></v>
      </c>
    </row>
    <row r="144" spans="1:2" x14ac:dyDescent="0.25">
      <c r="A144">
        <v>144</v>
      </c>
      <c r="B144" t="str">
        <f t="shared" si="2"/>
        <v></v>
      </c>
    </row>
    <row r="145" spans="1:2" x14ac:dyDescent="0.25">
      <c r="A145">
        <v>145</v>
      </c>
      <c r="B145" t="str">
        <f t="shared" si="2"/>
        <v></v>
      </c>
    </row>
    <row r="146" spans="1:2" x14ac:dyDescent="0.25">
      <c r="A146">
        <v>146</v>
      </c>
      <c r="B146" t="str">
        <f t="shared" si="2"/>
        <v></v>
      </c>
    </row>
    <row r="147" spans="1:2" x14ac:dyDescent="0.25">
      <c r="A147">
        <v>147</v>
      </c>
      <c r="B147" t="str">
        <f t="shared" si="2"/>
        <v></v>
      </c>
    </row>
    <row r="148" spans="1:2" x14ac:dyDescent="0.25">
      <c r="A148">
        <v>148</v>
      </c>
      <c r="B148" t="str">
        <f t="shared" si="2"/>
        <v></v>
      </c>
    </row>
    <row r="149" spans="1:2" x14ac:dyDescent="0.25">
      <c r="A149">
        <v>149</v>
      </c>
      <c r="B149" t="str">
        <f t="shared" si="2"/>
        <v></v>
      </c>
    </row>
    <row r="150" spans="1:2" x14ac:dyDescent="0.25">
      <c r="A150">
        <v>150</v>
      </c>
      <c r="B150" t="str">
        <f t="shared" si="2"/>
        <v></v>
      </c>
    </row>
    <row r="151" spans="1:2" x14ac:dyDescent="0.25">
      <c r="A151">
        <v>151</v>
      </c>
      <c r="B151" t="str">
        <f t="shared" si="2"/>
        <v></v>
      </c>
    </row>
    <row r="152" spans="1:2" x14ac:dyDescent="0.25">
      <c r="A152">
        <v>152</v>
      </c>
      <c r="B152" t="str">
        <f t="shared" si="2"/>
        <v></v>
      </c>
    </row>
    <row r="153" spans="1:2" x14ac:dyDescent="0.25">
      <c r="A153">
        <v>153</v>
      </c>
      <c r="B153" t="str">
        <f t="shared" si="2"/>
        <v></v>
      </c>
    </row>
    <row r="154" spans="1:2" x14ac:dyDescent="0.25">
      <c r="A154">
        <v>154</v>
      </c>
      <c r="B154" t="str">
        <f t="shared" si="2"/>
        <v></v>
      </c>
    </row>
    <row r="155" spans="1:2" x14ac:dyDescent="0.25">
      <c r="A155">
        <v>155</v>
      </c>
      <c r="B155" t="str">
        <f t="shared" si="2"/>
        <v></v>
      </c>
    </row>
    <row r="156" spans="1:2" x14ac:dyDescent="0.25">
      <c r="A156">
        <v>156</v>
      </c>
      <c r="B156" t="str">
        <f t="shared" si="2"/>
        <v></v>
      </c>
    </row>
    <row r="157" spans="1:2" x14ac:dyDescent="0.25">
      <c r="A157">
        <v>157</v>
      </c>
      <c r="B157" t="str">
        <f t="shared" si="2"/>
        <v></v>
      </c>
    </row>
    <row r="158" spans="1:2" x14ac:dyDescent="0.25">
      <c r="A158">
        <v>158</v>
      </c>
      <c r="B158" t="str">
        <f t="shared" si="2"/>
        <v></v>
      </c>
    </row>
    <row r="159" spans="1:2" x14ac:dyDescent="0.25">
      <c r="A159">
        <v>159</v>
      </c>
      <c r="B159" t="str">
        <f t="shared" si="2"/>
        <v></v>
      </c>
    </row>
    <row r="160" spans="1:2" x14ac:dyDescent="0.25">
      <c r="A160">
        <v>160</v>
      </c>
      <c r="B160" t="str">
        <f t="shared" si="2"/>
        <v> </v>
      </c>
    </row>
    <row r="161" spans="1:2" x14ac:dyDescent="0.25">
      <c r="A161">
        <v>161</v>
      </c>
      <c r="B161" t="str">
        <f t="shared" si="2"/>
        <v>¡</v>
      </c>
    </row>
    <row r="162" spans="1:2" x14ac:dyDescent="0.25">
      <c r="A162">
        <v>162</v>
      </c>
      <c r="B162" t="str">
        <f t="shared" si="2"/>
        <v>¢</v>
      </c>
    </row>
    <row r="163" spans="1:2" x14ac:dyDescent="0.25">
      <c r="A163">
        <v>163</v>
      </c>
      <c r="B163" t="str">
        <f t="shared" si="2"/>
        <v>£</v>
      </c>
    </row>
    <row r="164" spans="1:2" x14ac:dyDescent="0.25">
      <c r="A164">
        <v>164</v>
      </c>
      <c r="B164" t="str">
        <f t="shared" si="2"/>
        <v>¤</v>
      </c>
    </row>
    <row r="165" spans="1:2" x14ac:dyDescent="0.25">
      <c r="A165">
        <v>165</v>
      </c>
      <c r="B165" t="str">
        <f t="shared" si="2"/>
        <v>¥</v>
      </c>
    </row>
    <row r="166" spans="1:2" x14ac:dyDescent="0.25">
      <c r="A166">
        <v>166</v>
      </c>
      <c r="B166" t="str">
        <f t="shared" si="2"/>
        <v>¦</v>
      </c>
    </row>
    <row r="167" spans="1:2" x14ac:dyDescent="0.25">
      <c r="A167">
        <v>167</v>
      </c>
      <c r="B167" t="str">
        <f t="shared" si="2"/>
        <v>§</v>
      </c>
    </row>
    <row r="168" spans="1:2" x14ac:dyDescent="0.25">
      <c r="A168">
        <v>168</v>
      </c>
      <c r="B168" t="str">
        <f t="shared" si="2"/>
        <v>¨</v>
      </c>
    </row>
    <row r="169" spans="1:2" x14ac:dyDescent="0.25">
      <c r="A169">
        <v>169</v>
      </c>
      <c r="B169" t="str">
        <f t="shared" si="2"/>
        <v>©</v>
      </c>
    </row>
    <row r="170" spans="1:2" x14ac:dyDescent="0.25">
      <c r="A170">
        <v>170</v>
      </c>
      <c r="B170" t="str">
        <f t="shared" si="2"/>
        <v>ª</v>
      </c>
    </row>
    <row r="171" spans="1:2" x14ac:dyDescent="0.25">
      <c r="A171">
        <v>171</v>
      </c>
      <c r="B171" t="str">
        <f t="shared" si="2"/>
        <v>«</v>
      </c>
    </row>
    <row r="172" spans="1:2" x14ac:dyDescent="0.25">
      <c r="A172">
        <v>172</v>
      </c>
      <c r="B172" t="str">
        <f t="shared" si="2"/>
        <v>¬</v>
      </c>
    </row>
    <row r="173" spans="1:2" x14ac:dyDescent="0.25">
      <c r="A173">
        <v>173</v>
      </c>
      <c r="B173" t="str">
        <f t="shared" si="2"/>
        <v>­</v>
      </c>
    </row>
    <row r="174" spans="1:2" x14ac:dyDescent="0.25">
      <c r="A174">
        <v>174</v>
      </c>
      <c r="B174" t="str">
        <f t="shared" si="2"/>
        <v>®</v>
      </c>
    </row>
    <row r="175" spans="1:2" x14ac:dyDescent="0.25">
      <c r="A175">
        <v>175</v>
      </c>
      <c r="B175" t="str">
        <f t="shared" si="2"/>
        <v>¯</v>
      </c>
    </row>
    <row r="176" spans="1:2" x14ac:dyDescent="0.25">
      <c r="A176">
        <v>176</v>
      </c>
      <c r="B176" t="str">
        <f t="shared" si="2"/>
        <v>°</v>
      </c>
    </row>
    <row r="177" spans="1:2" x14ac:dyDescent="0.25">
      <c r="A177">
        <v>177</v>
      </c>
      <c r="B177" t="str">
        <f t="shared" si="2"/>
        <v>±</v>
      </c>
    </row>
    <row r="178" spans="1:2" x14ac:dyDescent="0.25">
      <c r="A178">
        <v>178</v>
      </c>
      <c r="B178" t="str">
        <f t="shared" si="2"/>
        <v>²</v>
      </c>
    </row>
    <row r="179" spans="1:2" x14ac:dyDescent="0.25">
      <c r="A179">
        <v>179</v>
      </c>
      <c r="B179" t="str">
        <f t="shared" si="2"/>
        <v>³</v>
      </c>
    </row>
    <row r="180" spans="1:2" x14ac:dyDescent="0.25">
      <c r="A180">
        <v>180</v>
      </c>
      <c r="B180" t="str">
        <f t="shared" si="2"/>
        <v>´</v>
      </c>
    </row>
    <row r="181" spans="1:2" x14ac:dyDescent="0.25">
      <c r="A181">
        <v>181</v>
      </c>
      <c r="B181" t="str">
        <f t="shared" si="2"/>
        <v>µ</v>
      </c>
    </row>
    <row r="182" spans="1:2" x14ac:dyDescent="0.25">
      <c r="A182">
        <v>182</v>
      </c>
      <c r="B182" t="str">
        <f t="shared" si="2"/>
        <v>¶</v>
      </c>
    </row>
    <row r="183" spans="1:2" x14ac:dyDescent="0.25">
      <c r="A183">
        <v>183</v>
      </c>
      <c r="B183" t="str">
        <f t="shared" si="2"/>
        <v>·</v>
      </c>
    </row>
    <row r="184" spans="1:2" x14ac:dyDescent="0.25">
      <c r="A184">
        <v>184</v>
      </c>
      <c r="B184" t="str">
        <f t="shared" si="2"/>
        <v>¸</v>
      </c>
    </row>
    <row r="185" spans="1:2" x14ac:dyDescent="0.25">
      <c r="A185">
        <v>185</v>
      </c>
      <c r="B185" t="str">
        <f t="shared" si="2"/>
        <v>¹</v>
      </c>
    </row>
    <row r="186" spans="1:2" x14ac:dyDescent="0.25">
      <c r="A186">
        <v>186</v>
      </c>
      <c r="B186" t="str">
        <f t="shared" si="2"/>
        <v>º</v>
      </c>
    </row>
    <row r="187" spans="1:2" x14ac:dyDescent="0.25">
      <c r="A187">
        <v>187</v>
      </c>
      <c r="B187" t="str">
        <f t="shared" si="2"/>
        <v>»</v>
      </c>
    </row>
    <row r="188" spans="1:2" x14ac:dyDescent="0.25">
      <c r="A188">
        <v>188</v>
      </c>
      <c r="B188" t="str">
        <f t="shared" si="2"/>
        <v>¼</v>
      </c>
    </row>
    <row r="189" spans="1:2" x14ac:dyDescent="0.25">
      <c r="A189">
        <v>189</v>
      </c>
      <c r="B189" t="str">
        <f t="shared" si="2"/>
        <v>½</v>
      </c>
    </row>
    <row r="190" spans="1:2" x14ac:dyDescent="0.25">
      <c r="A190">
        <v>190</v>
      </c>
      <c r="B190" t="str">
        <f t="shared" si="2"/>
        <v>¾</v>
      </c>
    </row>
    <row r="191" spans="1:2" x14ac:dyDescent="0.25">
      <c r="A191">
        <v>191</v>
      </c>
      <c r="B191" t="str">
        <f t="shared" si="2"/>
        <v>¿</v>
      </c>
    </row>
    <row r="192" spans="1:2" x14ac:dyDescent="0.25">
      <c r="A192">
        <v>192</v>
      </c>
      <c r="B192" t="str">
        <f t="shared" si="2"/>
        <v>À</v>
      </c>
    </row>
    <row r="193" spans="1:2" x14ac:dyDescent="0.25">
      <c r="A193">
        <v>193</v>
      </c>
      <c r="B193" t="str">
        <f t="shared" si="2"/>
        <v>Á</v>
      </c>
    </row>
    <row r="194" spans="1:2" x14ac:dyDescent="0.25">
      <c r="A194">
        <v>194</v>
      </c>
      <c r="B194" t="str">
        <f t="shared" ref="B194:B257" si="3">_xlfn.UNICHAR(A194)</f>
        <v>Â</v>
      </c>
    </row>
    <row r="195" spans="1:2" x14ac:dyDescent="0.25">
      <c r="A195">
        <v>195</v>
      </c>
      <c r="B195" t="str">
        <f t="shared" si="3"/>
        <v>Ã</v>
      </c>
    </row>
    <row r="196" spans="1:2" x14ac:dyDescent="0.25">
      <c r="A196">
        <v>196</v>
      </c>
      <c r="B196" t="str">
        <f t="shared" si="3"/>
        <v>Ä</v>
      </c>
    </row>
    <row r="197" spans="1:2" x14ac:dyDescent="0.25">
      <c r="A197">
        <v>197</v>
      </c>
      <c r="B197" t="str">
        <f t="shared" si="3"/>
        <v>Å</v>
      </c>
    </row>
    <row r="198" spans="1:2" x14ac:dyDescent="0.25">
      <c r="A198">
        <v>198</v>
      </c>
      <c r="B198" t="str">
        <f t="shared" si="3"/>
        <v>Æ</v>
      </c>
    </row>
    <row r="199" spans="1:2" x14ac:dyDescent="0.25">
      <c r="A199">
        <v>199</v>
      </c>
      <c r="B199" t="str">
        <f t="shared" si="3"/>
        <v>Ç</v>
      </c>
    </row>
    <row r="200" spans="1:2" x14ac:dyDescent="0.25">
      <c r="A200">
        <v>200</v>
      </c>
      <c r="B200" t="str">
        <f t="shared" si="3"/>
        <v>È</v>
      </c>
    </row>
    <row r="201" spans="1:2" x14ac:dyDescent="0.25">
      <c r="A201">
        <v>201</v>
      </c>
      <c r="B201" t="str">
        <f t="shared" si="3"/>
        <v>É</v>
      </c>
    </row>
    <row r="202" spans="1:2" x14ac:dyDescent="0.25">
      <c r="A202">
        <v>202</v>
      </c>
      <c r="B202" t="str">
        <f t="shared" si="3"/>
        <v>Ê</v>
      </c>
    </row>
    <row r="203" spans="1:2" x14ac:dyDescent="0.25">
      <c r="A203">
        <v>203</v>
      </c>
      <c r="B203" t="str">
        <f t="shared" si="3"/>
        <v>Ë</v>
      </c>
    </row>
    <row r="204" spans="1:2" x14ac:dyDescent="0.25">
      <c r="A204">
        <v>204</v>
      </c>
      <c r="B204" t="str">
        <f t="shared" si="3"/>
        <v>Ì</v>
      </c>
    </row>
    <row r="205" spans="1:2" x14ac:dyDescent="0.25">
      <c r="A205">
        <v>205</v>
      </c>
      <c r="B205" t="str">
        <f t="shared" si="3"/>
        <v>Í</v>
      </c>
    </row>
    <row r="206" spans="1:2" x14ac:dyDescent="0.25">
      <c r="A206">
        <v>206</v>
      </c>
      <c r="B206" t="str">
        <f t="shared" si="3"/>
        <v>Î</v>
      </c>
    </row>
    <row r="207" spans="1:2" x14ac:dyDescent="0.25">
      <c r="A207">
        <v>207</v>
      </c>
      <c r="B207" t="str">
        <f t="shared" si="3"/>
        <v>Ï</v>
      </c>
    </row>
    <row r="208" spans="1:2" x14ac:dyDescent="0.25">
      <c r="A208">
        <v>208</v>
      </c>
      <c r="B208" t="str">
        <f t="shared" si="3"/>
        <v>Ð</v>
      </c>
    </row>
    <row r="209" spans="1:2" x14ac:dyDescent="0.25">
      <c r="A209">
        <v>209</v>
      </c>
      <c r="B209" t="str">
        <f t="shared" si="3"/>
        <v>Ñ</v>
      </c>
    </row>
    <row r="210" spans="1:2" x14ac:dyDescent="0.25">
      <c r="A210">
        <v>210</v>
      </c>
      <c r="B210" t="str">
        <f t="shared" si="3"/>
        <v>Ò</v>
      </c>
    </row>
    <row r="211" spans="1:2" x14ac:dyDescent="0.25">
      <c r="A211">
        <v>211</v>
      </c>
      <c r="B211" t="str">
        <f t="shared" si="3"/>
        <v>Ó</v>
      </c>
    </row>
    <row r="212" spans="1:2" x14ac:dyDescent="0.25">
      <c r="A212">
        <v>212</v>
      </c>
      <c r="B212" t="str">
        <f t="shared" si="3"/>
        <v>Ô</v>
      </c>
    </row>
    <row r="213" spans="1:2" x14ac:dyDescent="0.25">
      <c r="A213">
        <v>213</v>
      </c>
      <c r="B213" t="str">
        <f t="shared" si="3"/>
        <v>Õ</v>
      </c>
    </row>
    <row r="214" spans="1:2" x14ac:dyDescent="0.25">
      <c r="A214">
        <v>214</v>
      </c>
      <c r="B214" t="str">
        <f t="shared" si="3"/>
        <v>Ö</v>
      </c>
    </row>
    <row r="215" spans="1:2" x14ac:dyDescent="0.25">
      <c r="A215">
        <v>215</v>
      </c>
      <c r="B215" t="str">
        <f t="shared" si="3"/>
        <v>×</v>
      </c>
    </row>
    <row r="216" spans="1:2" x14ac:dyDescent="0.25">
      <c r="A216">
        <v>216</v>
      </c>
      <c r="B216" t="str">
        <f t="shared" si="3"/>
        <v>Ø</v>
      </c>
    </row>
    <row r="217" spans="1:2" x14ac:dyDescent="0.25">
      <c r="A217">
        <v>217</v>
      </c>
      <c r="B217" t="str">
        <f t="shared" si="3"/>
        <v>Ù</v>
      </c>
    </row>
    <row r="218" spans="1:2" x14ac:dyDescent="0.25">
      <c r="A218">
        <v>218</v>
      </c>
      <c r="B218" t="str">
        <f t="shared" si="3"/>
        <v>Ú</v>
      </c>
    </row>
    <row r="219" spans="1:2" x14ac:dyDescent="0.25">
      <c r="A219">
        <v>219</v>
      </c>
      <c r="B219" t="str">
        <f t="shared" si="3"/>
        <v>Û</v>
      </c>
    </row>
    <row r="220" spans="1:2" x14ac:dyDescent="0.25">
      <c r="A220">
        <v>220</v>
      </c>
      <c r="B220" t="str">
        <f t="shared" si="3"/>
        <v>Ü</v>
      </c>
    </row>
    <row r="221" spans="1:2" x14ac:dyDescent="0.25">
      <c r="A221">
        <v>221</v>
      </c>
      <c r="B221" t="str">
        <f t="shared" si="3"/>
        <v>Ý</v>
      </c>
    </row>
    <row r="222" spans="1:2" x14ac:dyDescent="0.25">
      <c r="A222">
        <v>222</v>
      </c>
      <c r="B222" t="str">
        <f t="shared" si="3"/>
        <v>Þ</v>
      </c>
    </row>
    <row r="223" spans="1:2" x14ac:dyDescent="0.25">
      <c r="A223">
        <v>223</v>
      </c>
      <c r="B223" t="str">
        <f t="shared" si="3"/>
        <v>ß</v>
      </c>
    </row>
    <row r="224" spans="1:2" x14ac:dyDescent="0.25">
      <c r="A224">
        <v>224</v>
      </c>
      <c r="B224" t="str">
        <f t="shared" si="3"/>
        <v>à</v>
      </c>
    </row>
    <row r="225" spans="1:2" x14ac:dyDescent="0.25">
      <c r="A225">
        <v>225</v>
      </c>
      <c r="B225" t="str">
        <f t="shared" si="3"/>
        <v>á</v>
      </c>
    </row>
    <row r="226" spans="1:2" x14ac:dyDescent="0.25">
      <c r="A226">
        <v>226</v>
      </c>
      <c r="B226" t="str">
        <f t="shared" si="3"/>
        <v>â</v>
      </c>
    </row>
    <row r="227" spans="1:2" x14ac:dyDescent="0.25">
      <c r="A227">
        <v>227</v>
      </c>
      <c r="B227" t="str">
        <f t="shared" si="3"/>
        <v>ã</v>
      </c>
    </row>
    <row r="228" spans="1:2" x14ac:dyDescent="0.25">
      <c r="A228">
        <v>228</v>
      </c>
      <c r="B228" t="str">
        <f t="shared" si="3"/>
        <v>ä</v>
      </c>
    </row>
    <row r="229" spans="1:2" x14ac:dyDescent="0.25">
      <c r="A229">
        <v>229</v>
      </c>
      <c r="B229" t="str">
        <f t="shared" si="3"/>
        <v>å</v>
      </c>
    </row>
    <row r="230" spans="1:2" x14ac:dyDescent="0.25">
      <c r="A230">
        <v>230</v>
      </c>
      <c r="B230" t="str">
        <f t="shared" si="3"/>
        <v>æ</v>
      </c>
    </row>
    <row r="231" spans="1:2" x14ac:dyDescent="0.25">
      <c r="A231">
        <v>231</v>
      </c>
      <c r="B231" t="str">
        <f t="shared" si="3"/>
        <v>ç</v>
      </c>
    </row>
    <row r="232" spans="1:2" x14ac:dyDescent="0.25">
      <c r="A232">
        <v>232</v>
      </c>
      <c r="B232" t="str">
        <f t="shared" si="3"/>
        <v>è</v>
      </c>
    </row>
    <row r="233" spans="1:2" x14ac:dyDescent="0.25">
      <c r="A233">
        <v>233</v>
      </c>
      <c r="B233" t="str">
        <f t="shared" si="3"/>
        <v>é</v>
      </c>
    </row>
    <row r="234" spans="1:2" x14ac:dyDescent="0.25">
      <c r="A234">
        <v>234</v>
      </c>
      <c r="B234" t="str">
        <f t="shared" si="3"/>
        <v>ê</v>
      </c>
    </row>
    <row r="235" spans="1:2" x14ac:dyDescent="0.25">
      <c r="A235">
        <v>235</v>
      </c>
      <c r="B235" t="str">
        <f t="shared" si="3"/>
        <v>ë</v>
      </c>
    </row>
    <row r="236" spans="1:2" x14ac:dyDescent="0.25">
      <c r="A236">
        <v>236</v>
      </c>
      <c r="B236" t="str">
        <f t="shared" si="3"/>
        <v>ì</v>
      </c>
    </row>
    <row r="237" spans="1:2" x14ac:dyDescent="0.25">
      <c r="A237">
        <v>237</v>
      </c>
      <c r="B237" t="str">
        <f t="shared" si="3"/>
        <v>í</v>
      </c>
    </row>
    <row r="238" spans="1:2" x14ac:dyDescent="0.25">
      <c r="A238">
        <v>238</v>
      </c>
      <c r="B238" t="str">
        <f t="shared" si="3"/>
        <v>î</v>
      </c>
    </row>
    <row r="239" spans="1:2" x14ac:dyDescent="0.25">
      <c r="A239">
        <v>239</v>
      </c>
      <c r="B239" t="str">
        <f t="shared" si="3"/>
        <v>ï</v>
      </c>
    </row>
    <row r="240" spans="1:2" x14ac:dyDescent="0.25">
      <c r="A240">
        <v>240</v>
      </c>
      <c r="B240" t="str">
        <f t="shared" si="3"/>
        <v>ð</v>
      </c>
    </row>
    <row r="241" spans="1:2" x14ac:dyDescent="0.25">
      <c r="A241">
        <v>241</v>
      </c>
      <c r="B241" t="str">
        <f t="shared" si="3"/>
        <v>ñ</v>
      </c>
    </row>
    <row r="242" spans="1:2" x14ac:dyDescent="0.25">
      <c r="A242">
        <v>242</v>
      </c>
      <c r="B242" t="str">
        <f t="shared" si="3"/>
        <v>ò</v>
      </c>
    </row>
    <row r="243" spans="1:2" x14ac:dyDescent="0.25">
      <c r="A243">
        <v>243</v>
      </c>
      <c r="B243" t="str">
        <f t="shared" si="3"/>
        <v>ó</v>
      </c>
    </row>
    <row r="244" spans="1:2" x14ac:dyDescent="0.25">
      <c r="A244">
        <v>244</v>
      </c>
      <c r="B244" t="str">
        <f t="shared" si="3"/>
        <v>ô</v>
      </c>
    </row>
    <row r="245" spans="1:2" x14ac:dyDescent="0.25">
      <c r="A245">
        <v>245</v>
      </c>
      <c r="B245" t="str">
        <f t="shared" si="3"/>
        <v>õ</v>
      </c>
    </row>
    <row r="246" spans="1:2" x14ac:dyDescent="0.25">
      <c r="A246">
        <v>246</v>
      </c>
      <c r="B246" t="str">
        <f t="shared" si="3"/>
        <v>ö</v>
      </c>
    </row>
    <row r="247" spans="1:2" x14ac:dyDescent="0.25">
      <c r="A247">
        <v>247</v>
      </c>
      <c r="B247" t="str">
        <f t="shared" si="3"/>
        <v>÷</v>
      </c>
    </row>
    <row r="248" spans="1:2" x14ac:dyDescent="0.25">
      <c r="A248">
        <v>248</v>
      </c>
      <c r="B248" t="str">
        <f t="shared" si="3"/>
        <v>ø</v>
      </c>
    </row>
    <row r="249" spans="1:2" x14ac:dyDescent="0.25">
      <c r="A249">
        <v>249</v>
      </c>
      <c r="B249" t="str">
        <f t="shared" si="3"/>
        <v>ù</v>
      </c>
    </row>
    <row r="250" spans="1:2" x14ac:dyDescent="0.25">
      <c r="A250">
        <v>250</v>
      </c>
      <c r="B250" t="str">
        <f t="shared" si="3"/>
        <v>ú</v>
      </c>
    </row>
    <row r="251" spans="1:2" x14ac:dyDescent="0.25">
      <c r="A251">
        <v>251</v>
      </c>
      <c r="B251" t="str">
        <f t="shared" si="3"/>
        <v>û</v>
      </c>
    </row>
    <row r="252" spans="1:2" x14ac:dyDescent="0.25">
      <c r="A252">
        <v>252</v>
      </c>
      <c r="B252" t="str">
        <f t="shared" si="3"/>
        <v>ü</v>
      </c>
    </row>
    <row r="253" spans="1:2" x14ac:dyDescent="0.25">
      <c r="A253">
        <v>253</v>
      </c>
      <c r="B253" t="str">
        <f t="shared" si="3"/>
        <v>ý</v>
      </c>
    </row>
    <row r="254" spans="1:2" x14ac:dyDescent="0.25">
      <c r="A254">
        <v>254</v>
      </c>
      <c r="B254" t="str">
        <f t="shared" si="3"/>
        <v>þ</v>
      </c>
    </row>
    <row r="255" spans="1:2" x14ac:dyDescent="0.25">
      <c r="A255">
        <v>255</v>
      </c>
      <c r="B255" t="str">
        <f t="shared" si="3"/>
        <v>ÿ</v>
      </c>
    </row>
    <row r="256" spans="1:2" x14ac:dyDescent="0.25">
      <c r="A256">
        <v>256</v>
      </c>
      <c r="B256" t="str">
        <f t="shared" si="3"/>
        <v>Ā</v>
      </c>
    </row>
    <row r="257" spans="1:2" x14ac:dyDescent="0.25">
      <c r="A257">
        <v>257</v>
      </c>
      <c r="B257" t="str">
        <f t="shared" si="3"/>
        <v>ā</v>
      </c>
    </row>
    <row r="258" spans="1:2" x14ac:dyDescent="0.25">
      <c r="A258">
        <v>258</v>
      </c>
      <c r="B258" t="str">
        <f t="shared" ref="B258:B321" si="4">_xlfn.UNICHAR(A258)</f>
        <v>Ă</v>
      </c>
    </row>
    <row r="259" spans="1:2" x14ac:dyDescent="0.25">
      <c r="A259">
        <v>259</v>
      </c>
      <c r="B259" t="str">
        <f t="shared" si="4"/>
        <v>ă</v>
      </c>
    </row>
    <row r="260" spans="1:2" x14ac:dyDescent="0.25">
      <c r="A260">
        <v>260</v>
      </c>
      <c r="B260" t="str">
        <f t="shared" si="4"/>
        <v>Ą</v>
      </c>
    </row>
    <row r="261" spans="1:2" x14ac:dyDescent="0.25">
      <c r="A261">
        <v>261</v>
      </c>
      <c r="B261" t="str">
        <f t="shared" si="4"/>
        <v>ą</v>
      </c>
    </row>
    <row r="262" spans="1:2" x14ac:dyDescent="0.25">
      <c r="A262">
        <v>262</v>
      </c>
      <c r="B262" t="str">
        <f t="shared" si="4"/>
        <v>Ć</v>
      </c>
    </row>
    <row r="263" spans="1:2" x14ac:dyDescent="0.25">
      <c r="A263">
        <v>263</v>
      </c>
      <c r="B263" t="str">
        <f t="shared" si="4"/>
        <v>ć</v>
      </c>
    </row>
    <row r="264" spans="1:2" x14ac:dyDescent="0.25">
      <c r="A264">
        <v>264</v>
      </c>
      <c r="B264" t="str">
        <f t="shared" si="4"/>
        <v>Ĉ</v>
      </c>
    </row>
    <row r="265" spans="1:2" x14ac:dyDescent="0.25">
      <c r="A265">
        <v>265</v>
      </c>
      <c r="B265" t="str">
        <f t="shared" si="4"/>
        <v>ĉ</v>
      </c>
    </row>
    <row r="266" spans="1:2" x14ac:dyDescent="0.25">
      <c r="A266">
        <v>266</v>
      </c>
      <c r="B266" t="str">
        <f t="shared" si="4"/>
        <v>Ċ</v>
      </c>
    </row>
    <row r="267" spans="1:2" x14ac:dyDescent="0.25">
      <c r="A267">
        <v>267</v>
      </c>
      <c r="B267" t="str">
        <f t="shared" si="4"/>
        <v>ċ</v>
      </c>
    </row>
    <row r="268" spans="1:2" x14ac:dyDescent="0.25">
      <c r="A268">
        <v>268</v>
      </c>
      <c r="B268" t="str">
        <f t="shared" si="4"/>
        <v>Č</v>
      </c>
    </row>
    <row r="269" spans="1:2" x14ac:dyDescent="0.25">
      <c r="A269">
        <v>269</v>
      </c>
      <c r="B269" t="str">
        <f t="shared" si="4"/>
        <v>č</v>
      </c>
    </row>
    <row r="270" spans="1:2" x14ac:dyDescent="0.25">
      <c r="A270">
        <v>270</v>
      </c>
      <c r="B270" t="str">
        <f t="shared" si="4"/>
        <v>Ď</v>
      </c>
    </row>
    <row r="271" spans="1:2" x14ac:dyDescent="0.25">
      <c r="A271">
        <v>271</v>
      </c>
      <c r="B271" t="str">
        <f t="shared" si="4"/>
        <v>ď</v>
      </c>
    </row>
    <row r="272" spans="1:2" x14ac:dyDescent="0.25">
      <c r="A272">
        <v>272</v>
      </c>
      <c r="B272" t="str">
        <f t="shared" si="4"/>
        <v>Đ</v>
      </c>
    </row>
    <row r="273" spans="1:2" x14ac:dyDescent="0.25">
      <c r="A273">
        <v>273</v>
      </c>
      <c r="B273" t="str">
        <f t="shared" si="4"/>
        <v>đ</v>
      </c>
    </row>
    <row r="274" spans="1:2" x14ac:dyDescent="0.25">
      <c r="A274">
        <v>274</v>
      </c>
      <c r="B274" t="str">
        <f t="shared" si="4"/>
        <v>Ē</v>
      </c>
    </row>
    <row r="275" spans="1:2" x14ac:dyDescent="0.25">
      <c r="A275">
        <v>275</v>
      </c>
      <c r="B275" t="str">
        <f t="shared" si="4"/>
        <v>ē</v>
      </c>
    </row>
    <row r="276" spans="1:2" x14ac:dyDescent="0.25">
      <c r="A276">
        <v>276</v>
      </c>
      <c r="B276" t="str">
        <f t="shared" si="4"/>
        <v>Ĕ</v>
      </c>
    </row>
    <row r="277" spans="1:2" x14ac:dyDescent="0.25">
      <c r="A277">
        <v>277</v>
      </c>
      <c r="B277" t="str">
        <f t="shared" si="4"/>
        <v>ĕ</v>
      </c>
    </row>
    <row r="278" spans="1:2" x14ac:dyDescent="0.25">
      <c r="A278">
        <v>278</v>
      </c>
      <c r="B278" t="str">
        <f t="shared" si="4"/>
        <v>Ė</v>
      </c>
    </row>
    <row r="279" spans="1:2" x14ac:dyDescent="0.25">
      <c r="A279">
        <v>279</v>
      </c>
      <c r="B279" t="str">
        <f t="shared" si="4"/>
        <v>ė</v>
      </c>
    </row>
    <row r="280" spans="1:2" x14ac:dyDescent="0.25">
      <c r="A280">
        <v>280</v>
      </c>
      <c r="B280" t="str">
        <f t="shared" si="4"/>
        <v>Ę</v>
      </c>
    </row>
    <row r="281" spans="1:2" x14ac:dyDescent="0.25">
      <c r="A281">
        <v>281</v>
      </c>
      <c r="B281" t="str">
        <f t="shared" si="4"/>
        <v>ę</v>
      </c>
    </row>
    <row r="282" spans="1:2" x14ac:dyDescent="0.25">
      <c r="A282">
        <v>282</v>
      </c>
      <c r="B282" t="str">
        <f t="shared" si="4"/>
        <v>Ě</v>
      </c>
    </row>
    <row r="283" spans="1:2" x14ac:dyDescent="0.25">
      <c r="A283">
        <v>283</v>
      </c>
      <c r="B283" t="str">
        <f t="shared" si="4"/>
        <v>ě</v>
      </c>
    </row>
    <row r="284" spans="1:2" x14ac:dyDescent="0.25">
      <c r="A284">
        <v>284</v>
      </c>
      <c r="B284" t="str">
        <f t="shared" si="4"/>
        <v>Ĝ</v>
      </c>
    </row>
    <row r="285" spans="1:2" x14ac:dyDescent="0.25">
      <c r="A285">
        <v>285</v>
      </c>
      <c r="B285" t="str">
        <f t="shared" si="4"/>
        <v>ĝ</v>
      </c>
    </row>
    <row r="286" spans="1:2" x14ac:dyDescent="0.25">
      <c r="A286">
        <v>286</v>
      </c>
      <c r="B286" t="str">
        <f t="shared" si="4"/>
        <v>Ğ</v>
      </c>
    </row>
    <row r="287" spans="1:2" x14ac:dyDescent="0.25">
      <c r="A287">
        <v>287</v>
      </c>
      <c r="B287" t="str">
        <f t="shared" si="4"/>
        <v>ğ</v>
      </c>
    </row>
    <row r="288" spans="1:2" x14ac:dyDescent="0.25">
      <c r="A288">
        <v>288</v>
      </c>
      <c r="B288" t="str">
        <f t="shared" si="4"/>
        <v>Ġ</v>
      </c>
    </row>
    <row r="289" spans="1:2" x14ac:dyDescent="0.25">
      <c r="A289">
        <v>289</v>
      </c>
      <c r="B289" t="str">
        <f t="shared" si="4"/>
        <v>ġ</v>
      </c>
    </row>
    <row r="290" spans="1:2" x14ac:dyDescent="0.25">
      <c r="A290">
        <v>290</v>
      </c>
      <c r="B290" t="str">
        <f t="shared" si="4"/>
        <v>Ģ</v>
      </c>
    </row>
    <row r="291" spans="1:2" x14ac:dyDescent="0.25">
      <c r="A291">
        <v>291</v>
      </c>
      <c r="B291" t="str">
        <f t="shared" si="4"/>
        <v>ģ</v>
      </c>
    </row>
    <row r="292" spans="1:2" x14ac:dyDescent="0.25">
      <c r="A292">
        <v>292</v>
      </c>
      <c r="B292" t="str">
        <f t="shared" si="4"/>
        <v>Ĥ</v>
      </c>
    </row>
    <row r="293" spans="1:2" x14ac:dyDescent="0.25">
      <c r="A293">
        <v>293</v>
      </c>
      <c r="B293" t="str">
        <f t="shared" si="4"/>
        <v>ĥ</v>
      </c>
    </row>
    <row r="294" spans="1:2" x14ac:dyDescent="0.25">
      <c r="A294">
        <v>294</v>
      </c>
      <c r="B294" t="str">
        <f t="shared" si="4"/>
        <v>Ħ</v>
      </c>
    </row>
    <row r="295" spans="1:2" x14ac:dyDescent="0.25">
      <c r="A295">
        <v>295</v>
      </c>
      <c r="B295" t="str">
        <f t="shared" si="4"/>
        <v>ħ</v>
      </c>
    </row>
    <row r="296" spans="1:2" x14ac:dyDescent="0.25">
      <c r="A296">
        <v>296</v>
      </c>
      <c r="B296" t="str">
        <f t="shared" si="4"/>
        <v>Ĩ</v>
      </c>
    </row>
    <row r="297" spans="1:2" x14ac:dyDescent="0.25">
      <c r="A297">
        <v>297</v>
      </c>
      <c r="B297" t="str">
        <f t="shared" si="4"/>
        <v>ĩ</v>
      </c>
    </row>
    <row r="298" spans="1:2" x14ac:dyDescent="0.25">
      <c r="A298">
        <v>298</v>
      </c>
      <c r="B298" t="str">
        <f t="shared" si="4"/>
        <v>Ī</v>
      </c>
    </row>
    <row r="299" spans="1:2" x14ac:dyDescent="0.25">
      <c r="A299">
        <v>299</v>
      </c>
      <c r="B299" t="str">
        <f t="shared" si="4"/>
        <v>ī</v>
      </c>
    </row>
    <row r="300" spans="1:2" x14ac:dyDescent="0.25">
      <c r="A300">
        <v>300</v>
      </c>
      <c r="B300" t="str">
        <f t="shared" si="4"/>
        <v>Ĭ</v>
      </c>
    </row>
    <row r="301" spans="1:2" x14ac:dyDescent="0.25">
      <c r="A301">
        <v>301</v>
      </c>
      <c r="B301" t="str">
        <f t="shared" si="4"/>
        <v>ĭ</v>
      </c>
    </row>
    <row r="302" spans="1:2" x14ac:dyDescent="0.25">
      <c r="A302">
        <v>302</v>
      </c>
      <c r="B302" t="str">
        <f t="shared" si="4"/>
        <v>Į</v>
      </c>
    </row>
    <row r="303" spans="1:2" x14ac:dyDescent="0.25">
      <c r="A303">
        <v>303</v>
      </c>
      <c r="B303" t="str">
        <f t="shared" si="4"/>
        <v>į</v>
      </c>
    </row>
    <row r="304" spans="1:2" x14ac:dyDescent="0.25">
      <c r="A304">
        <v>304</v>
      </c>
      <c r="B304" t="str">
        <f t="shared" si="4"/>
        <v>İ</v>
      </c>
    </row>
    <row r="305" spans="1:2" x14ac:dyDescent="0.25">
      <c r="A305">
        <v>305</v>
      </c>
      <c r="B305" t="str">
        <f t="shared" si="4"/>
        <v>ı</v>
      </c>
    </row>
    <row r="306" spans="1:2" x14ac:dyDescent="0.25">
      <c r="A306">
        <v>306</v>
      </c>
      <c r="B306" t="str">
        <f t="shared" si="4"/>
        <v>Ĳ</v>
      </c>
    </row>
    <row r="307" spans="1:2" x14ac:dyDescent="0.25">
      <c r="A307">
        <v>307</v>
      </c>
      <c r="B307" t="str">
        <f t="shared" si="4"/>
        <v>ĳ</v>
      </c>
    </row>
    <row r="308" spans="1:2" x14ac:dyDescent="0.25">
      <c r="A308">
        <v>308</v>
      </c>
      <c r="B308" t="str">
        <f t="shared" si="4"/>
        <v>Ĵ</v>
      </c>
    </row>
    <row r="309" spans="1:2" x14ac:dyDescent="0.25">
      <c r="A309">
        <v>309</v>
      </c>
      <c r="B309" t="str">
        <f t="shared" si="4"/>
        <v>ĵ</v>
      </c>
    </row>
    <row r="310" spans="1:2" x14ac:dyDescent="0.25">
      <c r="A310">
        <v>310</v>
      </c>
      <c r="B310" t="str">
        <f t="shared" si="4"/>
        <v>Ķ</v>
      </c>
    </row>
    <row r="311" spans="1:2" x14ac:dyDescent="0.25">
      <c r="A311">
        <v>311</v>
      </c>
      <c r="B311" t="str">
        <f t="shared" si="4"/>
        <v>ķ</v>
      </c>
    </row>
    <row r="312" spans="1:2" x14ac:dyDescent="0.25">
      <c r="A312">
        <v>312</v>
      </c>
      <c r="B312" t="str">
        <f t="shared" si="4"/>
        <v>ĸ</v>
      </c>
    </row>
    <row r="313" spans="1:2" x14ac:dyDescent="0.25">
      <c r="A313">
        <v>313</v>
      </c>
      <c r="B313" t="str">
        <f t="shared" si="4"/>
        <v>Ĺ</v>
      </c>
    </row>
    <row r="314" spans="1:2" x14ac:dyDescent="0.25">
      <c r="A314">
        <v>314</v>
      </c>
      <c r="B314" t="str">
        <f t="shared" si="4"/>
        <v>ĺ</v>
      </c>
    </row>
    <row r="315" spans="1:2" x14ac:dyDescent="0.25">
      <c r="A315">
        <v>315</v>
      </c>
      <c r="B315" t="str">
        <f t="shared" si="4"/>
        <v>Ļ</v>
      </c>
    </row>
    <row r="316" spans="1:2" x14ac:dyDescent="0.25">
      <c r="A316">
        <v>316</v>
      </c>
      <c r="B316" t="str">
        <f t="shared" si="4"/>
        <v>ļ</v>
      </c>
    </row>
    <row r="317" spans="1:2" x14ac:dyDescent="0.25">
      <c r="A317">
        <v>317</v>
      </c>
      <c r="B317" t="str">
        <f t="shared" si="4"/>
        <v>Ľ</v>
      </c>
    </row>
    <row r="318" spans="1:2" x14ac:dyDescent="0.25">
      <c r="A318">
        <v>318</v>
      </c>
      <c r="B318" t="str">
        <f t="shared" si="4"/>
        <v>ľ</v>
      </c>
    </row>
    <row r="319" spans="1:2" x14ac:dyDescent="0.25">
      <c r="A319">
        <v>319</v>
      </c>
      <c r="B319" t="str">
        <f t="shared" si="4"/>
        <v>Ŀ</v>
      </c>
    </row>
    <row r="320" spans="1:2" x14ac:dyDescent="0.25">
      <c r="A320">
        <v>320</v>
      </c>
      <c r="B320" t="str">
        <f t="shared" si="4"/>
        <v>ŀ</v>
      </c>
    </row>
    <row r="321" spans="1:2" x14ac:dyDescent="0.25">
      <c r="A321">
        <v>321</v>
      </c>
      <c r="B321" t="str">
        <f t="shared" si="4"/>
        <v>Ł</v>
      </c>
    </row>
    <row r="322" spans="1:2" x14ac:dyDescent="0.25">
      <c r="A322">
        <v>322</v>
      </c>
      <c r="B322" t="str">
        <f t="shared" ref="B322:B385" si="5">_xlfn.UNICHAR(A322)</f>
        <v>ł</v>
      </c>
    </row>
    <row r="323" spans="1:2" x14ac:dyDescent="0.25">
      <c r="A323">
        <v>323</v>
      </c>
      <c r="B323" t="str">
        <f t="shared" si="5"/>
        <v>Ń</v>
      </c>
    </row>
    <row r="324" spans="1:2" x14ac:dyDescent="0.25">
      <c r="A324">
        <v>324</v>
      </c>
      <c r="B324" t="str">
        <f t="shared" si="5"/>
        <v>ń</v>
      </c>
    </row>
    <row r="325" spans="1:2" x14ac:dyDescent="0.25">
      <c r="A325">
        <v>325</v>
      </c>
      <c r="B325" t="str">
        <f t="shared" si="5"/>
        <v>Ņ</v>
      </c>
    </row>
    <row r="326" spans="1:2" x14ac:dyDescent="0.25">
      <c r="A326">
        <v>326</v>
      </c>
      <c r="B326" t="str">
        <f t="shared" si="5"/>
        <v>ņ</v>
      </c>
    </row>
    <row r="327" spans="1:2" x14ac:dyDescent="0.25">
      <c r="A327">
        <v>327</v>
      </c>
      <c r="B327" t="str">
        <f t="shared" si="5"/>
        <v>Ň</v>
      </c>
    </row>
    <row r="328" spans="1:2" x14ac:dyDescent="0.25">
      <c r="A328">
        <v>328</v>
      </c>
      <c r="B328" t="str">
        <f t="shared" si="5"/>
        <v>ň</v>
      </c>
    </row>
    <row r="329" spans="1:2" x14ac:dyDescent="0.25">
      <c r="A329">
        <v>329</v>
      </c>
      <c r="B329" t="str">
        <f t="shared" si="5"/>
        <v>ŉ</v>
      </c>
    </row>
    <row r="330" spans="1:2" x14ac:dyDescent="0.25">
      <c r="A330">
        <v>330</v>
      </c>
      <c r="B330" t="str">
        <f t="shared" si="5"/>
        <v>Ŋ</v>
      </c>
    </row>
    <row r="331" spans="1:2" x14ac:dyDescent="0.25">
      <c r="A331">
        <v>331</v>
      </c>
      <c r="B331" t="str">
        <f t="shared" si="5"/>
        <v>ŋ</v>
      </c>
    </row>
    <row r="332" spans="1:2" x14ac:dyDescent="0.25">
      <c r="A332">
        <v>332</v>
      </c>
      <c r="B332" t="str">
        <f t="shared" si="5"/>
        <v>Ō</v>
      </c>
    </row>
    <row r="333" spans="1:2" x14ac:dyDescent="0.25">
      <c r="A333">
        <v>333</v>
      </c>
      <c r="B333" t="str">
        <f t="shared" si="5"/>
        <v>ō</v>
      </c>
    </row>
    <row r="334" spans="1:2" x14ac:dyDescent="0.25">
      <c r="A334">
        <v>334</v>
      </c>
      <c r="B334" t="str">
        <f t="shared" si="5"/>
        <v>Ŏ</v>
      </c>
    </row>
    <row r="335" spans="1:2" x14ac:dyDescent="0.25">
      <c r="A335">
        <v>335</v>
      </c>
      <c r="B335" t="str">
        <f t="shared" si="5"/>
        <v>ŏ</v>
      </c>
    </row>
    <row r="336" spans="1:2" x14ac:dyDescent="0.25">
      <c r="A336">
        <v>336</v>
      </c>
      <c r="B336" t="str">
        <f t="shared" si="5"/>
        <v>Ő</v>
      </c>
    </row>
    <row r="337" spans="1:2" x14ac:dyDescent="0.25">
      <c r="A337">
        <v>337</v>
      </c>
      <c r="B337" t="str">
        <f t="shared" si="5"/>
        <v>ő</v>
      </c>
    </row>
    <row r="338" spans="1:2" x14ac:dyDescent="0.25">
      <c r="A338">
        <v>338</v>
      </c>
      <c r="B338" t="str">
        <f t="shared" si="5"/>
        <v>Œ</v>
      </c>
    </row>
    <row r="339" spans="1:2" x14ac:dyDescent="0.25">
      <c r="A339">
        <v>339</v>
      </c>
      <c r="B339" t="str">
        <f t="shared" si="5"/>
        <v>œ</v>
      </c>
    </row>
    <row r="340" spans="1:2" x14ac:dyDescent="0.25">
      <c r="A340">
        <v>340</v>
      </c>
      <c r="B340" t="str">
        <f t="shared" si="5"/>
        <v>Ŕ</v>
      </c>
    </row>
    <row r="341" spans="1:2" x14ac:dyDescent="0.25">
      <c r="A341">
        <v>341</v>
      </c>
      <c r="B341" t="str">
        <f t="shared" si="5"/>
        <v>ŕ</v>
      </c>
    </row>
    <row r="342" spans="1:2" x14ac:dyDescent="0.25">
      <c r="A342">
        <v>342</v>
      </c>
      <c r="B342" t="str">
        <f t="shared" si="5"/>
        <v>Ŗ</v>
      </c>
    </row>
    <row r="343" spans="1:2" x14ac:dyDescent="0.25">
      <c r="A343">
        <v>343</v>
      </c>
      <c r="B343" t="str">
        <f t="shared" si="5"/>
        <v>ŗ</v>
      </c>
    </row>
    <row r="344" spans="1:2" x14ac:dyDescent="0.25">
      <c r="A344">
        <v>344</v>
      </c>
      <c r="B344" t="str">
        <f t="shared" si="5"/>
        <v>Ř</v>
      </c>
    </row>
    <row r="345" spans="1:2" x14ac:dyDescent="0.25">
      <c r="A345">
        <v>345</v>
      </c>
      <c r="B345" t="str">
        <f t="shared" si="5"/>
        <v>ř</v>
      </c>
    </row>
    <row r="346" spans="1:2" x14ac:dyDescent="0.25">
      <c r="A346">
        <v>346</v>
      </c>
      <c r="B346" t="str">
        <f t="shared" si="5"/>
        <v>Ś</v>
      </c>
    </row>
    <row r="347" spans="1:2" x14ac:dyDescent="0.25">
      <c r="A347">
        <v>347</v>
      </c>
      <c r="B347" t="str">
        <f t="shared" si="5"/>
        <v>ś</v>
      </c>
    </row>
    <row r="348" spans="1:2" x14ac:dyDescent="0.25">
      <c r="A348">
        <v>348</v>
      </c>
      <c r="B348" t="str">
        <f t="shared" si="5"/>
        <v>Ŝ</v>
      </c>
    </row>
    <row r="349" spans="1:2" x14ac:dyDescent="0.25">
      <c r="A349">
        <v>349</v>
      </c>
      <c r="B349" t="str">
        <f t="shared" si="5"/>
        <v>ŝ</v>
      </c>
    </row>
    <row r="350" spans="1:2" x14ac:dyDescent="0.25">
      <c r="A350">
        <v>350</v>
      </c>
      <c r="B350" t="str">
        <f t="shared" si="5"/>
        <v>Ş</v>
      </c>
    </row>
    <row r="351" spans="1:2" x14ac:dyDescent="0.25">
      <c r="A351">
        <v>351</v>
      </c>
      <c r="B351" t="str">
        <f t="shared" si="5"/>
        <v>ş</v>
      </c>
    </row>
    <row r="352" spans="1:2" x14ac:dyDescent="0.25">
      <c r="A352">
        <v>352</v>
      </c>
      <c r="B352" t="str">
        <f t="shared" si="5"/>
        <v>Š</v>
      </c>
    </row>
    <row r="353" spans="1:2" x14ac:dyDescent="0.25">
      <c r="A353">
        <v>353</v>
      </c>
      <c r="B353" t="str">
        <f t="shared" si="5"/>
        <v>š</v>
      </c>
    </row>
    <row r="354" spans="1:2" x14ac:dyDescent="0.25">
      <c r="A354">
        <v>354</v>
      </c>
      <c r="B354" t="str">
        <f t="shared" si="5"/>
        <v>Ţ</v>
      </c>
    </row>
    <row r="355" spans="1:2" x14ac:dyDescent="0.25">
      <c r="A355">
        <v>355</v>
      </c>
      <c r="B355" t="str">
        <f t="shared" si="5"/>
        <v>ţ</v>
      </c>
    </row>
    <row r="356" spans="1:2" x14ac:dyDescent="0.25">
      <c r="A356">
        <v>356</v>
      </c>
      <c r="B356" t="str">
        <f t="shared" si="5"/>
        <v>Ť</v>
      </c>
    </row>
    <row r="357" spans="1:2" x14ac:dyDescent="0.25">
      <c r="A357">
        <v>357</v>
      </c>
      <c r="B357" t="str">
        <f t="shared" si="5"/>
        <v>ť</v>
      </c>
    </row>
    <row r="358" spans="1:2" x14ac:dyDescent="0.25">
      <c r="A358">
        <v>358</v>
      </c>
      <c r="B358" t="str">
        <f t="shared" si="5"/>
        <v>Ŧ</v>
      </c>
    </row>
    <row r="359" spans="1:2" x14ac:dyDescent="0.25">
      <c r="A359">
        <v>359</v>
      </c>
      <c r="B359" t="str">
        <f t="shared" si="5"/>
        <v>ŧ</v>
      </c>
    </row>
    <row r="360" spans="1:2" x14ac:dyDescent="0.25">
      <c r="A360">
        <v>360</v>
      </c>
      <c r="B360" t="str">
        <f t="shared" si="5"/>
        <v>Ũ</v>
      </c>
    </row>
    <row r="361" spans="1:2" x14ac:dyDescent="0.25">
      <c r="A361">
        <v>361</v>
      </c>
      <c r="B361" t="str">
        <f t="shared" si="5"/>
        <v>ũ</v>
      </c>
    </row>
    <row r="362" spans="1:2" x14ac:dyDescent="0.25">
      <c r="A362">
        <v>362</v>
      </c>
      <c r="B362" t="str">
        <f t="shared" si="5"/>
        <v>Ū</v>
      </c>
    </row>
    <row r="363" spans="1:2" x14ac:dyDescent="0.25">
      <c r="A363">
        <v>363</v>
      </c>
      <c r="B363" t="str">
        <f t="shared" si="5"/>
        <v>ū</v>
      </c>
    </row>
    <row r="364" spans="1:2" x14ac:dyDescent="0.25">
      <c r="A364">
        <v>364</v>
      </c>
      <c r="B364" t="str">
        <f t="shared" si="5"/>
        <v>Ŭ</v>
      </c>
    </row>
    <row r="365" spans="1:2" x14ac:dyDescent="0.25">
      <c r="A365">
        <v>365</v>
      </c>
      <c r="B365" t="str">
        <f t="shared" si="5"/>
        <v>ŭ</v>
      </c>
    </row>
    <row r="366" spans="1:2" x14ac:dyDescent="0.25">
      <c r="A366">
        <v>366</v>
      </c>
      <c r="B366" t="str">
        <f t="shared" si="5"/>
        <v>Ů</v>
      </c>
    </row>
    <row r="367" spans="1:2" x14ac:dyDescent="0.25">
      <c r="A367">
        <v>367</v>
      </c>
      <c r="B367" t="str">
        <f t="shared" si="5"/>
        <v>ů</v>
      </c>
    </row>
    <row r="368" spans="1:2" x14ac:dyDescent="0.25">
      <c r="A368">
        <v>368</v>
      </c>
      <c r="B368" t="str">
        <f t="shared" si="5"/>
        <v>Ű</v>
      </c>
    </row>
    <row r="369" spans="1:2" x14ac:dyDescent="0.25">
      <c r="A369">
        <v>369</v>
      </c>
      <c r="B369" t="str">
        <f t="shared" si="5"/>
        <v>ű</v>
      </c>
    </row>
    <row r="370" spans="1:2" x14ac:dyDescent="0.25">
      <c r="A370">
        <v>370</v>
      </c>
      <c r="B370" t="str">
        <f t="shared" si="5"/>
        <v>Ų</v>
      </c>
    </row>
    <row r="371" spans="1:2" x14ac:dyDescent="0.25">
      <c r="A371">
        <v>371</v>
      </c>
      <c r="B371" t="str">
        <f t="shared" si="5"/>
        <v>ų</v>
      </c>
    </row>
    <row r="372" spans="1:2" x14ac:dyDescent="0.25">
      <c r="A372">
        <v>372</v>
      </c>
      <c r="B372" t="str">
        <f t="shared" si="5"/>
        <v>Ŵ</v>
      </c>
    </row>
    <row r="373" spans="1:2" x14ac:dyDescent="0.25">
      <c r="A373">
        <v>373</v>
      </c>
      <c r="B373" t="str">
        <f t="shared" si="5"/>
        <v>ŵ</v>
      </c>
    </row>
    <row r="374" spans="1:2" x14ac:dyDescent="0.25">
      <c r="A374">
        <v>374</v>
      </c>
      <c r="B374" t="str">
        <f t="shared" si="5"/>
        <v>Ŷ</v>
      </c>
    </row>
    <row r="375" spans="1:2" x14ac:dyDescent="0.25">
      <c r="A375">
        <v>375</v>
      </c>
      <c r="B375" t="str">
        <f t="shared" si="5"/>
        <v>ŷ</v>
      </c>
    </row>
    <row r="376" spans="1:2" x14ac:dyDescent="0.25">
      <c r="A376">
        <v>376</v>
      </c>
      <c r="B376" t="str">
        <f t="shared" si="5"/>
        <v>Ÿ</v>
      </c>
    </row>
    <row r="377" spans="1:2" x14ac:dyDescent="0.25">
      <c r="A377">
        <v>377</v>
      </c>
      <c r="B377" t="str">
        <f t="shared" si="5"/>
        <v>Ź</v>
      </c>
    </row>
    <row r="378" spans="1:2" x14ac:dyDescent="0.25">
      <c r="A378">
        <v>378</v>
      </c>
      <c r="B378" t="str">
        <f t="shared" si="5"/>
        <v>ź</v>
      </c>
    </row>
    <row r="379" spans="1:2" x14ac:dyDescent="0.25">
      <c r="A379">
        <v>379</v>
      </c>
      <c r="B379" t="str">
        <f t="shared" si="5"/>
        <v>Ż</v>
      </c>
    </row>
    <row r="380" spans="1:2" x14ac:dyDescent="0.25">
      <c r="A380">
        <v>380</v>
      </c>
      <c r="B380" t="str">
        <f t="shared" si="5"/>
        <v>ż</v>
      </c>
    </row>
    <row r="381" spans="1:2" x14ac:dyDescent="0.25">
      <c r="A381">
        <v>381</v>
      </c>
      <c r="B381" t="str">
        <f t="shared" si="5"/>
        <v>Ž</v>
      </c>
    </row>
    <row r="382" spans="1:2" x14ac:dyDescent="0.25">
      <c r="A382">
        <v>382</v>
      </c>
      <c r="B382" t="str">
        <f t="shared" si="5"/>
        <v>ž</v>
      </c>
    </row>
    <row r="383" spans="1:2" x14ac:dyDescent="0.25">
      <c r="A383">
        <v>383</v>
      </c>
      <c r="B383" t="str">
        <f t="shared" si="5"/>
        <v>ſ</v>
      </c>
    </row>
    <row r="384" spans="1:2" x14ac:dyDescent="0.25">
      <c r="A384">
        <v>384</v>
      </c>
      <c r="B384" t="str">
        <f t="shared" si="5"/>
        <v>ƀ</v>
      </c>
    </row>
    <row r="385" spans="1:2" x14ac:dyDescent="0.25">
      <c r="A385">
        <v>385</v>
      </c>
      <c r="B385" t="str">
        <f t="shared" si="5"/>
        <v>Ɓ</v>
      </c>
    </row>
    <row r="386" spans="1:2" x14ac:dyDescent="0.25">
      <c r="A386">
        <v>386</v>
      </c>
      <c r="B386" t="str">
        <f t="shared" ref="B386:B449" si="6">_xlfn.UNICHAR(A386)</f>
        <v>Ƃ</v>
      </c>
    </row>
    <row r="387" spans="1:2" x14ac:dyDescent="0.25">
      <c r="A387">
        <v>387</v>
      </c>
      <c r="B387" t="str">
        <f t="shared" si="6"/>
        <v>ƃ</v>
      </c>
    </row>
    <row r="388" spans="1:2" x14ac:dyDescent="0.25">
      <c r="A388">
        <v>388</v>
      </c>
      <c r="B388" t="str">
        <f t="shared" si="6"/>
        <v>Ƅ</v>
      </c>
    </row>
    <row r="389" spans="1:2" x14ac:dyDescent="0.25">
      <c r="A389">
        <v>389</v>
      </c>
      <c r="B389" t="str">
        <f t="shared" si="6"/>
        <v>ƅ</v>
      </c>
    </row>
    <row r="390" spans="1:2" x14ac:dyDescent="0.25">
      <c r="A390">
        <v>390</v>
      </c>
      <c r="B390" t="str">
        <f t="shared" si="6"/>
        <v>Ɔ</v>
      </c>
    </row>
    <row r="391" spans="1:2" x14ac:dyDescent="0.25">
      <c r="A391">
        <v>391</v>
      </c>
      <c r="B391" t="str">
        <f t="shared" si="6"/>
        <v>Ƈ</v>
      </c>
    </row>
    <row r="392" spans="1:2" x14ac:dyDescent="0.25">
      <c r="A392">
        <v>392</v>
      </c>
      <c r="B392" t="str">
        <f t="shared" si="6"/>
        <v>ƈ</v>
      </c>
    </row>
    <row r="393" spans="1:2" x14ac:dyDescent="0.25">
      <c r="A393">
        <v>393</v>
      </c>
      <c r="B393" t="str">
        <f t="shared" si="6"/>
        <v>Ɖ</v>
      </c>
    </row>
    <row r="394" spans="1:2" x14ac:dyDescent="0.25">
      <c r="A394">
        <v>394</v>
      </c>
      <c r="B394" t="str">
        <f t="shared" si="6"/>
        <v>Ɗ</v>
      </c>
    </row>
    <row r="395" spans="1:2" x14ac:dyDescent="0.25">
      <c r="A395">
        <v>395</v>
      </c>
      <c r="B395" t="str">
        <f t="shared" si="6"/>
        <v>Ƌ</v>
      </c>
    </row>
    <row r="396" spans="1:2" x14ac:dyDescent="0.25">
      <c r="A396">
        <v>396</v>
      </c>
      <c r="B396" t="str">
        <f t="shared" si="6"/>
        <v>ƌ</v>
      </c>
    </row>
    <row r="397" spans="1:2" x14ac:dyDescent="0.25">
      <c r="A397">
        <v>397</v>
      </c>
      <c r="B397" t="str">
        <f t="shared" si="6"/>
        <v>ƍ</v>
      </c>
    </row>
    <row r="398" spans="1:2" x14ac:dyDescent="0.25">
      <c r="A398">
        <v>398</v>
      </c>
      <c r="B398" t="str">
        <f t="shared" si="6"/>
        <v>Ǝ</v>
      </c>
    </row>
    <row r="399" spans="1:2" x14ac:dyDescent="0.25">
      <c r="A399">
        <v>399</v>
      </c>
      <c r="B399" t="str">
        <f t="shared" si="6"/>
        <v>Ə</v>
      </c>
    </row>
    <row r="400" spans="1:2" x14ac:dyDescent="0.25">
      <c r="A400">
        <v>400</v>
      </c>
      <c r="B400" t="str">
        <f t="shared" si="6"/>
        <v>Ɛ</v>
      </c>
    </row>
    <row r="401" spans="1:2" x14ac:dyDescent="0.25">
      <c r="A401">
        <v>401</v>
      </c>
      <c r="B401" t="str">
        <f t="shared" si="6"/>
        <v>Ƒ</v>
      </c>
    </row>
    <row r="402" spans="1:2" x14ac:dyDescent="0.25">
      <c r="A402">
        <v>402</v>
      </c>
      <c r="B402" t="str">
        <f t="shared" si="6"/>
        <v>ƒ</v>
      </c>
    </row>
    <row r="403" spans="1:2" x14ac:dyDescent="0.25">
      <c r="A403">
        <v>403</v>
      </c>
      <c r="B403" t="str">
        <f t="shared" si="6"/>
        <v>Ɠ</v>
      </c>
    </row>
    <row r="404" spans="1:2" x14ac:dyDescent="0.25">
      <c r="A404">
        <v>404</v>
      </c>
      <c r="B404" t="str">
        <f t="shared" si="6"/>
        <v>Ɣ</v>
      </c>
    </row>
    <row r="405" spans="1:2" x14ac:dyDescent="0.25">
      <c r="A405">
        <v>405</v>
      </c>
      <c r="B405" t="str">
        <f t="shared" si="6"/>
        <v>ƕ</v>
      </c>
    </row>
    <row r="406" spans="1:2" x14ac:dyDescent="0.25">
      <c r="A406">
        <v>406</v>
      </c>
      <c r="B406" t="str">
        <f t="shared" si="6"/>
        <v>Ɩ</v>
      </c>
    </row>
    <row r="407" spans="1:2" x14ac:dyDescent="0.25">
      <c r="A407">
        <v>407</v>
      </c>
      <c r="B407" t="str">
        <f t="shared" si="6"/>
        <v>Ɨ</v>
      </c>
    </row>
    <row r="408" spans="1:2" x14ac:dyDescent="0.25">
      <c r="A408">
        <v>408</v>
      </c>
      <c r="B408" t="str">
        <f t="shared" si="6"/>
        <v>Ƙ</v>
      </c>
    </row>
    <row r="409" spans="1:2" x14ac:dyDescent="0.25">
      <c r="A409">
        <v>409</v>
      </c>
      <c r="B409" t="str">
        <f t="shared" si="6"/>
        <v>ƙ</v>
      </c>
    </row>
    <row r="410" spans="1:2" x14ac:dyDescent="0.25">
      <c r="A410">
        <v>410</v>
      </c>
      <c r="B410" t="str">
        <f t="shared" si="6"/>
        <v>ƚ</v>
      </c>
    </row>
    <row r="411" spans="1:2" x14ac:dyDescent="0.25">
      <c r="A411">
        <v>411</v>
      </c>
      <c r="B411" t="str">
        <f t="shared" si="6"/>
        <v>ƛ</v>
      </c>
    </row>
    <row r="412" spans="1:2" x14ac:dyDescent="0.25">
      <c r="A412">
        <v>412</v>
      </c>
      <c r="B412" t="str">
        <f t="shared" si="6"/>
        <v>Ɯ</v>
      </c>
    </row>
    <row r="413" spans="1:2" x14ac:dyDescent="0.25">
      <c r="A413">
        <v>413</v>
      </c>
      <c r="B413" t="str">
        <f t="shared" si="6"/>
        <v>Ɲ</v>
      </c>
    </row>
    <row r="414" spans="1:2" x14ac:dyDescent="0.25">
      <c r="A414">
        <v>414</v>
      </c>
      <c r="B414" t="str">
        <f t="shared" si="6"/>
        <v>ƞ</v>
      </c>
    </row>
    <row r="415" spans="1:2" x14ac:dyDescent="0.25">
      <c r="A415">
        <v>415</v>
      </c>
      <c r="B415" t="str">
        <f t="shared" si="6"/>
        <v>Ɵ</v>
      </c>
    </row>
    <row r="416" spans="1:2" x14ac:dyDescent="0.25">
      <c r="A416">
        <v>416</v>
      </c>
      <c r="B416" t="str">
        <f t="shared" si="6"/>
        <v>Ơ</v>
      </c>
    </row>
    <row r="417" spans="1:2" x14ac:dyDescent="0.25">
      <c r="A417">
        <v>417</v>
      </c>
      <c r="B417" t="str">
        <f t="shared" si="6"/>
        <v>ơ</v>
      </c>
    </row>
    <row r="418" spans="1:2" x14ac:dyDescent="0.25">
      <c r="A418">
        <v>418</v>
      </c>
      <c r="B418" t="str">
        <f t="shared" si="6"/>
        <v>Ƣ</v>
      </c>
    </row>
    <row r="419" spans="1:2" x14ac:dyDescent="0.25">
      <c r="A419">
        <v>419</v>
      </c>
      <c r="B419" t="str">
        <f t="shared" si="6"/>
        <v>ƣ</v>
      </c>
    </row>
    <row r="420" spans="1:2" x14ac:dyDescent="0.25">
      <c r="A420">
        <v>420</v>
      </c>
      <c r="B420" t="str">
        <f t="shared" si="6"/>
        <v>Ƥ</v>
      </c>
    </row>
    <row r="421" spans="1:2" x14ac:dyDescent="0.25">
      <c r="A421">
        <v>421</v>
      </c>
      <c r="B421" t="str">
        <f t="shared" si="6"/>
        <v>ƥ</v>
      </c>
    </row>
    <row r="422" spans="1:2" x14ac:dyDescent="0.25">
      <c r="A422">
        <v>422</v>
      </c>
      <c r="B422" t="str">
        <f t="shared" si="6"/>
        <v>Ʀ</v>
      </c>
    </row>
    <row r="423" spans="1:2" x14ac:dyDescent="0.25">
      <c r="A423">
        <v>423</v>
      </c>
      <c r="B423" t="str">
        <f t="shared" si="6"/>
        <v>Ƨ</v>
      </c>
    </row>
    <row r="424" spans="1:2" x14ac:dyDescent="0.25">
      <c r="A424">
        <v>424</v>
      </c>
      <c r="B424" t="str">
        <f t="shared" si="6"/>
        <v>ƨ</v>
      </c>
    </row>
    <row r="425" spans="1:2" x14ac:dyDescent="0.25">
      <c r="A425">
        <v>425</v>
      </c>
      <c r="B425" t="str">
        <f t="shared" si="6"/>
        <v>Ʃ</v>
      </c>
    </row>
    <row r="426" spans="1:2" x14ac:dyDescent="0.25">
      <c r="A426">
        <v>426</v>
      </c>
      <c r="B426" t="str">
        <f t="shared" si="6"/>
        <v>ƪ</v>
      </c>
    </row>
    <row r="427" spans="1:2" x14ac:dyDescent="0.25">
      <c r="A427">
        <v>427</v>
      </c>
      <c r="B427" t="str">
        <f t="shared" si="6"/>
        <v>ƫ</v>
      </c>
    </row>
    <row r="428" spans="1:2" x14ac:dyDescent="0.25">
      <c r="A428">
        <v>428</v>
      </c>
      <c r="B428" t="str">
        <f t="shared" si="6"/>
        <v>Ƭ</v>
      </c>
    </row>
    <row r="429" spans="1:2" x14ac:dyDescent="0.25">
      <c r="A429">
        <v>429</v>
      </c>
      <c r="B429" t="str">
        <f t="shared" si="6"/>
        <v>ƭ</v>
      </c>
    </row>
    <row r="430" spans="1:2" x14ac:dyDescent="0.25">
      <c r="A430">
        <v>430</v>
      </c>
      <c r="B430" t="str">
        <f t="shared" si="6"/>
        <v>Ʈ</v>
      </c>
    </row>
    <row r="431" spans="1:2" x14ac:dyDescent="0.25">
      <c r="A431">
        <v>431</v>
      </c>
      <c r="B431" t="str">
        <f t="shared" si="6"/>
        <v>Ư</v>
      </c>
    </row>
    <row r="432" spans="1:2" x14ac:dyDescent="0.25">
      <c r="A432">
        <v>432</v>
      </c>
      <c r="B432" t="str">
        <f t="shared" si="6"/>
        <v>ư</v>
      </c>
    </row>
    <row r="433" spans="1:2" x14ac:dyDescent="0.25">
      <c r="A433">
        <v>433</v>
      </c>
      <c r="B433" t="str">
        <f t="shared" si="6"/>
        <v>Ʊ</v>
      </c>
    </row>
    <row r="434" spans="1:2" x14ac:dyDescent="0.25">
      <c r="A434">
        <v>434</v>
      </c>
      <c r="B434" t="str">
        <f t="shared" si="6"/>
        <v>Ʋ</v>
      </c>
    </row>
    <row r="435" spans="1:2" x14ac:dyDescent="0.25">
      <c r="A435">
        <v>435</v>
      </c>
      <c r="B435" t="str">
        <f t="shared" si="6"/>
        <v>Ƴ</v>
      </c>
    </row>
    <row r="436" spans="1:2" x14ac:dyDescent="0.25">
      <c r="A436">
        <v>436</v>
      </c>
      <c r="B436" t="str">
        <f t="shared" si="6"/>
        <v>ƴ</v>
      </c>
    </row>
    <row r="437" spans="1:2" x14ac:dyDescent="0.25">
      <c r="A437">
        <v>437</v>
      </c>
      <c r="B437" t="str">
        <f t="shared" si="6"/>
        <v>Ƶ</v>
      </c>
    </row>
    <row r="438" spans="1:2" x14ac:dyDescent="0.25">
      <c r="A438">
        <v>438</v>
      </c>
      <c r="B438" t="str">
        <f t="shared" si="6"/>
        <v>ƶ</v>
      </c>
    </row>
    <row r="439" spans="1:2" x14ac:dyDescent="0.25">
      <c r="A439">
        <v>439</v>
      </c>
      <c r="B439" t="str">
        <f t="shared" si="6"/>
        <v>Ʒ</v>
      </c>
    </row>
    <row r="440" spans="1:2" x14ac:dyDescent="0.25">
      <c r="A440">
        <v>440</v>
      </c>
      <c r="B440" t="str">
        <f t="shared" si="6"/>
        <v>Ƹ</v>
      </c>
    </row>
    <row r="441" spans="1:2" x14ac:dyDescent="0.25">
      <c r="A441">
        <v>441</v>
      </c>
      <c r="B441" t="str">
        <f t="shared" si="6"/>
        <v>ƹ</v>
      </c>
    </row>
    <row r="442" spans="1:2" x14ac:dyDescent="0.25">
      <c r="A442">
        <v>442</v>
      </c>
      <c r="B442" t="str">
        <f t="shared" si="6"/>
        <v>ƺ</v>
      </c>
    </row>
    <row r="443" spans="1:2" x14ac:dyDescent="0.25">
      <c r="A443">
        <v>443</v>
      </c>
      <c r="B443" t="str">
        <f t="shared" si="6"/>
        <v>ƻ</v>
      </c>
    </row>
    <row r="444" spans="1:2" x14ac:dyDescent="0.25">
      <c r="A444">
        <v>444</v>
      </c>
      <c r="B444" t="str">
        <f t="shared" si="6"/>
        <v>Ƽ</v>
      </c>
    </row>
    <row r="445" spans="1:2" x14ac:dyDescent="0.25">
      <c r="A445">
        <v>445</v>
      </c>
      <c r="B445" t="str">
        <f t="shared" si="6"/>
        <v>ƽ</v>
      </c>
    </row>
    <row r="446" spans="1:2" x14ac:dyDescent="0.25">
      <c r="A446">
        <v>446</v>
      </c>
      <c r="B446" t="str">
        <f t="shared" si="6"/>
        <v>ƾ</v>
      </c>
    </row>
    <row r="447" spans="1:2" x14ac:dyDescent="0.25">
      <c r="A447">
        <v>447</v>
      </c>
      <c r="B447" t="str">
        <f t="shared" si="6"/>
        <v>ƿ</v>
      </c>
    </row>
    <row r="448" spans="1:2" x14ac:dyDescent="0.25">
      <c r="A448">
        <v>448</v>
      </c>
      <c r="B448" t="str">
        <f t="shared" si="6"/>
        <v>ǀ</v>
      </c>
    </row>
    <row r="449" spans="1:2" x14ac:dyDescent="0.25">
      <c r="A449">
        <v>449</v>
      </c>
      <c r="B449" t="str">
        <f t="shared" si="6"/>
        <v>ǁ</v>
      </c>
    </row>
    <row r="450" spans="1:2" x14ac:dyDescent="0.25">
      <c r="A450">
        <v>450</v>
      </c>
      <c r="B450" t="str">
        <f t="shared" ref="B450:B513" si="7">_xlfn.UNICHAR(A450)</f>
        <v>ǂ</v>
      </c>
    </row>
    <row r="451" spans="1:2" x14ac:dyDescent="0.25">
      <c r="A451">
        <v>451</v>
      </c>
      <c r="B451" t="str">
        <f t="shared" si="7"/>
        <v>ǃ</v>
      </c>
    </row>
    <row r="452" spans="1:2" x14ac:dyDescent="0.25">
      <c r="A452">
        <v>452</v>
      </c>
      <c r="B452" t="str">
        <f t="shared" si="7"/>
        <v>Ǆ</v>
      </c>
    </row>
    <row r="453" spans="1:2" x14ac:dyDescent="0.25">
      <c r="A453">
        <v>453</v>
      </c>
      <c r="B453" t="str">
        <f t="shared" si="7"/>
        <v>ǅ</v>
      </c>
    </row>
    <row r="454" spans="1:2" x14ac:dyDescent="0.25">
      <c r="A454">
        <v>454</v>
      </c>
      <c r="B454" t="str">
        <f t="shared" si="7"/>
        <v>ǆ</v>
      </c>
    </row>
    <row r="455" spans="1:2" x14ac:dyDescent="0.25">
      <c r="A455">
        <v>455</v>
      </c>
      <c r="B455" t="str">
        <f t="shared" si="7"/>
        <v>Ǉ</v>
      </c>
    </row>
    <row r="456" spans="1:2" x14ac:dyDescent="0.25">
      <c r="A456">
        <v>456</v>
      </c>
      <c r="B456" t="str">
        <f t="shared" si="7"/>
        <v>ǈ</v>
      </c>
    </row>
    <row r="457" spans="1:2" x14ac:dyDescent="0.25">
      <c r="A457">
        <v>457</v>
      </c>
      <c r="B457" t="str">
        <f t="shared" si="7"/>
        <v>ǉ</v>
      </c>
    </row>
    <row r="458" spans="1:2" x14ac:dyDescent="0.25">
      <c r="A458">
        <v>458</v>
      </c>
      <c r="B458" t="str">
        <f t="shared" si="7"/>
        <v>Ǌ</v>
      </c>
    </row>
    <row r="459" spans="1:2" x14ac:dyDescent="0.25">
      <c r="A459">
        <v>459</v>
      </c>
      <c r="B459" t="str">
        <f t="shared" si="7"/>
        <v>ǋ</v>
      </c>
    </row>
    <row r="460" spans="1:2" x14ac:dyDescent="0.25">
      <c r="A460">
        <v>460</v>
      </c>
      <c r="B460" t="str">
        <f t="shared" si="7"/>
        <v>ǌ</v>
      </c>
    </row>
    <row r="461" spans="1:2" x14ac:dyDescent="0.25">
      <c r="A461">
        <v>461</v>
      </c>
      <c r="B461" t="str">
        <f t="shared" si="7"/>
        <v>Ǎ</v>
      </c>
    </row>
    <row r="462" spans="1:2" x14ac:dyDescent="0.25">
      <c r="A462">
        <v>462</v>
      </c>
      <c r="B462" t="str">
        <f t="shared" si="7"/>
        <v>ǎ</v>
      </c>
    </row>
    <row r="463" spans="1:2" x14ac:dyDescent="0.25">
      <c r="A463">
        <v>463</v>
      </c>
      <c r="B463" t="str">
        <f t="shared" si="7"/>
        <v>Ǐ</v>
      </c>
    </row>
    <row r="464" spans="1:2" x14ac:dyDescent="0.25">
      <c r="A464">
        <v>464</v>
      </c>
      <c r="B464" t="str">
        <f t="shared" si="7"/>
        <v>ǐ</v>
      </c>
    </row>
    <row r="465" spans="1:2" x14ac:dyDescent="0.25">
      <c r="A465">
        <v>465</v>
      </c>
      <c r="B465" t="str">
        <f t="shared" si="7"/>
        <v>Ǒ</v>
      </c>
    </row>
    <row r="466" spans="1:2" x14ac:dyDescent="0.25">
      <c r="A466">
        <v>466</v>
      </c>
      <c r="B466" t="str">
        <f t="shared" si="7"/>
        <v>ǒ</v>
      </c>
    </row>
    <row r="467" spans="1:2" x14ac:dyDescent="0.25">
      <c r="A467">
        <v>467</v>
      </c>
      <c r="B467" t="str">
        <f t="shared" si="7"/>
        <v>Ǔ</v>
      </c>
    </row>
    <row r="468" spans="1:2" x14ac:dyDescent="0.25">
      <c r="A468">
        <v>468</v>
      </c>
      <c r="B468" t="str">
        <f t="shared" si="7"/>
        <v>ǔ</v>
      </c>
    </row>
    <row r="469" spans="1:2" x14ac:dyDescent="0.25">
      <c r="A469">
        <v>469</v>
      </c>
      <c r="B469" t="str">
        <f t="shared" si="7"/>
        <v>Ǖ</v>
      </c>
    </row>
    <row r="470" spans="1:2" x14ac:dyDescent="0.25">
      <c r="A470">
        <v>470</v>
      </c>
      <c r="B470" t="str">
        <f t="shared" si="7"/>
        <v>ǖ</v>
      </c>
    </row>
    <row r="471" spans="1:2" x14ac:dyDescent="0.25">
      <c r="A471">
        <v>471</v>
      </c>
      <c r="B471" t="str">
        <f t="shared" si="7"/>
        <v>Ǘ</v>
      </c>
    </row>
    <row r="472" spans="1:2" x14ac:dyDescent="0.25">
      <c r="A472">
        <v>472</v>
      </c>
      <c r="B472" t="str">
        <f t="shared" si="7"/>
        <v>ǘ</v>
      </c>
    </row>
    <row r="473" spans="1:2" x14ac:dyDescent="0.25">
      <c r="A473">
        <v>473</v>
      </c>
      <c r="B473" t="str">
        <f t="shared" si="7"/>
        <v>Ǚ</v>
      </c>
    </row>
    <row r="474" spans="1:2" x14ac:dyDescent="0.25">
      <c r="A474">
        <v>474</v>
      </c>
      <c r="B474" t="str">
        <f t="shared" si="7"/>
        <v>ǚ</v>
      </c>
    </row>
    <row r="475" spans="1:2" x14ac:dyDescent="0.25">
      <c r="A475">
        <v>475</v>
      </c>
      <c r="B475" t="str">
        <f t="shared" si="7"/>
        <v>Ǜ</v>
      </c>
    </row>
    <row r="476" spans="1:2" x14ac:dyDescent="0.25">
      <c r="A476">
        <v>476</v>
      </c>
      <c r="B476" t="str">
        <f t="shared" si="7"/>
        <v>ǜ</v>
      </c>
    </row>
    <row r="477" spans="1:2" x14ac:dyDescent="0.25">
      <c r="A477">
        <v>477</v>
      </c>
      <c r="B477" t="str">
        <f t="shared" si="7"/>
        <v>ǝ</v>
      </c>
    </row>
    <row r="478" spans="1:2" x14ac:dyDescent="0.25">
      <c r="A478">
        <v>478</v>
      </c>
      <c r="B478" t="str">
        <f t="shared" si="7"/>
        <v>Ǟ</v>
      </c>
    </row>
    <row r="479" spans="1:2" x14ac:dyDescent="0.25">
      <c r="A479">
        <v>479</v>
      </c>
      <c r="B479" t="str">
        <f t="shared" si="7"/>
        <v>ǟ</v>
      </c>
    </row>
    <row r="480" spans="1:2" x14ac:dyDescent="0.25">
      <c r="A480">
        <v>480</v>
      </c>
      <c r="B480" t="str">
        <f t="shared" si="7"/>
        <v>Ǡ</v>
      </c>
    </row>
    <row r="481" spans="1:2" x14ac:dyDescent="0.25">
      <c r="A481">
        <v>481</v>
      </c>
      <c r="B481" t="str">
        <f t="shared" si="7"/>
        <v>ǡ</v>
      </c>
    </row>
    <row r="482" spans="1:2" x14ac:dyDescent="0.25">
      <c r="A482">
        <v>482</v>
      </c>
      <c r="B482" t="str">
        <f t="shared" si="7"/>
        <v>Ǣ</v>
      </c>
    </row>
    <row r="483" spans="1:2" x14ac:dyDescent="0.25">
      <c r="A483">
        <v>483</v>
      </c>
      <c r="B483" t="str">
        <f t="shared" si="7"/>
        <v>ǣ</v>
      </c>
    </row>
    <row r="484" spans="1:2" x14ac:dyDescent="0.25">
      <c r="A484">
        <v>484</v>
      </c>
      <c r="B484" t="str">
        <f t="shared" si="7"/>
        <v>Ǥ</v>
      </c>
    </row>
    <row r="485" spans="1:2" x14ac:dyDescent="0.25">
      <c r="A485">
        <v>485</v>
      </c>
      <c r="B485" t="str">
        <f t="shared" si="7"/>
        <v>ǥ</v>
      </c>
    </row>
    <row r="486" spans="1:2" x14ac:dyDescent="0.25">
      <c r="A486">
        <v>486</v>
      </c>
      <c r="B486" t="str">
        <f t="shared" si="7"/>
        <v>Ǧ</v>
      </c>
    </row>
    <row r="487" spans="1:2" x14ac:dyDescent="0.25">
      <c r="A487">
        <v>487</v>
      </c>
      <c r="B487" t="str">
        <f t="shared" si="7"/>
        <v>ǧ</v>
      </c>
    </row>
    <row r="488" spans="1:2" x14ac:dyDescent="0.25">
      <c r="A488">
        <v>488</v>
      </c>
      <c r="B488" t="str">
        <f t="shared" si="7"/>
        <v>Ǩ</v>
      </c>
    </row>
    <row r="489" spans="1:2" x14ac:dyDescent="0.25">
      <c r="A489">
        <v>489</v>
      </c>
      <c r="B489" t="str">
        <f t="shared" si="7"/>
        <v>ǩ</v>
      </c>
    </row>
    <row r="490" spans="1:2" x14ac:dyDescent="0.25">
      <c r="A490">
        <v>490</v>
      </c>
      <c r="B490" t="str">
        <f t="shared" si="7"/>
        <v>Ǫ</v>
      </c>
    </row>
    <row r="491" spans="1:2" x14ac:dyDescent="0.25">
      <c r="A491">
        <v>491</v>
      </c>
      <c r="B491" t="str">
        <f t="shared" si="7"/>
        <v>ǫ</v>
      </c>
    </row>
    <row r="492" spans="1:2" x14ac:dyDescent="0.25">
      <c r="A492">
        <v>492</v>
      </c>
      <c r="B492" t="str">
        <f t="shared" si="7"/>
        <v>Ǭ</v>
      </c>
    </row>
    <row r="493" spans="1:2" x14ac:dyDescent="0.25">
      <c r="A493">
        <v>493</v>
      </c>
      <c r="B493" t="str">
        <f t="shared" si="7"/>
        <v>ǭ</v>
      </c>
    </row>
    <row r="494" spans="1:2" x14ac:dyDescent="0.25">
      <c r="A494">
        <v>494</v>
      </c>
      <c r="B494" t="str">
        <f t="shared" si="7"/>
        <v>Ǯ</v>
      </c>
    </row>
    <row r="495" spans="1:2" x14ac:dyDescent="0.25">
      <c r="A495">
        <v>495</v>
      </c>
      <c r="B495" t="str">
        <f t="shared" si="7"/>
        <v>ǯ</v>
      </c>
    </row>
    <row r="496" spans="1:2" x14ac:dyDescent="0.25">
      <c r="A496">
        <v>496</v>
      </c>
      <c r="B496" t="str">
        <f t="shared" si="7"/>
        <v>ǰ</v>
      </c>
    </row>
    <row r="497" spans="1:2" x14ac:dyDescent="0.25">
      <c r="A497">
        <v>497</v>
      </c>
      <c r="B497" t="str">
        <f t="shared" si="7"/>
        <v>Ǳ</v>
      </c>
    </row>
    <row r="498" spans="1:2" x14ac:dyDescent="0.25">
      <c r="A498">
        <v>498</v>
      </c>
      <c r="B498" t="str">
        <f t="shared" si="7"/>
        <v>ǲ</v>
      </c>
    </row>
    <row r="499" spans="1:2" x14ac:dyDescent="0.25">
      <c r="A499">
        <v>499</v>
      </c>
      <c r="B499" t="str">
        <f t="shared" si="7"/>
        <v>ǳ</v>
      </c>
    </row>
    <row r="500" spans="1:2" x14ac:dyDescent="0.25">
      <c r="A500">
        <v>500</v>
      </c>
      <c r="B500" t="str">
        <f t="shared" si="7"/>
        <v>Ǵ</v>
      </c>
    </row>
    <row r="501" spans="1:2" x14ac:dyDescent="0.25">
      <c r="A501">
        <v>501</v>
      </c>
      <c r="B501" t="str">
        <f t="shared" si="7"/>
        <v>ǵ</v>
      </c>
    </row>
    <row r="502" spans="1:2" x14ac:dyDescent="0.25">
      <c r="A502">
        <v>502</v>
      </c>
      <c r="B502" t="str">
        <f t="shared" si="7"/>
        <v>Ƕ</v>
      </c>
    </row>
    <row r="503" spans="1:2" x14ac:dyDescent="0.25">
      <c r="A503">
        <v>503</v>
      </c>
      <c r="B503" t="str">
        <f t="shared" si="7"/>
        <v>Ƿ</v>
      </c>
    </row>
    <row r="504" spans="1:2" x14ac:dyDescent="0.25">
      <c r="A504">
        <v>504</v>
      </c>
      <c r="B504" t="str">
        <f t="shared" si="7"/>
        <v>Ǹ</v>
      </c>
    </row>
    <row r="505" spans="1:2" x14ac:dyDescent="0.25">
      <c r="A505">
        <v>505</v>
      </c>
      <c r="B505" t="str">
        <f t="shared" si="7"/>
        <v>ǹ</v>
      </c>
    </row>
    <row r="506" spans="1:2" x14ac:dyDescent="0.25">
      <c r="A506">
        <v>506</v>
      </c>
      <c r="B506" t="str">
        <f t="shared" si="7"/>
        <v>Ǻ</v>
      </c>
    </row>
    <row r="507" spans="1:2" x14ac:dyDescent="0.25">
      <c r="A507">
        <v>507</v>
      </c>
      <c r="B507" t="str">
        <f t="shared" si="7"/>
        <v>ǻ</v>
      </c>
    </row>
    <row r="508" spans="1:2" x14ac:dyDescent="0.25">
      <c r="A508">
        <v>508</v>
      </c>
      <c r="B508" t="str">
        <f t="shared" si="7"/>
        <v>Ǽ</v>
      </c>
    </row>
    <row r="509" spans="1:2" x14ac:dyDescent="0.25">
      <c r="A509">
        <v>509</v>
      </c>
      <c r="B509" t="str">
        <f t="shared" si="7"/>
        <v>ǽ</v>
      </c>
    </row>
    <row r="510" spans="1:2" x14ac:dyDescent="0.25">
      <c r="A510">
        <v>510</v>
      </c>
      <c r="B510" t="str">
        <f t="shared" si="7"/>
        <v>Ǿ</v>
      </c>
    </row>
    <row r="511" spans="1:2" x14ac:dyDescent="0.25">
      <c r="A511">
        <v>511</v>
      </c>
      <c r="B511" t="str">
        <f t="shared" si="7"/>
        <v>ǿ</v>
      </c>
    </row>
    <row r="512" spans="1:2" x14ac:dyDescent="0.25">
      <c r="A512">
        <v>512</v>
      </c>
      <c r="B512" t="str">
        <f t="shared" si="7"/>
        <v>Ȁ</v>
      </c>
    </row>
    <row r="513" spans="1:2" x14ac:dyDescent="0.25">
      <c r="A513">
        <v>513</v>
      </c>
      <c r="B513" t="str">
        <f t="shared" si="7"/>
        <v>ȁ</v>
      </c>
    </row>
    <row r="514" spans="1:2" x14ac:dyDescent="0.25">
      <c r="A514">
        <v>514</v>
      </c>
      <c r="B514" t="str">
        <f t="shared" ref="B514:B577" si="8">_xlfn.UNICHAR(A514)</f>
        <v>Ȃ</v>
      </c>
    </row>
    <row r="515" spans="1:2" x14ac:dyDescent="0.25">
      <c r="A515">
        <v>515</v>
      </c>
      <c r="B515" t="str">
        <f t="shared" si="8"/>
        <v>ȃ</v>
      </c>
    </row>
    <row r="516" spans="1:2" x14ac:dyDescent="0.25">
      <c r="A516">
        <v>516</v>
      </c>
      <c r="B516" t="str">
        <f t="shared" si="8"/>
        <v>Ȅ</v>
      </c>
    </row>
    <row r="517" spans="1:2" x14ac:dyDescent="0.25">
      <c r="A517">
        <v>517</v>
      </c>
      <c r="B517" t="str">
        <f t="shared" si="8"/>
        <v>ȅ</v>
      </c>
    </row>
    <row r="518" spans="1:2" x14ac:dyDescent="0.25">
      <c r="A518">
        <v>518</v>
      </c>
      <c r="B518" t="str">
        <f t="shared" si="8"/>
        <v>Ȇ</v>
      </c>
    </row>
    <row r="519" spans="1:2" x14ac:dyDescent="0.25">
      <c r="A519">
        <v>519</v>
      </c>
      <c r="B519" t="str">
        <f t="shared" si="8"/>
        <v>ȇ</v>
      </c>
    </row>
    <row r="520" spans="1:2" x14ac:dyDescent="0.25">
      <c r="A520">
        <v>520</v>
      </c>
      <c r="B520" t="str">
        <f t="shared" si="8"/>
        <v>Ȉ</v>
      </c>
    </row>
    <row r="521" spans="1:2" x14ac:dyDescent="0.25">
      <c r="A521">
        <v>521</v>
      </c>
      <c r="B521" t="str">
        <f t="shared" si="8"/>
        <v>ȉ</v>
      </c>
    </row>
    <row r="522" spans="1:2" x14ac:dyDescent="0.25">
      <c r="A522">
        <v>522</v>
      </c>
      <c r="B522" t="str">
        <f t="shared" si="8"/>
        <v>Ȋ</v>
      </c>
    </row>
    <row r="523" spans="1:2" x14ac:dyDescent="0.25">
      <c r="A523">
        <v>523</v>
      </c>
      <c r="B523" t="str">
        <f t="shared" si="8"/>
        <v>ȋ</v>
      </c>
    </row>
    <row r="524" spans="1:2" x14ac:dyDescent="0.25">
      <c r="A524">
        <v>524</v>
      </c>
      <c r="B524" t="str">
        <f t="shared" si="8"/>
        <v>Ȍ</v>
      </c>
    </row>
    <row r="525" spans="1:2" x14ac:dyDescent="0.25">
      <c r="A525">
        <v>525</v>
      </c>
      <c r="B525" t="str">
        <f t="shared" si="8"/>
        <v>ȍ</v>
      </c>
    </row>
    <row r="526" spans="1:2" x14ac:dyDescent="0.25">
      <c r="A526">
        <v>526</v>
      </c>
      <c r="B526" t="str">
        <f t="shared" si="8"/>
        <v>Ȏ</v>
      </c>
    </row>
    <row r="527" spans="1:2" x14ac:dyDescent="0.25">
      <c r="A527">
        <v>527</v>
      </c>
      <c r="B527" t="str">
        <f t="shared" si="8"/>
        <v>ȏ</v>
      </c>
    </row>
    <row r="528" spans="1:2" x14ac:dyDescent="0.25">
      <c r="A528">
        <v>528</v>
      </c>
      <c r="B528" t="str">
        <f t="shared" si="8"/>
        <v>Ȑ</v>
      </c>
    </row>
    <row r="529" spans="1:2" x14ac:dyDescent="0.25">
      <c r="A529">
        <v>529</v>
      </c>
      <c r="B529" t="str">
        <f t="shared" si="8"/>
        <v>ȑ</v>
      </c>
    </row>
    <row r="530" spans="1:2" x14ac:dyDescent="0.25">
      <c r="A530">
        <v>530</v>
      </c>
      <c r="B530" t="str">
        <f t="shared" si="8"/>
        <v>Ȓ</v>
      </c>
    </row>
    <row r="531" spans="1:2" x14ac:dyDescent="0.25">
      <c r="A531">
        <v>531</v>
      </c>
      <c r="B531" t="str">
        <f t="shared" si="8"/>
        <v>ȓ</v>
      </c>
    </row>
    <row r="532" spans="1:2" x14ac:dyDescent="0.25">
      <c r="A532">
        <v>532</v>
      </c>
      <c r="B532" t="str">
        <f t="shared" si="8"/>
        <v>Ȕ</v>
      </c>
    </row>
    <row r="533" spans="1:2" x14ac:dyDescent="0.25">
      <c r="A533">
        <v>533</v>
      </c>
      <c r="B533" t="str">
        <f t="shared" si="8"/>
        <v>ȕ</v>
      </c>
    </row>
    <row r="534" spans="1:2" x14ac:dyDescent="0.25">
      <c r="A534">
        <v>534</v>
      </c>
      <c r="B534" t="str">
        <f t="shared" si="8"/>
        <v>Ȗ</v>
      </c>
    </row>
    <row r="535" spans="1:2" x14ac:dyDescent="0.25">
      <c r="A535">
        <v>535</v>
      </c>
      <c r="B535" t="str">
        <f t="shared" si="8"/>
        <v>ȗ</v>
      </c>
    </row>
    <row r="536" spans="1:2" x14ac:dyDescent="0.25">
      <c r="A536">
        <v>536</v>
      </c>
      <c r="B536" t="str">
        <f t="shared" si="8"/>
        <v>Ș</v>
      </c>
    </row>
    <row r="537" spans="1:2" x14ac:dyDescent="0.25">
      <c r="A537">
        <v>537</v>
      </c>
      <c r="B537" t="str">
        <f t="shared" si="8"/>
        <v>ș</v>
      </c>
    </row>
    <row r="538" spans="1:2" x14ac:dyDescent="0.25">
      <c r="A538">
        <v>538</v>
      </c>
      <c r="B538" t="str">
        <f t="shared" si="8"/>
        <v>Ț</v>
      </c>
    </row>
    <row r="539" spans="1:2" x14ac:dyDescent="0.25">
      <c r="A539">
        <v>539</v>
      </c>
      <c r="B539" t="str">
        <f t="shared" si="8"/>
        <v>ț</v>
      </c>
    </row>
    <row r="540" spans="1:2" x14ac:dyDescent="0.25">
      <c r="A540">
        <v>540</v>
      </c>
      <c r="B540" t="str">
        <f t="shared" si="8"/>
        <v>Ȝ</v>
      </c>
    </row>
    <row r="541" spans="1:2" x14ac:dyDescent="0.25">
      <c r="A541">
        <v>541</v>
      </c>
      <c r="B541" t="str">
        <f t="shared" si="8"/>
        <v>ȝ</v>
      </c>
    </row>
    <row r="542" spans="1:2" x14ac:dyDescent="0.25">
      <c r="A542">
        <v>542</v>
      </c>
      <c r="B542" t="str">
        <f t="shared" si="8"/>
        <v>Ȟ</v>
      </c>
    </row>
    <row r="543" spans="1:2" x14ac:dyDescent="0.25">
      <c r="A543">
        <v>543</v>
      </c>
      <c r="B543" t="str">
        <f t="shared" si="8"/>
        <v>ȟ</v>
      </c>
    </row>
    <row r="544" spans="1:2" x14ac:dyDescent="0.25">
      <c r="A544">
        <v>544</v>
      </c>
      <c r="B544" t="str">
        <f t="shared" si="8"/>
        <v>Ƞ</v>
      </c>
    </row>
    <row r="545" spans="1:2" x14ac:dyDescent="0.25">
      <c r="A545">
        <v>545</v>
      </c>
      <c r="B545" t="str">
        <f t="shared" si="8"/>
        <v>ȡ</v>
      </c>
    </row>
    <row r="546" spans="1:2" x14ac:dyDescent="0.25">
      <c r="A546">
        <v>546</v>
      </c>
      <c r="B546" t="str">
        <f t="shared" si="8"/>
        <v>Ȣ</v>
      </c>
    </row>
    <row r="547" spans="1:2" x14ac:dyDescent="0.25">
      <c r="A547">
        <v>547</v>
      </c>
      <c r="B547" t="str">
        <f t="shared" si="8"/>
        <v>ȣ</v>
      </c>
    </row>
    <row r="548" spans="1:2" x14ac:dyDescent="0.25">
      <c r="A548">
        <v>548</v>
      </c>
      <c r="B548" t="str">
        <f t="shared" si="8"/>
        <v>Ȥ</v>
      </c>
    </row>
    <row r="549" spans="1:2" x14ac:dyDescent="0.25">
      <c r="A549">
        <v>549</v>
      </c>
      <c r="B549" t="str">
        <f t="shared" si="8"/>
        <v>ȥ</v>
      </c>
    </row>
    <row r="550" spans="1:2" x14ac:dyDescent="0.25">
      <c r="A550">
        <v>550</v>
      </c>
      <c r="B550" t="str">
        <f t="shared" si="8"/>
        <v>Ȧ</v>
      </c>
    </row>
    <row r="551" spans="1:2" x14ac:dyDescent="0.25">
      <c r="A551">
        <v>551</v>
      </c>
      <c r="B551" t="str">
        <f t="shared" si="8"/>
        <v>ȧ</v>
      </c>
    </row>
    <row r="552" spans="1:2" x14ac:dyDescent="0.25">
      <c r="A552">
        <v>552</v>
      </c>
      <c r="B552" t="str">
        <f t="shared" si="8"/>
        <v>Ȩ</v>
      </c>
    </row>
    <row r="553" spans="1:2" x14ac:dyDescent="0.25">
      <c r="A553">
        <v>553</v>
      </c>
      <c r="B553" t="str">
        <f t="shared" si="8"/>
        <v>ȩ</v>
      </c>
    </row>
    <row r="554" spans="1:2" x14ac:dyDescent="0.25">
      <c r="A554">
        <v>554</v>
      </c>
      <c r="B554" t="str">
        <f t="shared" si="8"/>
        <v>Ȫ</v>
      </c>
    </row>
    <row r="555" spans="1:2" x14ac:dyDescent="0.25">
      <c r="A555">
        <v>555</v>
      </c>
      <c r="B555" t="str">
        <f t="shared" si="8"/>
        <v>ȫ</v>
      </c>
    </row>
    <row r="556" spans="1:2" x14ac:dyDescent="0.25">
      <c r="A556">
        <v>556</v>
      </c>
      <c r="B556" t="str">
        <f t="shared" si="8"/>
        <v>Ȭ</v>
      </c>
    </row>
    <row r="557" spans="1:2" x14ac:dyDescent="0.25">
      <c r="A557">
        <v>557</v>
      </c>
      <c r="B557" t="str">
        <f t="shared" si="8"/>
        <v>ȭ</v>
      </c>
    </row>
    <row r="558" spans="1:2" x14ac:dyDescent="0.25">
      <c r="A558">
        <v>558</v>
      </c>
      <c r="B558" t="str">
        <f t="shared" si="8"/>
        <v>Ȯ</v>
      </c>
    </row>
    <row r="559" spans="1:2" x14ac:dyDescent="0.25">
      <c r="A559">
        <v>559</v>
      </c>
      <c r="B559" t="str">
        <f t="shared" si="8"/>
        <v>ȯ</v>
      </c>
    </row>
    <row r="560" spans="1:2" x14ac:dyDescent="0.25">
      <c r="A560">
        <v>560</v>
      </c>
      <c r="B560" t="str">
        <f t="shared" si="8"/>
        <v>Ȱ</v>
      </c>
    </row>
    <row r="561" spans="1:2" x14ac:dyDescent="0.25">
      <c r="A561">
        <v>561</v>
      </c>
      <c r="B561" t="str">
        <f t="shared" si="8"/>
        <v>ȱ</v>
      </c>
    </row>
    <row r="562" spans="1:2" x14ac:dyDescent="0.25">
      <c r="A562">
        <v>562</v>
      </c>
      <c r="B562" t="str">
        <f t="shared" si="8"/>
        <v>Ȳ</v>
      </c>
    </row>
    <row r="563" spans="1:2" x14ac:dyDescent="0.25">
      <c r="A563">
        <v>563</v>
      </c>
      <c r="B563" t="str">
        <f t="shared" si="8"/>
        <v>ȳ</v>
      </c>
    </row>
    <row r="564" spans="1:2" x14ac:dyDescent="0.25">
      <c r="A564">
        <v>564</v>
      </c>
      <c r="B564" t="str">
        <f t="shared" si="8"/>
        <v>ȴ</v>
      </c>
    </row>
    <row r="565" spans="1:2" x14ac:dyDescent="0.25">
      <c r="A565">
        <v>565</v>
      </c>
      <c r="B565" t="str">
        <f t="shared" si="8"/>
        <v>ȵ</v>
      </c>
    </row>
    <row r="566" spans="1:2" x14ac:dyDescent="0.25">
      <c r="A566">
        <v>566</v>
      </c>
      <c r="B566" t="str">
        <f t="shared" si="8"/>
        <v>ȶ</v>
      </c>
    </row>
    <row r="567" spans="1:2" x14ac:dyDescent="0.25">
      <c r="A567">
        <v>567</v>
      </c>
      <c r="B567" t="str">
        <f t="shared" si="8"/>
        <v>ȷ</v>
      </c>
    </row>
    <row r="568" spans="1:2" x14ac:dyDescent="0.25">
      <c r="A568">
        <v>568</v>
      </c>
      <c r="B568" t="str">
        <f t="shared" si="8"/>
        <v>ȸ</v>
      </c>
    </row>
    <row r="569" spans="1:2" x14ac:dyDescent="0.25">
      <c r="A569">
        <v>569</v>
      </c>
      <c r="B569" t="str">
        <f t="shared" si="8"/>
        <v>ȹ</v>
      </c>
    </row>
    <row r="570" spans="1:2" x14ac:dyDescent="0.25">
      <c r="A570">
        <v>570</v>
      </c>
      <c r="B570" t="str">
        <f t="shared" si="8"/>
        <v>Ⱥ</v>
      </c>
    </row>
    <row r="571" spans="1:2" x14ac:dyDescent="0.25">
      <c r="A571">
        <v>571</v>
      </c>
      <c r="B571" t="str">
        <f t="shared" si="8"/>
        <v>Ȼ</v>
      </c>
    </row>
    <row r="572" spans="1:2" x14ac:dyDescent="0.25">
      <c r="A572">
        <v>572</v>
      </c>
      <c r="B572" t="str">
        <f t="shared" si="8"/>
        <v>ȼ</v>
      </c>
    </row>
    <row r="573" spans="1:2" x14ac:dyDescent="0.25">
      <c r="A573">
        <v>573</v>
      </c>
      <c r="B573" t="str">
        <f t="shared" si="8"/>
        <v>Ƚ</v>
      </c>
    </row>
    <row r="574" spans="1:2" x14ac:dyDescent="0.25">
      <c r="A574">
        <v>574</v>
      </c>
      <c r="B574" t="str">
        <f t="shared" si="8"/>
        <v>Ⱦ</v>
      </c>
    </row>
    <row r="575" spans="1:2" x14ac:dyDescent="0.25">
      <c r="A575">
        <v>575</v>
      </c>
      <c r="B575" t="str">
        <f t="shared" si="8"/>
        <v>ȿ</v>
      </c>
    </row>
    <row r="576" spans="1:2" x14ac:dyDescent="0.25">
      <c r="A576">
        <v>576</v>
      </c>
      <c r="B576" t="str">
        <f t="shared" si="8"/>
        <v>ɀ</v>
      </c>
    </row>
    <row r="577" spans="1:2" x14ac:dyDescent="0.25">
      <c r="A577">
        <v>577</v>
      </c>
      <c r="B577" t="str">
        <f t="shared" si="8"/>
        <v>Ɂ</v>
      </c>
    </row>
    <row r="578" spans="1:2" x14ac:dyDescent="0.25">
      <c r="A578">
        <v>578</v>
      </c>
      <c r="B578" t="str">
        <f t="shared" ref="B578:B641" si="9">_xlfn.UNICHAR(A578)</f>
        <v>ɂ</v>
      </c>
    </row>
    <row r="579" spans="1:2" x14ac:dyDescent="0.25">
      <c r="A579">
        <v>579</v>
      </c>
      <c r="B579" t="str">
        <f t="shared" si="9"/>
        <v>Ƀ</v>
      </c>
    </row>
    <row r="580" spans="1:2" x14ac:dyDescent="0.25">
      <c r="A580">
        <v>580</v>
      </c>
      <c r="B580" t="str">
        <f t="shared" si="9"/>
        <v>Ʉ</v>
      </c>
    </row>
    <row r="581" spans="1:2" x14ac:dyDescent="0.25">
      <c r="A581">
        <v>581</v>
      </c>
      <c r="B581" t="str">
        <f t="shared" si="9"/>
        <v>Ʌ</v>
      </c>
    </row>
    <row r="582" spans="1:2" x14ac:dyDescent="0.25">
      <c r="A582">
        <v>582</v>
      </c>
      <c r="B582" t="str">
        <f t="shared" si="9"/>
        <v>Ɇ</v>
      </c>
    </row>
    <row r="583" spans="1:2" x14ac:dyDescent="0.25">
      <c r="A583">
        <v>583</v>
      </c>
      <c r="B583" t="str">
        <f t="shared" si="9"/>
        <v>ɇ</v>
      </c>
    </row>
    <row r="584" spans="1:2" x14ac:dyDescent="0.25">
      <c r="A584">
        <v>584</v>
      </c>
      <c r="B584" t="str">
        <f t="shared" si="9"/>
        <v>Ɉ</v>
      </c>
    </row>
    <row r="585" spans="1:2" x14ac:dyDescent="0.25">
      <c r="A585">
        <v>585</v>
      </c>
      <c r="B585" t="str">
        <f t="shared" si="9"/>
        <v>ɉ</v>
      </c>
    </row>
    <row r="586" spans="1:2" x14ac:dyDescent="0.25">
      <c r="A586">
        <v>586</v>
      </c>
      <c r="B586" t="str">
        <f t="shared" si="9"/>
        <v>Ɋ</v>
      </c>
    </row>
    <row r="587" spans="1:2" x14ac:dyDescent="0.25">
      <c r="A587">
        <v>587</v>
      </c>
      <c r="B587" t="str">
        <f t="shared" si="9"/>
        <v>ɋ</v>
      </c>
    </row>
    <row r="588" spans="1:2" x14ac:dyDescent="0.25">
      <c r="A588">
        <v>588</v>
      </c>
      <c r="B588" t="str">
        <f t="shared" si="9"/>
        <v>Ɍ</v>
      </c>
    </row>
    <row r="589" spans="1:2" x14ac:dyDescent="0.25">
      <c r="A589">
        <v>589</v>
      </c>
      <c r="B589" t="str">
        <f t="shared" si="9"/>
        <v>ɍ</v>
      </c>
    </row>
    <row r="590" spans="1:2" x14ac:dyDescent="0.25">
      <c r="A590">
        <v>590</v>
      </c>
      <c r="B590" t="str">
        <f t="shared" si="9"/>
        <v>Ɏ</v>
      </c>
    </row>
    <row r="591" spans="1:2" x14ac:dyDescent="0.25">
      <c r="A591">
        <v>591</v>
      </c>
      <c r="B591" t="str">
        <f t="shared" si="9"/>
        <v>ɏ</v>
      </c>
    </row>
    <row r="592" spans="1:2" x14ac:dyDescent="0.25">
      <c r="A592">
        <v>592</v>
      </c>
      <c r="B592" t="str">
        <f t="shared" si="9"/>
        <v>ɐ</v>
      </c>
    </row>
    <row r="593" spans="1:2" x14ac:dyDescent="0.25">
      <c r="A593">
        <v>593</v>
      </c>
      <c r="B593" t="str">
        <f t="shared" si="9"/>
        <v>ɑ</v>
      </c>
    </row>
    <row r="594" spans="1:2" x14ac:dyDescent="0.25">
      <c r="A594">
        <v>594</v>
      </c>
      <c r="B594" t="str">
        <f t="shared" si="9"/>
        <v>ɒ</v>
      </c>
    </row>
    <row r="595" spans="1:2" x14ac:dyDescent="0.25">
      <c r="A595">
        <v>595</v>
      </c>
      <c r="B595" t="str">
        <f t="shared" si="9"/>
        <v>ɓ</v>
      </c>
    </row>
    <row r="596" spans="1:2" x14ac:dyDescent="0.25">
      <c r="A596">
        <v>596</v>
      </c>
      <c r="B596" t="str">
        <f t="shared" si="9"/>
        <v>ɔ</v>
      </c>
    </row>
    <row r="597" spans="1:2" x14ac:dyDescent="0.25">
      <c r="A597">
        <v>597</v>
      </c>
      <c r="B597" t="str">
        <f t="shared" si="9"/>
        <v>ɕ</v>
      </c>
    </row>
    <row r="598" spans="1:2" x14ac:dyDescent="0.25">
      <c r="A598">
        <v>598</v>
      </c>
      <c r="B598" t="str">
        <f t="shared" si="9"/>
        <v>ɖ</v>
      </c>
    </row>
    <row r="599" spans="1:2" x14ac:dyDescent="0.25">
      <c r="A599">
        <v>599</v>
      </c>
      <c r="B599" t="str">
        <f t="shared" si="9"/>
        <v>ɗ</v>
      </c>
    </row>
    <row r="600" spans="1:2" x14ac:dyDescent="0.25">
      <c r="A600">
        <v>600</v>
      </c>
      <c r="B600" t="str">
        <f t="shared" si="9"/>
        <v>ɘ</v>
      </c>
    </row>
    <row r="601" spans="1:2" x14ac:dyDescent="0.25">
      <c r="A601">
        <v>601</v>
      </c>
      <c r="B601" t="str">
        <f t="shared" si="9"/>
        <v>ə</v>
      </c>
    </row>
    <row r="602" spans="1:2" x14ac:dyDescent="0.25">
      <c r="A602">
        <v>602</v>
      </c>
      <c r="B602" t="str">
        <f t="shared" si="9"/>
        <v>ɚ</v>
      </c>
    </row>
    <row r="603" spans="1:2" x14ac:dyDescent="0.25">
      <c r="A603">
        <v>603</v>
      </c>
      <c r="B603" t="str">
        <f t="shared" si="9"/>
        <v>ɛ</v>
      </c>
    </row>
    <row r="604" spans="1:2" x14ac:dyDescent="0.25">
      <c r="A604">
        <v>604</v>
      </c>
      <c r="B604" t="str">
        <f t="shared" si="9"/>
        <v>ɜ</v>
      </c>
    </row>
    <row r="605" spans="1:2" x14ac:dyDescent="0.25">
      <c r="A605">
        <v>605</v>
      </c>
      <c r="B605" t="str">
        <f t="shared" si="9"/>
        <v>ɝ</v>
      </c>
    </row>
    <row r="606" spans="1:2" x14ac:dyDescent="0.25">
      <c r="A606">
        <v>606</v>
      </c>
      <c r="B606" t="str">
        <f t="shared" si="9"/>
        <v>ɞ</v>
      </c>
    </row>
    <row r="607" spans="1:2" x14ac:dyDescent="0.25">
      <c r="A607">
        <v>607</v>
      </c>
      <c r="B607" t="str">
        <f t="shared" si="9"/>
        <v>ɟ</v>
      </c>
    </row>
    <row r="608" spans="1:2" x14ac:dyDescent="0.25">
      <c r="A608">
        <v>608</v>
      </c>
      <c r="B608" t="str">
        <f t="shared" si="9"/>
        <v>ɠ</v>
      </c>
    </row>
    <row r="609" spans="1:2" x14ac:dyDescent="0.25">
      <c r="A609">
        <v>609</v>
      </c>
      <c r="B609" t="str">
        <f t="shared" si="9"/>
        <v>ɡ</v>
      </c>
    </row>
    <row r="610" spans="1:2" x14ac:dyDescent="0.25">
      <c r="A610">
        <v>610</v>
      </c>
      <c r="B610" t="str">
        <f t="shared" si="9"/>
        <v>ɢ</v>
      </c>
    </row>
    <row r="611" spans="1:2" x14ac:dyDescent="0.25">
      <c r="A611">
        <v>611</v>
      </c>
      <c r="B611" t="str">
        <f t="shared" si="9"/>
        <v>ɣ</v>
      </c>
    </row>
    <row r="612" spans="1:2" x14ac:dyDescent="0.25">
      <c r="A612">
        <v>612</v>
      </c>
      <c r="B612" t="str">
        <f t="shared" si="9"/>
        <v>ɤ</v>
      </c>
    </row>
    <row r="613" spans="1:2" x14ac:dyDescent="0.25">
      <c r="A613">
        <v>613</v>
      </c>
      <c r="B613" t="str">
        <f t="shared" si="9"/>
        <v>ɥ</v>
      </c>
    </row>
    <row r="614" spans="1:2" x14ac:dyDescent="0.25">
      <c r="A614">
        <v>614</v>
      </c>
      <c r="B614" t="str">
        <f t="shared" si="9"/>
        <v>ɦ</v>
      </c>
    </row>
    <row r="615" spans="1:2" x14ac:dyDescent="0.25">
      <c r="A615">
        <v>615</v>
      </c>
      <c r="B615" t="str">
        <f t="shared" si="9"/>
        <v>ɧ</v>
      </c>
    </row>
    <row r="616" spans="1:2" x14ac:dyDescent="0.25">
      <c r="A616">
        <v>616</v>
      </c>
      <c r="B616" t="str">
        <f t="shared" si="9"/>
        <v>ɨ</v>
      </c>
    </row>
    <row r="617" spans="1:2" x14ac:dyDescent="0.25">
      <c r="A617">
        <v>617</v>
      </c>
      <c r="B617" t="str">
        <f t="shared" si="9"/>
        <v>ɩ</v>
      </c>
    </row>
    <row r="618" spans="1:2" x14ac:dyDescent="0.25">
      <c r="A618">
        <v>618</v>
      </c>
      <c r="B618" t="str">
        <f t="shared" si="9"/>
        <v>ɪ</v>
      </c>
    </row>
    <row r="619" spans="1:2" x14ac:dyDescent="0.25">
      <c r="A619">
        <v>619</v>
      </c>
      <c r="B619" t="str">
        <f t="shared" si="9"/>
        <v>ɫ</v>
      </c>
    </row>
    <row r="620" spans="1:2" x14ac:dyDescent="0.25">
      <c r="A620">
        <v>620</v>
      </c>
      <c r="B620" t="str">
        <f t="shared" si="9"/>
        <v>ɬ</v>
      </c>
    </row>
    <row r="621" spans="1:2" x14ac:dyDescent="0.25">
      <c r="A621">
        <v>621</v>
      </c>
      <c r="B621" t="str">
        <f t="shared" si="9"/>
        <v>ɭ</v>
      </c>
    </row>
    <row r="622" spans="1:2" x14ac:dyDescent="0.25">
      <c r="A622">
        <v>622</v>
      </c>
      <c r="B622" t="str">
        <f t="shared" si="9"/>
        <v>ɮ</v>
      </c>
    </row>
    <row r="623" spans="1:2" x14ac:dyDescent="0.25">
      <c r="A623">
        <v>623</v>
      </c>
      <c r="B623" t="str">
        <f t="shared" si="9"/>
        <v>ɯ</v>
      </c>
    </row>
    <row r="624" spans="1:2" x14ac:dyDescent="0.25">
      <c r="A624">
        <v>624</v>
      </c>
      <c r="B624" t="str">
        <f t="shared" si="9"/>
        <v>ɰ</v>
      </c>
    </row>
    <row r="625" spans="1:2" x14ac:dyDescent="0.25">
      <c r="A625">
        <v>625</v>
      </c>
      <c r="B625" t="str">
        <f t="shared" si="9"/>
        <v>ɱ</v>
      </c>
    </row>
    <row r="626" spans="1:2" x14ac:dyDescent="0.25">
      <c r="A626">
        <v>626</v>
      </c>
      <c r="B626" t="str">
        <f t="shared" si="9"/>
        <v>ɲ</v>
      </c>
    </row>
    <row r="627" spans="1:2" x14ac:dyDescent="0.25">
      <c r="A627">
        <v>627</v>
      </c>
      <c r="B627" t="str">
        <f t="shared" si="9"/>
        <v>ɳ</v>
      </c>
    </row>
    <row r="628" spans="1:2" x14ac:dyDescent="0.25">
      <c r="A628">
        <v>628</v>
      </c>
      <c r="B628" t="str">
        <f t="shared" si="9"/>
        <v>ɴ</v>
      </c>
    </row>
    <row r="629" spans="1:2" x14ac:dyDescent="0.25">
      <c r="A629">
        <v>629</v>
      </c>
      <c r="B629" t="str">
        <f t="shared" si="9"/>
        <v>ɵ</v>
      </c>
    </row>
    <row r="630" spans="1:2" x14ac:dyDescent="0.25">
      <c r="A630">
        <v>630</v>
      </c>
      <c r="B630" t="str">
        <f t="shared" si="9"/>
        <v>ɶ</v>
      </c>
    </row>
    <row r="631" spans="1:2" x14ac:dyDescent="0.25">
      <c r="A631">
        <v>631</v>
      </c>
      <c r="B631" t="str">
        <f t="shared" si="9"/>
        <v>ɷ</v>
      </c>
    </row>
    <row r="632" spans="1:2" x14ac:dyDescent="0.25">
      <c r="A632">
        <v>632</v>
      </c>
      <c r="B632" t="str">
        <f t="shared" si="9"/>
        <v>ɸ</v>
      </c>
    </row>
    <row r="633" spans="1:2" x14ac:dyDescent="0.25">
      <c r="A633">
        <v>633</v>
      </c>
      <c r="B633" t="str">
        <f t="shared" si="9"/>
        <v>ɹ</v>
      </c>
    </row>
    <row r="634" spans="1:2" x14ac:dyDescent="0.25">
      <c r="A634">
        <v>634</v>
      </c>
      <c r="B634" t="str">
        <f t="shared" si="9"/>
        <v>ɺ</v>
      </c>
    </row>
    <row r="635" spans="1:2" x14ac:dyDescent="0.25">
      <c r="A635">
        <v>635</v>
      </c>
      <c r="B635" t="str">
        <f t="shared" si="9"/>
        <v>ɻ</v>
      </c>
    </row>
    <row r="636" spans="1:2" x14ac:dyDescent="0.25">
      <c r="A636">
        <v>636</v>
      </c>
      <c r="B636" t="str">
        <f t="shared" si="9"/>
        <v>ɼ</v>
      </c>
    </row>
    <row r="637" spans="1:2" x14ac:dyDescent="0.25">
      <c r="A637">
        <v>637</v>
      </c>
      <c r="B637" t="str">
        <f t="shared" si="9"/>
        <v>ɽ</v>
      </c>
    </row>
    <row r="638" spans="1:2" x14ac:dyDescent="0.25">
      <c r="A638">
        <v>638</v>
      </c>
      <c r="B638" t="str">
        <f t="shared" si="9"/>
        <v>ɾ</v>
      </c>
    </row>
    <row r="639" spans="1:2" x14ac:dyDescent="0.25">
      <c r="A639">
        <v>639</v>
      </c>
      <c r="B639" t="str">
        <f t="shared" si="9"/>
        <v>ɿ</v>
      </c>
    </row>
    <row r="640" spans="1:2" x14ac:dyDescent="0.25">
      <c r="A640">
        <v>640</v>
      </c>
      <c r="B640" t="str">
        <f t="shared" si="9"/>
        <v>ʀ</v>
      </c>
    </row>
    <row r="641" spans="1:2" x14ac:dyDescent="0.25">
      <c r="A641">
        <v>641</v>
      </c>
      <c r="B641" t="str">
        <f t="shared" si="9"/>
        <v>ʁ</v>
      </c>
    </row>
    <row r="642" spans="1:2" x14ac:dyDescent="0.25">
      <c r="A642">
        <v>642</v>
      </c>
      <c r="B642" t="str">
        <f t="shared" ref="B642:B705" si="10">_xlfn.UNICHAR(A642)</f>
        <v>ʂ</v>
      </c>
    </row>
    <row r="643" spans="1:2" x14ac:dyDescent="0.25">
      <c r="A643">
        <v>643</v>
      </c>
      <c r="B643" t="str">
        <f t="shared" si="10"/>
        <v>ʃ</v>
      </c>
    </row>
    <row r="644" spans="1:2" x14ac:dyDescent="0.25">
      <c r="A644">
        <v>644</v>
      </c>
      <c r="B644" t="str">
        <f t="shared" si="10"/>
        <v>ʄ</v>
      </c>
    </row>
    <row r="645" spans="1:2" x14ac:dyDescent="0.25">
      <c r="A645">
        <v>645</v>
      </c>
      <c r="B645" t="str">
        <f t="shared" si="10"/>
        <v>ʅ</v>
      </c>
    </row>
    <row r="646" spans="1:2" x14ac:dyDescent="0.25">
      <c r="A646">
        <v>646</v>
      </c>
      <c r="B646" t="str">
        <f t="shared" si="10"/>
        <v>ʆ</v>
      </c>
    </row>
    <row r="647" spans="1:2" x14ac:dyDescent="0.25">
      <c r="A647">
        <v>647</v>
      </c>
      <c r="B647" t="str">
        <f t="shared" si="10"/>
        <v>ʇ</v>
      </c>
    </row>
    <row r="648" spans="1:2" x14ac:dyDescent="0.25">
      <c r="A648">
        <v>648</v>
      </c>
      <c r="B648" t="str">
        <f t="shared" si="10"/>
        <v>ʈ</v>
      </c>
    </row>
    <row r="649" spans="1:2" x14ac:dyDescent="0.25">
      <c r="A649">
        <v>649</v>
      </c>
      <c r="B649" t="str">
        <f t="shared" si="10"/>
        <v>ʉ</v>
      </c>
    </row>
    <row r="650" spans="1:2" x14ac:dyDescent="0.25">
      <c r="A650">
        <v>650</v>
      </c>
      <c r="B650" t="str">
        <f t="shared" si="10"/>
        <v>ʊ</v>
      </c>
    </row>
    <row r="651" spans="1:2" x14ac:dyDescent="0.25">
      <c r="A651">
        <v>651</v>
      </c>
      <c r="B651" t="str">
        <f t="shared" si="10"/>
        <v>ʋ</v>
      </c>
    </row>
    <row r="652" spans="1:2" x14ac:dyDescent="0.25">
      <c r="A652">
        <v>652</v>
      </c>
      <c r="B652" t="str">
        <f t="shared" si="10"/>
        <v>ʌ</v>
      </c>
    </row>
    <row r="653" spans="1:2" x14ac:dyDescent="0.25">
      <c r="A653">
        <v>653</v>
      </c>
      <c r="B653" t="str">
        <f t="shared" si="10"/>
        <v>ʍ</v>
      </c>
    </row>
    <row r="654" spans="1:2" x14ac:dyDescent="0.25">
      <c r="A654">
        <v>654</v>
      </c>
      <c r="B654" t="str">
        <f t="shared" si="10"/>
        <v>ʎ</v>
      </c>
    </row>
    <row r="655" spans="1:2" x14ac:dyDescent="0.25">
      <c r="A655">
        <v>655</v>
      </c>
      <c r="B655" t="str">
        <f t="shared" si="10"/>
        <v>ʏ</v>
      </c>
    </row>
    <row r="656" spans="1:2" x14ac:dyDescent="0.25">
      <c r="A656">
        <v>656</v>
      </c>
      <c r="B656" t="str">
        <f t="shared" si="10"/>
        <v>ʐ</v>
      </c>
    </row>
    <row r="657" spans="1:2" x14ac:dyDescent="0.25">
      <c r="A657">
        <v>657</v>
      </c>
      <c r="B657" t="str">
        <f t="shared" si="10"/>
        <v>ʑ</v>
      </c>
    </row>
    <row r="658" spans="1:2" x14ac:dyDescent="0.25">
      <c r="A658">
        <v>658</v>
      </c>
      <c r="B658" t="str">
        <f t="shared" si="10"/>
        <v>ʒ</v>
      </c>
    </row>
    <row r="659" spans="1:2" x14ac:dyDescent="0.25">
      <c r="A659">
        <v>659</v>
      </c>
      <c r="B659" t="str">
        <f t="shared" si="10"/>
        <v>ʓ</v>
      </c>
    </row>
    <row r="660" spans="1:2" x14ac:dyDescent="0.25">
      <c r="A660">
        <v>660</v>
      </c>
      <c r="B660" t="str">
        <f t="shared" si="10"/>
        <v>ʔ</v>
      </c>
    </row>
    <row r="661" spans="1:2" x14ac:dyDescent="0.25">
      <c r="A661">
        <v>661</v>
      </c>
      <c r="B661" t="str">
        <f t="shared" si="10"/>
        <v>ʕ</v>
      </c>
    </row>
    <row r="662" spans="1:2" x14ac:dyDescent="0.25">
      <c r="A662">
        <v>662</v>
      </c>
      <c r="B662" t="str">
        <f t="shared" si="10"/>
        <v>ʖ</v>
      </c>
    </row>
    <row r="663" spans="1:2" x14ac:dyDescent="0.25">
      <c r="A663">
        <v>663</v>
      </c>
      <c r="B663" t="str">
        <f t="shared" si="10"/>
        <v>ʗ</v>
      </c>
    </row>
    <row r="664" spans="1:2" x14ac:dyDescent="0.25">
      <c r="A664">
        <v>664</v>
      </c>
      <c r="B664" t="str">
        <f t="shared" si="10"/>
        <v>ʘ</v>
      </c>
    </row>
    <row r="665" spans="1:2" x14ac:dyDescent="0.25">
      <c r="A665">
        <v>665</v>
      </c>
      <c r="B665" t="str">
        <f t="shared" si="10"/>
        <v>ʙ</v>
      </c>
    </row>
    <row r="666" spans="1:2" x14ac:dyDescent="0.25">
      <c r="A666">
        <v>666</v>
      </c>
      <c r="B666" t="str">
        <f t="shared" si="10"/>
        <v>ʚ</v>
      </c>
    </row>
    <row r="667" spans="1:2" x14ac:dyDescent="0.25">
      <c r="A667">
        <v>667</v>
      </c>
      <c r="B667" t="str">
        <f t="shared" si="10"/>
        <v>ʛ</v>
      </c>
    </row>
    <row r="668" spans="1:2" x14ac:dyDescent="0.25">
      <c r="A668">
        <v>668</v>
      </c>
      <c r="B668" t="str">
        <f t="shared" si="10"/>
        <v>ʜ</v>
      </c>
    </row>
    <row r="669" spans="1:2" x14ac:dyDescent="0.25">
      <c r="A669">
        <v>669</v>
      </c>
      <c r="B669" t="str">
        <f t="shared" si="10"/>
        <v>ʝ</v>
      </c>
    </row>
    <row r="670" spans="1:2" x14ac:dyDescent="0.25">
      <c r="A670">
        <v>670</v>
      </c>
      <c r="B670" t="str">
        <f t="shared" si="10"/>
        <v>ʞ</v>
      </c>
    </row>
    <row r="671" spans="1:2" x14ac:dyDescent="0.25">
      <c r="A671">
        <v>671</v>
      </c>
      <c r="B671" t="str">
        <f t="shared" si="10"/>
        <v>ʟ</v>
      </c>
    </row>
    <row r="672" spans="1:2" x14ac:dyDescent="0.25">
      <c r="A672">
        <v>672</v>
      </c>
      <c r="B672" t="str">
        <f t="shared" si="10"/>
        <v>ʠ</v>
      </c>
    </row>
    <row r="673" spans="1:2" x14ac:dyDescent="0.25">
      <c r="A673">
        <v>673</v>
      </c>
      <c r="B673" t="str">
        <f t="shared" si="10"/>
        <v>ʡ</v>
      </c>
    </row>
    <row r="674" spans="1:2" x14ac:dyDescent="0.25">
      <c r="A674">
        <v>674</v>
      </c>
      <c r="B674" t="str">
        <f t="shared" si="10"/>
        <v>ʢ</v>
      </c>
    </row>
    <row r="675" spans="1:2" x14ac:dyDescent="0.25">
      <c r="A675">
        <v>675</v>
      </c>
      <c r="B675" t="str">
        <f t="shared" si="10"/>
        <v>ʣ</v>
      </c>
    </row>
    <row r="676" spans="1:2" x14ac:dyDescent="0.25">
      <c r="A676">
        <v>676</v>
      </c>
      <c r="B676" t="str">
        <f t="shared" si="10"/>
        <v>ʤ</v>
      </c>
    </row>
    <row r="677" spans="1:2" x14ac:dyDescent="0.25">
      <c r="A677">
        <v>677</v>
      </c>
      <c r="B677" t="str">
        <f t="shared" si="10"/>
        <v>ʥ</v>
      </c>
    </row>
    <row r="678" spans="1:2" x14ac:dyDescent="0.25">
      <c r="A678">
        <v>678</v>
      </c>
      <c r="B678" t="str">
        <f t="shared" si="10"/>
        <v>ʦ</v>
      </c>
    </row>
    <row r="679" spans="1:2" x14ac:dyDescent="0.25">
      <c r="A679">
        <v>679</v>
      </c>
      <c r="B679" t="str">
        <f t="shared" si="10"/>
        <v>ʧ</v>
      </c>
    </row>
    <row r="680" spans="1:2" x14ac:dyDescent="0.25">
      <c r="A680">
        <v>680</v>
      </c>
      <c r="B680" t="str">
        <f t="shared" si="10"/>
        <v>ʨ</v>
      </c>
    </row>
    <row r="681" spans="1:2" x14ac:dyDescent="0.25">
      <c r="A681">
        <v>681</v>
      </c>
      <c r="B681" t="str">
        <f t="shared" si="10"/>
        <v>ʩ</v>
      </c>
    </row>
    <row r="682" spans="1:2" x14ac:dyDescent="0.25">
      <c r="A682">
        <v>682</v>
      </c>
      <c r="B682" t="str">
        <f t="shared" si="10"/>
        <v>ʪ</v>
      </c>
    </row>
    <row r="683" spans="1:2" x14ac:dyDescent="0.25">
      <c r="A683">
        <v>683</v>
      </c>
      <c r="B683" t="str">
        <f t="shared" si="10"/>
        <v>ʫ</v>
      </c>
    </row>
    <row r="684" spans="1:2" x14ac:dyDescent="0.25">
      <c r="A684">
        <v>684</v>
      </c>
      <c r="B684" t="str">
        <f t="shared" si="10"/>
        <v>ʬ</v>
      </c>
    </row>
    <row r="685" spans="1:2" x14ac:dyDescent="0.25">
      <c r="A685">
        <v>685</v>
      </c>
      <c r="B685" t="str">
        <f t="shared" si="10"/>
        <v>ʭ</v>
      </c>
    </row>
    <row r="686" spans="1:2" x14ac:dyDescent="0.25">
      <c r="A686">
        <v>686</v>
      </c>
      <c r="B686" t="str">
        <f t="shared" si="10"/>
        <v>ʮ</v>
      </c>
    </row>
    <row r="687" spans="1:2" x14ac:dyDescent="0.25">
      <c r="A687">
        <v>687</v>
      </c>
      <c r="B687" t="str">
        <f t="shared" si="10"/>
        <v>ʯ</v>
      </c>
    </row>
    <row r="688" spans="1:2" x14ac:dyDescent="0.25">
      <c r="A688">
        <v>688</v>
      </c>
      <c r="B688" t="str">
        <f t="shared" si="10"/>
        <v>ʰ</v>
      </c>
    </row>
    <row r="689" spans="1:2" x14ac:dyDescent="0.25">
      <c r="A689">
        <v>689</v>
      </c>
      <c r="B689" t="str">
        <f t="shared" si="10"/>
        <v>ʱ</v>
      </c>
    </row>
    <row r="690" spans="1:2" x14ac:dyDescent="0.25">
      <c r="A690">
        <v>690</v>
      </c>
      <c r="B690" t="str">
        <f t="shared" si="10"/>
        <v>ʲ</v>
      </c>
    </row>
    <row r="691" spans="1:2" x14ac:dyDescent="0.25">
      <c r="A691">
        <v>691</v>
      </c>
      <c r="B691" t="str">
        <f t="shared" si="10"/>
        <v>ʳ</v>
      </c>
    </row>
    <row r="692" spans="1:2" x14ac:dyDescent="0.25">
      <c r="A692">
        <v>692</v>
      </c>
      <c r="B692" t="str">
        <f t="shared" si="10"/>
        <v>ʴ</v>
      </c>
    </row>
    <row r="693" spans="1:2" x14ac:dyDescent="0.25">
      <c r="A693">
        <v>693</v>
      </c>
      <c r="B693" t="str">
        <f t="shared" si="10"/>
        <v>ʵ</v>
      </c>
    </row>
    <row r="694" spans="1:2" x14ac:dyDescent="0.25">
      <c r="A694">
        <v>694</v>
      </c>
      <c r="B694" t="str">
        <f t="shared" si="10"/>
        <v>ʶ</v>
      </c>
    </row>
    <row r="695" spans="1:2" x14ac:dyDescent="0.25">
      <c r="A695">
        <v>695</v>
      </c>
      <c r="B695" t="str">
        <f t="shared" si="10"/>
        <v>ʷ</v>
      </c>
    </row>
    <row r="696" spans="1:2" x14ac:dyDescent="0.25">
      <c r="A696">
        <v>696</v>
      </c>
      <c r="B696" t="str">
        <f t="shared" si="10"/>
        <v>ʸ</v>
      </c>
    </row>
    <row r="697" spans="1:2" x14ac:dyDescent="0.25">
      <c r="A697">
        <v>697</v>
      </c>
      <c r="B697" t="str">
        <f t="shared" si="10"/>
        <v>ʹ</v>
      </c>
    </row>
    <row r="698" spans="1:2" x14ac:dyDescent="0.25">
      <c r="A698">
        <v>698</v>
      </c>
      <c r="B698" t="str">
        <f t="shared" si="10"/>
        <v>ʺ</v>
      </c>
    </row>
    <row r="699" spans="1:2" x14ac:dyDescent="0.25">
      <c r="A699">
        <v>699</v>
      </c>
      <c r="B699" t="str">
        <f t="shared" si="10"/>
        <v>ʻ</v>
      </c>
    </row>
    <row r="700" spans="1:2" x14ac:dyDescent="0.25">
      <c r="A700">
        <v>700</v>
      </c>
      <c r="B700" t="str">
        <f t="shared" si="10"/>
        <v>ʼ</v>
      </c>
    </row>
    <row r="701" spans="1:2" x14ac:dyDescent="0.25">
      <c r="A701">
        <v>701</v>
      </c>
      <c r="B701" t="str">
        <f t="shared" si="10"/>
        <v>ʽ</v>
      </c>
    </row>
    <row r="702" spans="1:2" x14ac:dyDescent="0.25">
      <c r="A702">
        <v>702</v>
      </c>
      <c r="B702" t="str">
        <f t="shared" si="10"/>
        <v>ʾ</v>
      </c>
    </row>
    <row r="703" spans="1:2" x14ac:dyDescent="0.25">
      <c r="A703">
        <v>703</v>
      </c>
      <c r="B703" t="str">
        <f t="shared" si="10"/>
        <v>ʿ</v>
      </c>
    </row>
    <row r="704" spans="1:2" x14ac:dyDescent="0.25">
      <c r="A704">
        <v>704</v>
      </c>
      <c r="B704" t="str">
        <f t="shared" si="10"/>
        <v>ˀ</v>
      </c>
    </row>
    <row r="705" spans="1:2" x14ac:dyDescent="0.25">
      <c r="A705">
        <v>705</v>
      </c>
      <c r="B705" t="str">
        <f t="shared" si="10"/>
        <v>ˁ</v>
      </c>
    </row>
    <row r="706" spans="1:2" x14ac:dyDescent="0.25">
      <c r="A706">
        <v>706</v>
      </c>
      <c r="B706" t="str">
        <f t="shared" ref="B706:B769" si="11">_xlfn.UNICHAR(A706)</f>
        <v>˂</v>
      </c>
    </row>
    <row r="707" spans="1:2" x14ac:dyDescent="0.25">
      <c r="A707">
        <v>707</v>
      </c>
      <c r="B707" t="str">
        <f t="shared" si="11"/>
        <v>˃</v>
      </c>
    </row>
    <row r="708" spans="1:2" x14ac:dyDescent="0.25">
      <c r="A708">
        <v>708</v>
      </c>
      <c r="B708" t="str">
        <f t="shared" si="11"/>
        <v>˄</v>
      </c>
    </row>
    <row r="709" spans="1:2" x14ac:dyDescent="0.25">
      <c r="A709">
        <v>709</v>
      </c>
      <c r="B709" t="str">
        <f t="shared" si="11"/>
        <v>˅</v>
      </c>
    </row>
    <row r="710" spans="1:2" x14ac:dyDescent="0.25">
      <c r="A710">
        <v>710</v>
      </c>
      <c r="B710" t="str">
        <f t="shared" si="11"/>
        <v>ˆ</v>
      </c>
    </row>
    <row r="711" spans="1:2" x14ac:dyDescent="0.25">
      <c r="A711">
        <v>711</v>
      </c>
      <c r="B711" t="str">
        <f t="shared" si="11"/>
        <v>ˇ</v>
      </c>
    </row>
    <row r="712" spans="1:2" x14ac:dyDescent="0.25">
      <c r="A712">
        <v>712</v>
      </c>
      <c r="B712" t="str">
        <f t="shared" si="11"/>
        <v>ˈ</v>
      </c>
    </row>
    <row r="713" spans="1:2" x14ac:dyDescent="0.25">
      <c r="A713">
        <v>713</v>
      </c>
      <c r="B713" t="str">
        <f t="shared" si="11"/>
        <v>ˉ</v>
      </c>
    </row>
    <row r="714" spans="1:2" x14ac:dyDescent="0.25">
      <c r="A714">
        <v>714</v>
      </c>
      <c r="B714" t="str">
        <f t="shared" si="11"/>
        <v>ˊ</v>
      </c>
    </row>
    <row r="715" spans="1:2" x14ac:dyDescent="0.25">
      <c r="A715">
        <v>715</v>
      </c>
      <c r="B715" t="str">
        <f t="shared" si="11"/>
        <v>ˋ</v>
      </c>
    </row>
    <row r="716" spans="1:2" x14ac:dyDescent="0.25">
      <c r="A716">
        <v>716</v>
      </c>
      <c r="B716" t="str">
        <f t="shared" si="11"/>
        <v>ˌ</v>
      </c>
    </row>
    <row r="717" spans="1:2" x14ac:dyDescent="0.25">
      <c r="A717">
        <v>717</v>
      </c>
      <c r="B717" t="str">
        <f t="shared" si="11"/>
        <v>ˍ</v>
      </c>
    </row>
    <row r="718" spans="1:2" x14ac:dyDescent="0.25">
      <c r="A718">
        <v>718</v>
      </c>
      <c r="B718" t="str">
        <f t="shared" si="11"/>
        <v>ˎ</v>
      </c>
    </row>
    <row r="719" spans="1:2" x14ac:dyDescent="0.25">
      <c r="A719">
        <v>719</v>
      </c>
      <c r="B719" t="str">
        <f t="shared" si="11"/>
        <v>ˏ</v>
      </c>
    </row>
    <row r="720" spans="1:2" x14ac:dyDescent="0.25">
      <c r="A720">
        <v>720</v>
      </c>
      <c r="B720" t="str">
        <f t="shared" si="11"/>
        <v>ː</v>
      </c>
    </row>
    <row r="721" spans="1:2" x14ac:dyDescent="0.25">
      <c r="A721">
        <v>721</v>
      </c>
      <c r="B721" t="str">
        <f t="shared" si="11"/>
        <v>ˑ</v>
      </c>
    </row>
    <row r="722" spans="1:2" x14ac:dyDescent="0.25">
      <c r="A722">
        <v>722</v>
      </c>
      <c r="B722" t="str">
        <f t="shared" si="11"/>
        <v>˒</v>
      </c>
    </row>
    <row r="723" spans="1:2" x14ac:dyDescent="0.25">
      <c r="A723">
        <v>723</v>
      </c>
      <c r="B723" t="str">
        <f t="shared" si="11"/>
        <v>˓</v>
      </c>
    </row>
    <row r="724" spans="1:2" x14ac:dyDescent="0.25">
      <c r="A724">
        <v>724</v>
      </c>
      <c r="B724" t="str">
        <f t="shared" si="11"/>
        <v>˔</v>
      </c>
    </row>
    <row r="725" spans="1:2" x14ac:dyDescent="0.25">
      <c r="A725">
        <v>725</v>
      </c>
      <c r="B725" t="str">
        <f t="shared" si="11"/>
        <v>˕</v>
      </c>
    </row>
    <row r="726" spans="1:2" x14ac:dyDescent="0.25">
      <c r="A726">
        <v>726</v>
      </c>
      <c r="B726" t="str">
        <f t="shared" si="11"/>
        <v>˖</v>
      </c>
    </row>
    <row r="727" spans="1:2" x14ac:dyDescent="0.25">
      <c r="A727">
        <v>727</v>
      </c>
      <c r="B727" t="str">
        <f t="shared" si="11"/>
        <v>˗</v>
      </c>
    </row>
    <row r="728" spans="1:2" x14ac:dyDescent="0.25">
      <c r="A728">
        <v>728</v>
      </c>
      <c r="B728" t="str">
        <f t="shared" si="11"/>
        <v>˘</v>
      </c>
    </row>
    <row r="729" spans="1:2" x14ac:dyDescent="0.25">
      <c r="A729">
        <v>729</v>
      </c>
      <c r="B729" t="str">
        <f t="shared" si="11"/>
        <v>˙</v>
      </c>
    </row>
    <row r="730" spans="1:2" x14ac:dyDescent="0.25">
      <c r="A730">
        <v>730</v>
      </c>
      <c r="B730" t="str">
        <f t="shared" si="11"/>
        <v>˚</v>
      </c>
    </row>
    <row r="731" spans="1:2" x14ac:dyDescent="0.25">
      <c r="A731">
        <v>731</v>
      </c>
      <c r="B731" t="str">
        <f t="shared" si="11"/>
        <v>˛</v>
      </c>
    </row>
    <row r="732" spans="1:2" x14ac:dyDescent="0.25">
      <c r="A732">
        <v>732</v>
      </c>
      <c r="B732" t="str">
        <f t="shared" si="11"/>
        <v>˜</v>
      </c>
    </row>
    <row r="733" spans="1:2" x14ac:dyDescent="0.25">
      <c r="A733">
        <v>733</v>
      </c>
      <c r="B733" t="str">
        <f t="shared" si="11"/>
        <v>˝</v>
      </c>
    </row>
    <row r="734" spans="1:2" x14ac:dyDescent="0.25">
      <c r="A734">
        <v>734</v>
      </c>
      <c r="B734" t="str">
        <f t="shared" si="11"/>
        <v>˞</v>
      </c>
    </row>
    <row r="735" spans="1:2" x14ac:dyDescent="0.25">
      <c r="A735">
        <v>735</v>
      </c>
      <c r="B735" t="str">
        <f t="shared" si="11"/>
        <v>˟</v>
      </c>
    </row>
    <row r="736" spans="1:2" x14ac:dyDescent="0.25">
      <c r="A736">
        <v>736</v>
      </c>
      <c r="B736" t="str">
        <f t="shared" si="11"/>
        <v>ˠ</v>
      </c>
    </row>
    <row r="737" spans="1:2" x14ac:dyDescent="0.25">
      <c r="A737">
        <v>737</v>
      </c>
      <c r="B737" t="str">
        <f t="shared" si="11"/>
        <v>ˡ</v>
      </c>
    </row>
    <row r="738" spans="1:2" x14ac:dyDescent="0.25">
      <c r="A738">
        <v>738</v>
      </c>
      <c r="B738" t="str">
        <f t="shared" si="11"/>
        <v>ˢ</v>
      </c>
    </row>
    <row r="739" spans="1:2" x14ac:dyDescent="0.25">
      <c r="A739">
        <v>739</v>
      </c>
      <c r="B739" t="str">
        <f t="shared" si="11"/>
        <v>ˣ</v>
      </c>
    </row>
    <row r="740" spans="1:2" x14ac:dyDescent="0.25">
      <c r="A740">
        <v>740</v>
      </c>
      <c r="B740" t="str">
        <f t="shared" si="11"/>
        <v>ˤ</v>
      </c>
    </row>
    <row r="741" spans="1:2" x14ac:dyDescent="0.25">
      <c r="A741">
        <v>741</v>
      </c>
      <c r="B741" t="str">
        <f t="shared" si="11"/>
        <v>˥</v>
      </c>
    </row>
    <row r="742" spans="1:2" x14ac:dyDescent="0.25">
      <c r="A742">
        <v>742</v>
      </c>
      <c r="B742" t="str">
        <f t="shared" si="11"/>
        <v>˦</v>
      </c>
    </row>
    <row r="743" spans="1:2" x14ac:dyDescent="0.25">
      <c r="A743">
        <v>743</v>
      </c>
      <c r="B743" t="str">
        <f t="shared" si="11"/>
        <v>˧</v>
      </c>
    </row>
    <row r="744" spans="1:2" x14ac:dyDescent="0.25">
      <c r="A744">
        <v>744</v>
      </c>
      <c r="B744" t="str">
        <f t="shared" si="11"/>
        <v>˨</v>
      </c>
    </row>
    <row r="745" spans="1:2" x14ac:dyDescent="0.25">
      <c r="A745">
        <v>745</v>
      </c>
      <c r="B745" t="str">
        <f t="shared" si="11"/>
        <v>˩</v>
      </c>
    </row>
    <row r="746" spans="1:2" x14ac:dyDescent="0.25">
      <c r="A746">
        <v>746</v>
      </c>
      <c r="B746" t="str">
        <f t="shared" si="11"/>
        <v>˪</v>
      </c>
    </row>
    <row r="747" spans="1:2" x14ac:dyDescent="0.25">
      <c r="A747">
        <v>747</v>
      </c>
      <c r="B747" t="str">
        <f t="shared" si="11"/>
        <v>˫</v>
      </c>
    </row>
    <row r="748" spans="1:2" x14ac:dyDescent="0.25">
      <c r="A748">
        <v>748</v>
      </c>
      <c r="B748" t="str">
        <f t="shared" si="11"/>
        <v>ˬ</v>
      </c>
    </row>
    <row r="749" spans="1:2" x14ac:dyDescent="0.25">
      <c r="A749">
        <v>749</v>
      </c>
      <c r="B749" t="str">
        <f t="shared" si="11"/>
        <v>˭</v>
      </c>
    </row>
    <row r="750" spans="1:2" x14ac:dyDescent="0.25">
      <c r="A750">
        <v>750</v>
      </c>
      <c r="B750" t="str">
        <f t="shared" si="11"/>
        <v>ˮ</v>
      </c>
    </row>
    <row r="751" spans="1:2" x14ac:dyDescent="0.25">
      <c r="A751">
        <v>751</v>
      </c>
      <c r="B751" t="str">
        <f t="shared" si="11"/>
        <v>˯</v>
      </c>
    </row>
    <row r="752" spans="1:2" x14ac:dyDescent="0.25">
      <c r="A752">
        <v>752</v>
      </c>
      <c r="B752" t="str">
        <f t="shared" si="11"/>
        <v>˰</v>
      </c>
    </row>
    <row r="753" spans="1:2" x14ac:dyDescent="0.25">
      <c r="A753">
        <v>753</v>
      </c>
      <c r="B753" t="str">
        <f t="shared" si="11"/>
        <v>˱</v>
      </c>
    </row>
    <row r="754" spans="1:2" x14ac:dyDescent="0.25">
      <c r="A754">
        <v>754</v>
      </c>
      <c r="B754" t="str">
        <f t="shared" si="11"/>
        <v>˲</v>
      </c>
    </row>
    <row r="755" spans="1:2" x14ac:dyDescent="0.25">
      <c r="A755">
        <v>755</v>
      </c>
      <c r="B755" t="str">
        <f t="shared" si="11"/>
        <v>˳</v>
      </c>
    </row>
    <row r="756" spans="1:2" x14ac:dyDescent="0.25">
      <c r="A756">
        <v>756</v>
      </c>
      <c r="B756" t="str">
        <f t="shared" si="11"/>
        <v>˴</v>
      </c>
    </row>
    <row r="757" spans="1:2" x14ac:dyDescent="0.25">
      <c r="A757">
        <v>757</v>
      </c>
      <c r="B757" t="str">
        <f t="shared" si="11"/>
        <v>˵</v>
      </c>
    </row>
    <row r="758" spans="1:2" x14ac:dyDescent="0.25">
      <c r="A758">
        <v>758</v>
      </c>
      <c r="B758" t="str">
        <f t="shared" si="11"/>
        <v>˶</v>
      </c>
    </row>
    <row r="759" spans="1:2" x14ac:dyDescent="0.25">
      <c r="A759">
        <v>759</v>
      </c>
      <c r="B759" t="str">
        <f t="shared" si="11"/>
        <v>˷</v>
      </c>
    </row>
    <row r="760" spans="1:2" x14ac:dyDescent="0.25">
      <c r="A760">
        <v>760</v>
      </c>
      <c r="B760" t="str">
        <f t="shared" si="11"/>
        <v>˸</v>
      </c>
    </row>
    <row r="761" spans="1:2" x14ac:dyDescent="0.25">
      <c r="A761">
        <v>761</v>
      </c>
      <c r="B761" t="str">
        <f t="shared" si="11"/>
        <v>˹</v>
      </c>
    </row>
    <row r="762" spans="1:2" x14ac:dyDescent="0.25">
      <c r="A762">
        <v>762</v>
      </c>
      <c r="B762" t="str">
        <f t="shared" si="11"/>
        <v>˺</v>
      </c>
    </row>
    <row r="763" spans="1:2" x14ac:dyDescent="0.25">
      <c r="A763">
        <v>763</v>
      </c>
      <c r="B763" t="str">
        <f t="shared" si="11"/>
        <v>˻</v>
      </c>
    </row>
    <row r="764" spans="1:2" x14ac:dyDescent="0.25">
      <c r="A764">
        <v>764</v>
      </c>
      <c r="B764" t="str">
        <f t="shared" si="11"/>
        <v>˼</v>
      </c>
    </row>
    <row r="765" spans="1:2" x14ac:dyDescent="0.25">
      <c r="A765">
        <v>765</v>
      </c>
      <c r="B765" t="str">
        <f t="shared" si="11"/>
        <v>˽</v>
      </c>
    </row>
    <row r="766" spans="1:2" x14ac:dyDescent="0.25">
      <c r="A766">
        <v>766</v>
      </c>
      <c r="B766" t="str">
        <f t="shared" si="11"/>
        <v>˾</v>
      </c>
    </row>
    <row r="767" spans="1:2" x14ac:dyDescent="0.25">
      <c r="A767">
        <v>767</v>
      </c>
      <c r="B767" t="str">
        <f t="shared" si="11"/>
        <v>˿</v>
      </c>
    </row>
    <row r="768" spans="1:2" x14ac:dyDescent="0.25">
      <c r="A768">
        <v>768</v>
      </c>
      <c r="B768" t="str">
        <f t="shared" si="11"/>
        <v>̀</v>
      </c>
    </row>
    <row r="769" spans="1:2" x14ac:dyDescent="0.25">
      <c r="A769">
        <v>769</v>
      </c>
      <c r="B769" t="str">
        <f t="shared" si="11"/>
        <v>́</v>
      </c>
    </row>
    <row r="770" spans="1:2" x14ac:dyDescent="0.25">
      <c r="A770">
        <v>770</v>
      </c>
      <c r="B770" t="str">
        <f t="shared" ref="B770:B833" si="12">_xlfn.UNICHAR(A770)</f>
        <v>̂</v>
      </c>
    </row>
    <row r="771" spans="1:2" x14ac:dyDescent="0.25">
      <c r="A771">
        <v>771</v>
      </c>
      <c r="B771" t="str">
        <f t="shared" si="12"/>
        <v>̃</v>
      </c>
    </row>
    <row r="772" spans="1:2" x14ac:dyDescent="0.25">
      <c r="A772">
        <v>772</v>
      </c>
      <c r="B772" t="str">
        <f t="shared" si="12"/>
        <v>̄</v>
      </c>
    </row>
    <row r="773" spans="1:2" x14ac:dyDescent="0.25">
      <c r="A773">
        <v>773</v>
      </c>
      <c r="B773" t="str">
        <f t="shared" si="12"/>
        <v>̅</v>
      </c>
    </row>
    <row r="774" spans="1:2" x14ac:dyDescent="0.25">
      <c r="A774">
        <v>774</v>
      </c>
      <c r="B774" t="str">
        <f t="shared" si="12"/>
        <v>̆</v>
      </c>
    </row>
    <row r="775" spans="1:2" x14ac:dyDescent="0.25">
      <c r="A775">
        <v>775</v>
      </c>
      <c r="B775" t="str">
        <f t="shared" si="12"/>
        <v>̇</v>
      </c>
    </row>
    <row r="776" spans="1:2" x14ac:dyDescent="0.25">
      <c r="A776">
        <v>776</v>
      </c>
      <c r="B776" t="str">
        <f t="shared" si="12"/>
        <v>̈</v>
      </c>
    </row>
    <row r="777" spans="1:2" x14ac:dyDescent="0.25">
      <c r="A777">
        <v>777</v>
      </c>
      <c r="B777" t="str">
        <f t="shared" si="12"/>
        <v>̉</v>
      </c>
    </row>
    <row r="778" spans="1:2" x14ac:dyDescent="0.25">
      <c r="A778">
        <v>778</v>
      </c>
      <c r="B778" t="str">
        <f t="shared" si="12"/>
        <v>̊</v>
      </c>
    </row>
    <row r="779" spans="1:2" x14ac:dyDescent="0.25">
      <c r="A779">
        <v>779</v>
      </c>
      <c r="B779" t="str">
        <f t="shared" si="12"/>
        <v>̋</v>
      </c>
    </row>
    <row r="780" spans="1:2" x14ac:dyDescent="0.25">
      <c r="A780">
        <v>780</v>
      </c>
      <c r="B780" t="str">
        <f t="shared" si="12"/>
        <v>̌</v>
      </c>
    </row>
    <row r="781" spans="1:2" x14ac:dyDescent="0.25">
      <c r="A781">
        <v>781</v>
      </c>
      <c r="B781" t="str">
        <f t="shared" si="12"/>
        <v>̍</v>
      </c>
    </row>
    <row r="782" spans="1:2" x14ac:dyDescent="0.25">
      <c r="A782">
        <v>782</v>
      </c>
      <c r="B782" t="str">
        <f t="shared" si="12"/>
        <v>̎</v>
      </c>
    </row>
    <row r="783" spans="1:2" x14ac:dyDescent="0.25">
      <c r="A783">
        <v>783</v>
      </c>
      <c r="B783" t="str">
        <f t="shared" si="12"/>
        <v>̏</v>
      </c>
    </row>
    <row r="784" spans="1:2" x14ac:dyDescent="0.25">
      <c r="A784">
        <v>784</v>
      </c>
      <c r="B784" t="str">
        <f t="shared" si="12"/>
        <v>̐</v>
      </c>
    </row>
    <row r="785" spans="1:2" x14ac:dyDescent="0.25">
      <c r="A785">
        <v>785</v>
      </c>
      <c r="B785" t="str">
        <f t="shared" si="12"/>
        <v>̑</v>
      </c>
    </row>
    <row r="786" spans="1:2" x14ac:dyDescent="0.25">
      <c r="A786">
        <v>786</v>
      </c>
      <c r="B786" t="str">
        <f t="shared" si="12"/>
        <v>̒</v>
      </c>
    </row>
    <row r="787" spans="1:2" x14ac:dyDescent="0.25">
      <c r="A787">
        <v>787</v>
      </c>
      <c r="B787" t="str">
        <f t="shared" si="12"/>
        <v>̓</v>
      </c>
    </row>
    <row r="788" spans="1:2" x14ac:dyDescent="0.25">
      <c r="A788">
        <v>788</v>
      </c>
      <c r="B788" t="str">
        <f t="shared" si="12"/>
        <v>̔</v>
      </c>
    </row>
    <row r="789" spans="1:2" x14ac:dyDescent="0.25">
      <c r="A789">
        <v>789</v>
      </c>
      <c r="B789" t="str">
        <f t="shared" si="12"/>
        <v>̕</v>
      </c>
    </row>
    <row r="790" spans="1:2" x14ac:dyDescent="0.25">
      <c r="A790">
        <v>790</v>
      </c>
      <c r="B790" t="str">
        <f t="shared" si="12"/>
        <v>̖</v>
      </c>
    </row>
    <row r="791" spans="1:2" x14ac:dyDescent="0.25">
      <c r="A791">
        <v>791</v>
      </c>
      <c r="B791" t="str">
        <f t="shared" si="12"/>
        <v>̗</v>
      </c>
    </row>
    <row r="792" spans="1:2" x14ac:dyDescent="0.25">
      <c r="A792">
        <v>792</v>
      </c>
      <c r="B792" t="str">
        <f t="shared" si="12"/>
        <v>̘</v>
      </c>
    </row>
    <row r="793" spans="1:2" x14ac:dyDescent="0.25">
      <c r="A793">
        <v>793</v>
      </c>
      <c r="B793" t="str">
        <f t="shared" si="12"/>
        <v>̙</v>
      </c>
    </row>
    <row r="794" spans="1:2" x14ac:dyDescent="0.25">
      <c r="A794">
        <v>794</v>
      </c>
      <c r="B794" t="str">
        <f t="shared" si="12"/>
        <v>̚</v>
      </c>
    </row>
    <row r="795" spans="1:2" x14ac:dyDescent="0.25">
      <c r="A795">
        <v>795</v>
      </c>
      <c r="B795" t="str">
        <f t="shared" si="12"/>
        <v>̛</v>
      </c>
    </row>
    <row r="796" spans="1:2" x14ac:dyDescent="0.25">
      <c r="A796">
        <v>796</v>
      </c>
      <c r="B796" t="str">
        <f t="shared" si="12"/>
        <v>̜</v>
      </c>
    </row>
    <row r="797" spans="1:2" x14ac:dyDescent="0.25">
      <c r="A797">
        <v>797</v>
      </c>
      <c r="B797" t="str">
        <f t="shared" si="12"/>
        <v>̝</v>
      </c>
    </row>
    <row r="798" spans="1:2" x14ac:dyDescent="0.25">
      <c r="A798">
        <v>798</v>
      </c>
      <c r="B798" t="str">
        <f t="shared" si="12"/>
        <v>̞</v>
      </c>
    </row>
    <row r="799" spans="1:2" x14ac:dyDescent="0.25">
      <c r="A799">
        <v>799</v>
      </c>
      <c r="B799" t="str">
        <f t="shared" si="12"/>
        <v>̟</v>
      </c>
    </row>
    <row r="800" spans="1:2" x14ac:dyDescent="0.25">
      <c r="A800">
        <v>800</v>
      </c>
      <c r="B800" t="str">
        <f t="shared" si="12"/>
        <v>̠</v>
      </c>
    </row>
    <row r="801" spans="1:2" x14ac:dyDescent="0.25">
      <c r="A801">
        <v>801</v>
      </c>
      <c r="B801" t="str">
        <f t="shared" si="12"/>
        <v>̡</v>
      </c>
    </row>
    <row r="802" spans="1:2" x14ac:dyDescent="0.25">
      <c r="A802">
        <v>802</v>
      </c>
      <c r="B802" t="str">
        <f t="shared" si="12"/>
        <v>̢</v>
      </c>
    </row>
    <row r="803" spans="1:2" x14ac:dyDescent="0.25">
      <c r="A803">
        <v>803</v>
      </c>
      <c r="B803" t="str">
        <f t="shared" si="12"/>
        <v>̣</v>
      </c>
    </row>
    <row r="804" spans="1:2" x14ac:dyDescent="0.25">
      <c r="A804">
        <v>804</v>
      </c>
      <c r="B804" t="str">
        <f t="shared" si="12"/>
        <v>̤</v>
      </c>
    </row>
    <row r="805" spans="1:2" x14ac:dyDescent="0.25">
      <c r="A805">
        <v>805</v>
      </c>
      <c r="B805" t="str">
        <f t="shared" si="12"/>
        <v>̥</v>
      </c>
    </row>
    <row r="806" spans="1:2" x14ac:dyDescent="0.25">
      <c r="A806">
        <v>806</v>
      </c>
      <c r="B806" t="str">
        <f t="shared" si="12"/>
        <v>̦</v>
      </c>
    </row>
    <row r="807" spans="1:2" x14ac:dyDescent="0.25">
      <c r="A807">
        <v>807</v>
      </c>
      <c r="B807" t="str">
        <f t="shared" si="12"/>
        <v>̧</v>
      </c>
    </row>
    <row r="808" spans="1:2" x14ac:dyDescent="0.25">
      <c r="A808">
        <v>808</v>
      </c>
      <c r="B808" t="str">
        <f t="shared" si="12"/>
        <v>̨</v>
      </c>
    </row>
    <row r="809" spans="1:2" x14ac:dyDescent="0.25">
      <c r="A809">
        <v>809</v>
      </c>
      <c r="B809" t="str">
        <f t="shared" si="12"/>
        <v>̩</v>
      </c>
    </row>
    <row r="810" spans="1:2" x14ac:dyDescent="0.25">
      <c r="A810">
        <v>810</v>
      </c>
      <c r="B810" t="str">
        <f t="shared" si="12"/>
        <v>̪</v>
      </c>
    </row>
    <row r="811" spans="1:2" x14ac:dyDescent="0.25">
      <c r="A811">
        <v>811</v>
      </c>
      <c r="B811" t="str">
        <f t="shared" si="12"/>
        <v>̫</v>
      </c>
    </row>
    <row r="812" spans="1:2" x14ac:dyDescent="0.25">
      <c r="A812">
        <v>812</v>
      </c>
      <c r="B812" t="str">
        <f t="shared" si="12"/>
        <v>̬</v>
      </c>
    </row>
    <row r="813" spans="1:2" x14ac:dyDescent="0.25">
      <c r="A813">
        <v>813</v>
      </c>
      <c r="B813" t="str">
        <f t="shared" si="12"/>
        <v>̭</v>
      </c>
    </row>
    <row r="814" spans="1:2" x14ac:dyDescent="0.25">
      <c r="A814">
        <v>814</v>
      </c>
      <c r="B814" t="str">
        <f t="shared" si="12"/>
        <v>̮</v>
      </c>
    </row>
    <row r="815" spans="1:2" x14ac:dyDescent="0.25">
      <c r="A815">
        <v>815</v>
      </c>
      <c r="B815" t="str">
        <f t="shared" si="12"/>
        <v>̯</v>
      </c>
    </row>
    <row r="816" spans="1:2" x14ac:dyDescent="0.25">
      <c r="A816">
        <v>816</v>
      </c>
      <c r="B816" t="str">
        <f t="shared" si="12"/>
        <v>̰</v>
      </c>
    </row>
    <row r="817" spans="1:2" x14ac:dyDescent="0.25">
      <c r="A817">
        <v>817</v>
      </c>
      <c r="B817" t="str">
        <f t="shared" si="12"/>
        <v>̱</v>
      </c>
    </row>
    <row r="818" spans="1:2" x14ac:dyDescent="0.25">
      <c r="A818">
        <v>818</v>
      </c>
      <c r="B818" t="str">
        <f t="shared" si="12"/>
        <v>̲</v>
      </c>
    </row>
    <row r="819" spans="1:2" x14ac:dyDescent="0.25">
      <c r="A819">
        <v>819</v>
      </c>
      <c r="B819" t="str">
        <f t="shared" si="12"/>
        <v>̳</v>
      </c>
    </row>
    <row r="820" spans="1:2" x14ac:dyDescent="0.25">
      <c r="A820">
        <v>820</v>
      </c>
      <c r="B820" t="str">
        <f t="shared" si="12"/>
        <v>̴</v>
      </c>
    </row>
    <row r="821" spans="1:2" x14ac:dyDescent="0.25">
      <c r="A821">
        <v>821</v>
      </c>
      <c r="B821" t="str">
        <f t="shared" si="12"/>
        <v>̵</v>
      </c>
    </row>
    <row r="822" spans="1:2" x14ac:dyDescent="0.25">
      <c r="A822">
        <v>822</v>
      </c>
      <c r="B822" t="str">
        <f t="shared" si="12"/>
        <v>̶</v>
      </c>
    </row>
    <row r="823" spans="1:2" x14ac:dyDescent="0.25">
      <c r="A823">
        <v>823</v>
      </c>
      <c r="B823" t="str">
        <f t="shared" si="12"/>
        <v>̷</v>
      </c>
    </row>
    <row r="824" spans="1:2" x14ac:dyDescent="0.25">
      <c r="A824">
        <v>824</v>
      </c>
      <c r="B824" t="str">
        <f t="shared" si="12"/>
        <v≯</v>
      </c>
    </row>
    <row r="825" spans="1:2" x14ac:dyDescent="0.25">
      <c r="A825">
        <v>825</v>
      </c>
      <c r="B825" t="str">
        <f t="shared" si="12"/>
        <v>̹</v>
      </c>
    </row>
    <row r="826" spans="1:2" x14ac:dyDescent="0.25">
      <c r="A826">
        <v>826</v>
      </c>
      <c r="B826" t="str">
        <f t="shared" si="12"/>
        <v>̺</v>
      </c>
    </row>
    <row r="827" spans="1:2" x14ac:dyDescent="0.25">
      <c r="A827">
        <v>827</v>
      </c>
      <c r="B827" t="str">
        <f t="shared" si="12"/>
        <v>̻</v>
      </c>
    </row>
    <row r="828" spans="1:2" x14ac:dyDescent="0.25">
      <c r="A828">
        <v>828</v>
      </c>
      <c r="B828" t="str">
        <f t="shared" si="12"/>
        <v>̼</v>
      </c>
    </row>
    <row r="829" spans="1:2" x14ac:dyDescent="0.25">
      <c r="A829">
        <v>829</v>
      </c>
      <c r="B829" t="str">
        <f t="shared" si="12"/>
        <v>̽</v>
      </c>
    </row>
    <row r="830" spans="1:2" x14ac:dyDescent="0.25">
      <c r="A830">
        <v>830</v>
      </c>
      <c r="B830" t="str">
        <f t="shared" si="12"/>
        <v>̾</v>
      </c>
    </row>
    <row r="831" spans="1:2" x14ac:dyDescent="0.25">
      <c r="A831">
        <v>831</v>
      </c>
      <c r="B831" t="str">
        <f t="shared" si="12"/>
        <v>̿</v>
      </c>
    </row>
    <row r="832" spans="1:2" x14ac:dyDescent="0.25">
      <c r="A832">
        <v>832</v>
      </c>
      <c r="B832" t="str">
        <f t="shared" si="12"/>
        <v>̀</v>
      </c>
    </row>
    <row r="833" spans="1:2" x14ac:dyDescent="0.25">
      <c r="A833">
        <v>833</v>
      </c>
      <c r="B833" t="str">
        <f t="shared" si="12"/>
        <v>́</v>
      </c>
    </row>
    <row r="834" spans="1:2" x14ac:dyDescent="0.25">
      <c r="A834">
        <v>834</v>
      </c>
      <c r="B834" t="str">
        <f t="shared" ref="B834:B897" si="13">_xlfn.UNICHAR(A834)</f>
        <v>͂</v>
      </c>
    </row>
    <row r="835" spans="1:2" x14ac:dyDescent="0.25">
      <c r="A835">
        <v>835</v>
      </c>
      <c r="B835" t="str">
        <f t="shared" si="13"/>
        <v>̓</v>
      </c>
    </row>
    <row r="836" spans="1:2" x14ac:dyDescent="0.25">
      <c r="A836">
        <v>836</v>
      </c>
      <c r="B836" t="str">
        <f t="shared" si="13"/>
        <v>̈́</v>
      </c>
    </row>
    <row r="837" spans="1:2" x14ac:dyDescent="0.25">
      <c r="A837">
        <v>837</v>
      </c>
      <c r="B837" t="str">
        <f t="shared" si="13"/>
        <v>ͅ</v>
      </c>
    </row>
    <row r="838" spans="1:2" x14ac:dyDescent="0.25">
      <c r="A838">
        <v>838</v>
      </c>
      <c r="B838" t="str">
        <f t="shared" si="13"/>
        <v>͆</v>
      </c>
    </row>
    <row r="839" spans="1:2" x14ac:dyDescent="0.25">
      <c r="A839">
        <v>839</v>
      </c>
      <c r="B839" t="str">
        <f t="shared" si="13"/>
        <v>͇</v>
      </c>
    </row>
    <row r="840" spans="1:2" x14ac:dyDescent="0.25">
      <c r="A840">
        <v>840</v>
      </c>
      <c r="B840" t="str">
        <f t="shared" si="13"/>
        <v>͈</v>
      </c>
    </row>
    <row r="841" spans="1:2" x14ac:dyDescent="0.25">
      <c r="A841">
        <v>841</v>
      </c>
      <c r="B841" t="str">
        <f t="shared" si="13"/>
        <v>͉</v>
      </c>
    </row>
    <row r="842" spans="1:2" x14ac:dyDescent="0.25">
      <c r="A842">
        <v>842</v>
      </c>
      <c r="B842" t="str">
        <f t="shared" si="13"/>
        <v>͊</v>
      </c>
    </row>
    <row r="843" spans="1:2" x14ac:dyDescent="0.25">
      <c r="A843">
        <v>843</v>
      </c>
      <c r="B843" t="str">
        <f t="shared" si="13"/>
        <v>͋</v>
      </c>
    </row>
    <row r="844" spans="1:2" x14ac:dyDescent="0.25">
      <c r="A844">
        <v>844</v>
      </c>
      <c r="B844" t="str">
        <f t="shared" si="13"/>
        <v>͌</v>
      </c>
    </row>
    <row r="845" spans="1:2" x14ac:dyDescent="0.25">
      <c r="A845">
        <v>845</v>
      </c>
      <c r="B845" t="str">
        <f t="shared" si="13"/>
        <v>͍</v>
      </c>
    </row>
    <row r="846" spans="1:2" x14ac:dyDescent="0.25">
      <c r="A846">
        <v>846</v>
      </c>
      <c r="B846" t="str">
        <f t="shared" si="13"/>
        <v>͎</v>
      </c>
    </row>
    <row r="847" spans="1:2" x14ac:dyDescent="0.25">
      <c r="A847">
        <v>847</v>
      </c>
      <c r="B847" t="str">
        <f t="shared" si="13"/>
        <v>͏</v>
      </c>
    </row>
    <row r="848" spans="1:2" x14ac:dyDescent="0.25">
      <c r="A848">
        <v>848</v>
      </c>
      <c r="B848" t="str">
        <f t="shared" si="13"/>
        <v>͐</v>
      </c>
    </row>
    <row r="849" spans="1:2" x14ac:dyDescent="0.25">
      <c r="A849">
        <v>849</v>
      </c>
      <c r="B849" t="str">
        <f t="shared" si="13"/>
        <v>͑</v>
      </c>
    </row>
    <row r="850" spans="1:2" x14ac:dyDescent="0.25">
      <c r="A850">
        <v>850</v>
      </c>
      <c r="B850" t="str">
        <f t="shared" si="13"/>
        <v>͒</v>
      </c>
    </row>
    <row r="851" spans="1:2" x14ac:dyDescent="0.25">
      <c r="A851">
        <v>851</v>
      </c>
      <c r="B851" t="str">
        <f t="shared" si="13"/>
        <v>͓</v>
      </c>
    </row>
    <row r="852" spans="1:2" x14ac:dyDescent="0.25">
      <c r="A852">
        <v>852</v>
      </c>
      <c r="B852" t="str">
        <f t="shared" si="13"/>
        <v>͔</v>
      </c>
    </row>
    <row r="853" spans="1:2" x14ac:dyDescent="0.25">
      <c r="A853">
        <v>853</v>
      </c>
      <c r="B853" t="str">
        <f t="shared" si="13"/>
        <v>͕</v>
      </c>
    </row>
    <row r="854" spans="1:2" x14ac:dyDescent="0.25">
      <c r="A854">
        <v>854</v>
      </c>
      <c r="B854" t="str">
        <f t="shared" si="13"/>
        <v>͖</v>
      </c>
    </row>
    <row r="855" spans="1:2" x14ac:dyDescent="0.25">
      <c r="A855">
        <v>855</v>
      </c>
      <c r="B855" t="str">
        <f t="shared" si="13"/>
        <v>͗</v>
      </c>
    </row>
    <row r="856" spans="1:2" x14ac:dyDescent="0.25">
      <c r="A856">
        <v>856</v>
      </c>
      <c r="B856" t="str">
        <f t="shared" si="13"/>
        <v>͘</v>
      </c>
    </row>
    <row r="857" spans="1:2" x14ac:dyDescent="0.25">
      <c r="A857">
        <v>857</v>
      </c>
      <c r="B857" t="str">
        <f t="shared" si="13"/>
        <v>͙</v>
      </c>
    </row>
    <row r="858" spans="1:2" x14ac:dyDescent="0.25">
      <c r="A858">
        <v>858</v>
      </c>
      <c r="B858" t="str">
        <f t="shared" si="13"/>
        <v>͚</v>
      </c>
    </row>
    <row r="859" spans="1:2" x14ac:dyDescent="0.25">
      <c r="A859">
        <v>859</v>
      </c>
      <c r="B859" t="str">
        <f t="shared" si="13"/>
        <v>͛</v>
      </c>
    </row>
    <row r="860" spans="1:2" x14ac:dyDescent="0.25">
      <c r="A860">
        <v>860</v>
      </c>
      <c r="B860" t="str">
        <f t="shared" si="13"/>
        <v>͜</v>
      </c>
    </row>
    <row r="861" spans="1:2" x14ac:dyDescent="0.25">
      <c r="A861">
        <v>861</v>
      </c>
      <c r="B861" t="str">
        <f t="shared" si="13"/>
        <v>͝</v>
      </c>
    </row>
    <row r="862" spans="1:2" x14ac:dyDescent="0.25">
      <c r="A862">
        <v>862</v>
      </c>
      <c r="B862" t="str">
        <f t="shared" si="13"/>
        <v>͞</v>
      </c>
    </row>
    <row r="863" spans="1:2" x14ac:dyDescent="0.25">
      <c r="A863">
        <v>863</v>
      </c>
      <c r="B863" t="str">
        <f t="shared" si="13"/>
        <v>͟</v>
      </c>
    </row>
    <row r="864" spans="1:2" x14ac:dyDescent="0.25">
      <c r="A864">
        <v>864</v>
      </c>
      <c r="B864" t="str">
        <f t="shared" si="13"/>
        <v>͠</v>
      </c>
    </row>
    <row r="865" spans="1:2" x14ac:dyDescent="0.25">
      <c r="A865">
        <v>865</v>
      </c>
      <c r="B865" t="str">
        <f t="shared" si="13"/>
        <v>͡</v>
      </c>
    </row>
    <row r="866" spans="1:2" x14ac:dyDescent="0.25">
      <c r="A866">
        <v>866</v>
      </c>
      <c r="B866" t="str">
        <f t="shared" si="13"/>
        <v>͢</v>
      </c>
    </row>
    <row r="867" spans="1:2" x14ac:dyDescent="0.25">
      <c r="A867">
        <v>867</v>
      </c>
      <c r="B867" t="str">
        <f t="shared" si="13"/>
        <v>ͣ</v>
      </c>
    </row>
    <row r="868" spans="1:2" x14ac:dyDescent="0.25">
      <c r="A868">
        <v>868</v>
      </c>
      <c r="B868" t="str">
        <f t="shared" si="13"/>
        <v>ͤ</v>
      </c>
    </row>
    <row r="869" spans="1:2" x14ac:dyDescent="0.25">
      <c r="A869">
        <v>869</v>
      </c>
      <c r="B869" t="str">
        <f t="shared" si="13"/>
        <v>ͥ</v>
      </c>
    </row>
    <row r="870" spans="1:2" x14ac:dyDescent="0.25">
      <c r="A870">
        <v>870</v>
      </c>
      <c r="B870" t="str">
        <f t="shared" si="13"/>
        <v>ͦ</v>
      </c>
    </row>
    <row r="871" spans="1:2" x14ac:dyDescent="0.25">
      <c r="A871">
        <v>871</v>
      </c>
      <c r="B871" t="str">
        <f t="shared" si="13"/>
        <v>ͧ</v>
      </c>
    </row>
    <row r="872" spans="1:2" x14ac:dyDescent="0.25">
      <c r="A872">
        <v>872</v>
      </c>
      <c r="B872" t="str">
        <f t="shared" si="13"/>
        <v>ͨ</v>
      </c>
    </row>
    <row r="873" spans="1:2" x14ac:dyDescent="0.25">
      <c r="A873">
        <v>873</v>
      </c>
      <c r="B873" t="str">
        <f t="shared" si="13"/>
        <v>ͩ</v>
      </c>
    </row>
    <row r="874" spans="1:2" x14ac:dyDescent="0.25">
      <c r="A874">
        <v>874</v>
      </c>
      <c r="B874" t="str">
        <f t="shared" si="13"/>
        <v>ͪ</v>
      </c>
    </row>
    <row r="875" spans="1:2" x14ac:dyDescent="0.25">
      <c r="A875">
        <v>875</v>
      </c>
      <c r="B875" t="str">
        <f t="shared" si="13"/>
        <v>ͫ</v>
      </c>
    </row>
    <row r="876" spans="1:2" x14ac:dyDescent="0.25">
      <c r="A876">
        <v>876</v>
      </c>
      <c r="B876" t="str">
        <f t="shared" si="13"/>
        <v>ͬ</v>
      </c>
    </row>
    <row r="877" spans="1:2" x14ac:dyDescent="0.25">
      <c r="A877">
        <v>877</v>
      </c>
      <c r="B877" t="str">
        <f t="shared" si="13"/>
        <v>ͭ</v>
      </c>
    </row>
    <row r="878" spans="1:2" x14ac:dyDescent="0.25">
      <c r="A878">
        <v>878</v>
      </c>
      <c r="B878" t="str">
        <f t="shared" si="13"/>
        <v>ͮ</v>
      </c>
    </row>
    <row r="879" spans="1:2" x14ac:dyDescent="0.25">
      <c r="A879">
        <v>879</v>
      </c>
      <c r="B879" t="str">
        <f t="shared" si="13"/>
        <v>ͯ</v>
      </c>
    </row>
    <row r="880" spans="1:2" x14ac:dyDescent="0.25">
      <c r="A880">
        <v>880</v>
      </c>
      <c r="B880" t="str">
        <f t="shared" si="13"/>
        <v>Ͱ</v>
      </c>
    </row>
    <row r="881" spans="1:2" x14ac:dyDescent="0.25">
      <c r="A881">
        <v>881</v>
      </c>
      <c r="B881" t="str">
        <f t="shared" si="13"/>
        <v>ͱ</v>
      </c>
    </row>
    <row r="882" spans="1:2" x14ac:dyDescent="0.25">
      <c r="A882">
        <v>882</v>
      </c>
      <c r="B882" t="str">
        <f t="shared" si="13"/>
        <v>Ͳ</v>
      </c>
    </row>
    <row r="883" spans="1:2" x14ac:dyDescent="0.25">
      <c r="A883">
        <v>883</v>
      </c>
      <c r="B883" t="str">
        <f t="shared" si="13"/>
        <v>ͳ</v>
      </c>
    </row>
    <row r="884" spans="1:2" x14ac:dyDescent="0.25">
      <c r="A884">
        <v>884</v>
      </c>
      <c r="B884" t="str">
        <f t="shared" si="13"/>
        <v>ʹ</v>
      </c>
    </row>
    <row r="885" spans="1:2" x14ac:dyDescent="0.25">
      <c r="A885">
        <v>885</v>
      </c>
      <c r="B885" t="str">
        <f t="shared" si="13"/>
        <v>͵</v>
      </c>
    </row>
    <row r="886" spans="1:2" x14ac:dyDescent="0.25">
      <c r="A886">
        <v>886</v>
      </c>
      <c r="B886" t="str">
        <f t="shared" si="13"/>
        <v>Ͷ</v>
      </c>
    </row>
    <row r="887" spans="1:2" x14ac:dyDescent="0.25">
      <c r="A887">
        <v>887</v>
      </c>
      <c r="B887" t="str">
        <f t="shared" si="13"/>
        <v>ͷ</v>
      </c>
    </row>
    <row r="888" spans="1:2" x14ac:dyDescent="0.25">
      <c r="A888">
        <v>888</v>
      </c>
      <c r="B888" t="str">
        <f t="shared" si="13"/>
        <v>͸</v>
      </c>
    </row>
    <row r="889" spans="1:2" x14ac:dyDescent="0.25">
      <c r="A889">
        <v>889</v>
      </c>
      <c r="B889" t="str">
        <f t="shared" si="13"/>
        <v>͹</v>
      </c>
    </row>
    <row r="890" spans="1:2" x14ac:dyDescent="0.25">
      <c r="A890">
        <v>890</v>
      </c>
      <c r="B890" t="str">
        <f t="shared" si="13"/>
        <v>ͺ</v>
      </c>
    </row>
    <row r="891" spans="1:2" x14ac:dyDescent="0.25">
      <c r="A891">
        <v>891</v>
      </c>
      <c r="B891" t="str">
        <f t="shared" si="13"/>
        <v>ͻ</v>
      </c>
    </row>
    <row r="892" spans="1:2" x14ac:dyDescent="0.25">
      <c r="A892">
        <v>892</v>
      </c>
      <c r="B892" t="str">
        <f t="shared" si="13"/>
        <v>ͼ</v>
      </c>
    </row>
    <row r="893" spans="1:2" x14ac:dyDescent="0.25">
      <c r="A893">
        <v>893</v>
      </c>
      <c r="B893" t="str">
        <f t="shared" si="13"/>
        <v>ͽ</v>
      </c>
    </row>
    <row r="894" spans="1:2" x14ac:dyDescent="0.25">
      <c r="A894">
        <v>894</v>
      </c>
      <c r="B894" t="str">
        <f t="shared" si="13"/>
        <v>;</v>
      </c>
    </row>
    <row r="895" spans="1:2" x14ac:dyDescent="0.25">
      <c r="A895">
        <v>895</v>
      </c>
      <c r="B895" t="str">
        <f t="shared" si="13"/>
        <v>Ϳ</v>
      </c>
    </row>
    <row r="896" spans="1:2" x14ac:dyDescent="0.25">
      <c r="A896">
        <v>896</v>
      </c>
      <c r="B896" t="str">
        <f t="shared" si="13"/>
        <v>΀</v>
      </c>
    </row>
    <row r="897" spans="1:2" x14ac:dyDescent="0.25">
      <c r="A897">
        <v>897</v>
      </c>
      <c r="B897" t="str">
        <f t="shared" si="13"/>
        <v>΁</v>
      </c>
    </row>
    <row r="898" spans="1:2" x14ac:dyDescent="0.25">
      <c r="A898">
        <v>898</v>
      </c>
      <c r="B898" t="str">
        <f t="shared" ref="B898:B961" si="14">_xlfn.UNICHAR(A898)</f>
        <v>΂</v>
      </c>
    </row>
    <row r="899" spans="1:2" x14ac:dyDescent="0.25">
      <c r="A899">
        <v>899</v>
      </c>
      <c r="B899" t="str">
        <f t="shared" si="14"/>
        <v>΃</v>
      </c>
    </row>
    <row r="900" spans="1:2" x14ac:dyDescent="0.25">
      <c r="A900">
        <v>900</v>
      </c>
      <c r="B900" t="str">
        <f t="shared" si="14"/>
        <v>΄</v>
      </c>
    </row>
    <row r="901" spans="1:2" x14ac:dyDescent="0.25">
      <c r="A901">
        <v>901</v>
      </c>
      <c r="B901" t="str">
        <f t="shared" si="14"/>
        <v>΅</v>
      </c>
    </row>
    <row r="902" spans="1:2" x14ac:dyDescent="0.25">
      <c r="A902">
        <v>902</v>
      </c>
      <c r="B902" t="str">
        <f t="shared" si="14"/>
        <v>Ά</v>
      </c>
    </row>
    <row r="903" spans="1:2" x14ac:dyDescent="0.25">
      <c r="A903">
        <v>903</v>
      </c>
      <c r="B903" t="str">
        <f t="shared" si="14"/>
        <v>·</v>
      </c>
    </row>
    <row r="904" spans="1:2" x14ac:dyDescent="0.25">
      <c r="A904">
        <v>904</v>
      </c>
      <c r="B904" t="str">
        <f t="shared" si="14"/>
        <v>Έ</v>
      </c>
    </row>
    <row r="905" spans="1:2" x14ac:dyDescent="0.25">
      <c r="A905">
        <v>905</v>
      </c>
      <c r="B905" t="str">
        <f t="shared" si="14"/>
        <v>Ή</v>
      </c>
    </row>
    <row r="906" spans="1:2" x14ac:dyDescent="0.25">
      <c r="A906">
        <v>906</v>
      </c>
      <c r="B906" t="str">
        <f t="shared" si="14"/>
        <v>Ί</v>
      </c>
    </row>
    <row r="907" spans="1:2" x14ac:dyDescent="0.25">
      <c r="A907">
        <v>907</v>
      </c>
      <c r="B907" t="str">
        <f t="shared" si="14"/>
        <v>΋</v>
      </c>
    </row>
    <row r="908" spans="1:2" x14ac:dyDescent="0.25">
      <c r="A908">
        <v>908</v>
      </c>
      <c r="B908" t="str">
        <f t="shared" si="14"/>
        <v>Ό</v>
      </c>
    </row>
    <row r="909" spans="1:2" x14ac:dyDescent="0.25">
      <c r="A909">
        <v>909</v>
      </c>
      <c r="B909" t="str">
        <f t="shared" si="14"/>
        <v>΍</v>
      </c>
    </row>
    <row r="910" spans="1:2" x14ac:dyDescent="0.25">
      <c r="A910">
        <v>910</v>
      </c>
      <c r="B910" t="str">
        <f t="shared" si="14"/>
        <v>Ύ</v>
      </c>
    </row>
    <row r="911" spans="1:2" x14ac:dyDescent="0.25">
      <c r="A911">
        <v>911</v>
      </c>
      <c r="B911" t="str">
        <f t="shared" si="14"/>
        <v>Ώ</v>
      </c>
    </row>
    <row r="912" spans="1:2" x14ac:dyDescent="0.25">
      <c r="A912">
        <v>912</v>
      </c>
      <c r="B912" t="str">
        <f t="shared" si="14"/>
        <v>ΐ</v>
      </c>
    </row>
    <row r="913" spans="1:2" x14ac:dyDescent="0.25">
      <c r="A913">
        <v>913</v>
      </c>
      <c r="B913" t="str">
        <f t="shared" si="14"/>
        <v>Α</v>
      </c>
    </row>
    <row r="914" spans="1:2" x14ac:dyDescent="0.25">
      <c r="A914">
        <v>914</v>
      </c>
      <c r="B914" t="str">
        <f t="shared" si="14"/>
        <v>Β</v>
      </c>
    </row>
    <row r="915" spans="1:2" x14ac:dyDescent="0.25">
      <c r="A915">
        <v>915</v>
      </c>
      <c r="B915" t="str">
        <f t="shared" si="14"/>
        <v>Γ</v>
      </c>
    </row>
    <row r="916" spans="1:2" x14ac:dyDescent="0.25">
      <c r="A916">
        <v>916</v>
      </c>
      <c r="B916" t="str">
        <f t="shared" si="14"/>
        <v>Δ</v>
      </c>
    </row>
    <row r="917" spans="1:2" x14ac:dyDescent="0.25">
      <c r="A917">
        <v>917</v>
      </c>
      <c r="B917" t="str">
        <f t="shared" si="14"/>
        <v>Ε</v>
      </c>
    </row>
    <row r="918" spans="1:2" x14ac:dyDescent="0.25">
      <c r="A918">
        <v>918</v>
      </c>
      <c r="B918" t="str">
        <f t="shared" si="14"/>
        <v>Ζ</v>
      </c>
    </row>
    <row r="919" spans="1:2" x14ac:dyDescent="0.25">
      <c r="A919">
        <v>919</v>
      </c>
      <c r="B919" t="str">
        <f t="shared" si="14"/>
        <v>Η</v>
      </c>
    </row>
    <row r="920" spans="1:2" x14ac:dyDescent="0.25">
      <c r="A920">
        <v>920</v>
      </c>
      <c r="B920" t="str">
        <f t="shared" si="14"/>
        <v>Θ</v>
      </c>
    </row>
    <row r="921" spans="1:2" x14ac:dyDescent="0.25">
      <c r="A921">
        <v>921</v>
      </c>
      <c r="B921" t="str">
        <f t="shared" si="14"/>
        <v>Ι</v>
      </c>
    </row>
    <row r="922" spans="1:2" x14ac:dyDescent="0.25">
      <c r="A922">
        <v>922</v>
      </c>
      <c r="B922" t="str">
        <f t="shared" si="14"/>
        <v>Κ</v>
      </c>
    </row>
    <row r="923" spans="1:2" x14ac:dyDescent="0.25">
      <c r="A923">
        <v>923</v>
      </c>
      <c r="B923" t="str">
        <f t="shared" si="14"/>
        <v>Λ</v>
      </c>
    </row>
    <row r="924" spans="1:2" x14ac:dyDescent="0.25">
      <c r="A924">
        <v>924</v>
      </c>
      <c r="B924" t="str">
        <f t="shared" si="14"/>
        <v>Μ</v>
      </c>
    </row>
    <row r="925" spans="1:2" x14ac:dyDescent="0.25">
      <c r="A925">
        <v>925</v>
      </c>
      <c r="B925" t="str">
        <f t="shared" si="14"/>
        <v>Ν</v>
      </c>
    </row>
    <row r="926" spans="1:2" x14ac:dyDescent="0.25">
      <c r="A926">
        <v>926</v>
      </c>
      <c r="B926" t="str">
        <f t="shared" si="14"/>
        <v>Ξ</v>
      </c>
    </row>
    <row r="927" spans="1:2" x14ac:dyDescent="0.25">
      <c r="A927">
        <v>927</v>
      </c>
      <c r="B927" t="str">
        <f t="shared" si="14"/>
        <v>Ο</v>
      </c>
    </row>
    <row r="928" spans="1:2" x14ac:dyDescent="0.25">
      <c r="A928">
        <v>928</v>
      </c>
      <c r="B928" t="str">
        <f t="shared" si="14"/>
        <v>Π</v>
      </c>
    </row>
    <row r="929" spans="1:2" x14ac:dyDescent="0.25">
      <c r="A929">
        <v>929</v>
      </c>
      <c r="B929" t="str">
        <f t="shared" si="14"/>
        <v>Ρ</v>
      </c>
    </row>
    <row r="930" spans="1:2" x14ac:dyDescent="0.25">
      <c r="A930">
        <v>930</v>
      </c>
      <c r="B930" t="str">
        <f t="shared" si="14"/>
        <v>΢</v>
      </c>
    </row>
    <row r="931" spans="1:2" x14ac:dyDescent="0.25">
      <c r="A931">
        <v>931</v>
      </c>
      <c r="B931" t="str">
        <f t="shared" si="14"/>
        <v>Σ</v>
      </c>
    </row>
    <row r="932" spans="1:2" x14ac:dyDescent="0.25">
      <c r="A932">
        <v>932</v>
      </c>
      <c r="B932" t="str">
        <f t="shared" si="14"/>
        <v>Τ</v>
      </c>
    </row>
    <row r="933" spans="1:2" x14ac:dyDescent="0.25">
      <c r="A933">
        <v>933</v>
      </c>
      <c r="B933" t="str">
        <f t="shared" si="14"/>
        <v>Υ</v>
      </c>
    </row>
    <row r="934" spans="1:2" x14ac:dyDescent="0.25">
      <c r="A934">
        <v>934</v>
      </c>
      <c r="B934" t="str">
        <f t="shared" si="14"/>
        <v>Φ</v>
      </c>
    </row>
    <row r="935" spans="1:2" x14ac:dyDescent="0.25">
      <c r="A935">
        <v>935</v>
      </c>
      <c r="B935" t="str">
        <f t="shared" si="14"/>
        <v>Χ</v>
      </c>
    </row>
    <row r="936" spans="1:2" x14ac:dyDescent="0.25">
      <c r="A936">
        <v>936</v>
      </c>
      <c r="B936" t="str">
        <f t="shared" si="14"/>
        <v>Ψ</v>
      </c>
    </row>
    <row r="937" spans="1:2" x14ac:dyDescent="0.25">
      <c r="A937">
        <v>937</v>
      </c>
      <c r="B937" t="str">
        <f t="shared" si="14"/>
        <v>Ω</v>
      </c>
    </row>
    <row r="938" spans="1:2" x14ac:dyDescent="0.25">
      <c r="A938">
        <v>938</v>
      </c>
      <c r="B938" t="str">
        <f t="shared" si="14"/>
        <v>Ϊ</v>
      </c>
    </row>
    <row r="939" spans="1:2" x14ac:dyDescent="0.25">
      <c r="A939">
        <v>939</v>
      </c>
      <c r="B939" t="str">
        <f t="shared" si="14"/>
        <v>Ϋ</v>
      </c>
    </row>
    <row r="940" spans="1:2" x14ac:dyDescent="0.25">
      <c r="A940">
        <v>940</v>
      </c>
      <c r="B940" t="str">
        <f t="shared" si="14"/>
        <v>ά</v>
      </c>
    </row>
    <row r="941" spans="1:2" x14ac:dyDescent="0.25">
      <c r="A941">
        <v>941</v>
      </c>
      <c r="B941" t="str">
        <f t="shared" si="14"/>
        <v>έ</v>
      </c>
    </row>
    <row r="942" spans="1:2" x14ac:dyDescent="0.25">
      <c r="A942">
        <v>942</v>
      </c>
      <c r="B942" t="str">
        <f t="shared" si="14"/>
        <v>ή</v>
      </c>
    </row>
    <row r="943" spans="1:2" x14ac:dyDescent="0.25">
      <c r="A943">
        <v>943</v>
      </c>
      <c r="B943" t="str">
        <f t="shared" si="14"/>
        <v>ί</v>
      </c>
    </row>
    <row r="944" spans="1:2" x14ac:dyDescent="0.25">
      <c r="A944">
        <v>944</v>
      </c>
      <c r="B944" t="str">
        <f t="shared" si="14"/>
        <v>ΰ</v>
      </c>
    </row>
    <row r="945" spans="1:2" x14ac:dyDescent="0.25">
      <c r="A945">
        <v>945</v>
      </c>
      <c r="B945" t="str">
        <f t="shared" si="14"/>
        <v>α</v>
      </c>
    </row>
    <row r="946" spans="1:2" x14ac:dyDescent="0.25">
      <c r="A946">
        <v>946</v>
      </c>
      <c r="B946" t="str">
        <f t="shared" si="14"/>
        <v>β</v>
      </c>
    </row>
    <row r="947" spans="1:2" x14ac:dyDescent="0.25">
      <c r="A947">
        <v>947</v>
      </c>
      <c r="B947" t="str">
        <f t="shared" si="14"/>
        <v>γ</v>
      </c>
    </row>
    <row r="948" spans="1:2" x14ac:dyDescent="0.25">
      <c r="A948">
        <v>948</v>
      </c>
      <c r="B948" t="str">
        <f t="shared" si="14"/>
        <v>δ</v>
      </c>
    </row>
    <row r="949" spans="1:2" x14ac:dyDescent="0.25">
      <c r="A949">
        <v>949</v>
      </c>
      <c r="B949" t="str">
        <f t="shared" si="14"/>
        <v>ε</v>
      </c>
    </row>
    <row r="950" spans="1:2" x14ac:dyDescent="0.25">
      <c r="A950">
        <v>950</v>
      </c>
      <c r="B950" t="str">
        <f t="shared" si="14"/>
        <v>ζ</v>
      </c>
    </row>
    <row r="951" spans="1:2" x14ac:dyDescent="0.25">
      <c r="A951">
        <v>951</v>
      </c>
      <c r="B951" t="str">
        <f t="shared" si="14"/>
        <v>η</v>
      </c>
    </row>
    <row r="952" spans="1:2" x14ac:dyDescent="0.25">
      <c r="A952">
        <v>952</v>
      </c>
      <c r="B952" t="str">
        <f t="shared" si="14"/>
        <v>θ</v>
      </c>
    </row>
    <row r="953" spans="1:2" x14ac:dyDescent="0.25">
      <c r="A953">
        <v>953</v>
      </c>
      <c r="B953" t="str">
        <f t="shared" si="14"/>
        <v>ι</v>
      </c>
    </row>
    <row r="954" spans="1:2" x14ac:dyDescent="0.25">
      <c r="A954">
        <v>954</v>
      </c>
      <c r="B954" t="str">
        <f t="shared" si="14"/>
        <v>κ</v>
      </c>
    </row>
    <row r="955" spans="1:2" x14ac:dyDescent="0.25">
      <c r="A955">
        <v>955</v>
      </c>
      <c r="B955" t="str">
        <f t="shared" si="14"/>
        <v>λ</v>
      </c>
    </row>
    <row r="956" spans="1:2" x14ac:dyDescent="0.25">
      <c r="A956">
        <v>956</v>
      </c>
      <c r="B956" t="str">
        <f t="shared" si="14"/>
        <v>μ</v>
      </c>
    </row>
    <row r="957" spans="1:2" x14ac:dyDescent="0.25">
      <c r="A957">
        <v>957</v>
      </c>
      <c r="B957" t="str">
        <f t="shared" si="14"/>
        <v>ν</v>
      </c>
    </row>
    <row r="958" spans="1:2" x14ac:dyDescent="0.25">
      <c r="A958">
        <v>958</v>
      </c>
      <c r="B958" t="str">
        <f t="shared" si="14"/>
        <v>ξ</v>
      </c>
    </row>
    <row r="959" spans="1:2" x14ac:dyDescent="0.25">
      <c r="A959">
        <v>959</v>
      </c>
      <c r="B959" t="str">
        <f t="shared" si="14"/>
        <v>ο</v>
      </c>
    </row>
    <row r="960" spans="1:2" x14ac:dyDescent="0.25">
      <c r="A960">
        <v>960</v>
      </c>
      <c r="B960" t="str">
        <f t="shared" si="14"/>
        <v>π</v>
      </c>
    </row>
    <row r="961" spans="1:2" x14ac:dyDescent="0.25">
      <c r="A961">
        <v>961</v>
      </c>
      <c r="B961" t="str">
        <f t="shared" si="14"/>
        <v>ρ</v>
      </c>
    </row>
    <row r="962" spans="1:2" x14ac:dyDescent="0.25">
      <c r="A962">
        <v>962</v>
      </c>
      <c r="B962" t="str">
        <f t="shared" ref="B962:B1025" si="15">_xlfn.UNICHAR(A962)</f>
        <v>ς</v>
      </c>
    </row>
    <row r="963" spans="1:2" x14ac:dyDescent="0.25">
      <c r="A963">
        <v>963</v>
      </c>
      <c r="B963" t="str">
        <f t="shared" si="15"/>
        <v>σ</v>
      </c>
    </row>
    <row r="964" spans="1:2" x14ac:dyDescent="0.25">
      <c r="A964">
        <v>964</v>
      </c>
      <c r="B964" t="str">
        <f t="shared" si="15"/>
        <v>τ</v>
      </c>
    </row>
    <row r="965" spans="1:2" x14ac:dyDescent="0.25">
      <c r="A965">
        <v>965</v>
      </c>
      <c r="B965" t="str">
        <f t="shared" si="15"/>
        <v>υ</v>
      </c>
    </row>
    <row r="966" spans="1:2" x14ac:dyDescent="0.25">
      <c r="A966">
        <v>966</v>
      </c>
      <c r="B966" t="str">
        <f t="shared" si="15"/>
        <v>φ</v>
      </c>
    </row>
    <row r="967" spans="1:2" x14ac:dyDescent="0.25">
      <c r="A967">
        <v>967</v>
      </c>
      <c r="B967" t="str">
        <f t="shared" si="15"/>
        <v>χ</v>
      </c>
    </row>
    <row r="968" spans="1:2" x14ac:dyDescent="0.25">
      <c r="A968">
        <v>968</v>
      </c>
      <c r="B968" t="str">
        <f t="shared" si="15"/>
        <v>ψ</v>
      </c>
    </row>
    <row r="969" spans="1:2" x14ac:dyDescent="0.25">
      <c r="A969">
        <v>969</v>
      </c>
      <c r="B969" t="str">
        <f t="shared" si="15"/>
        <v>ω</v>
      </c>
    </row>
    <row r="970" spans="1:2" x14ac:dyDescent="0.25">
      <c r="A970">
        <v>970</v>
      </c>
      <c r="B970" t="str">
        <f t="shared" si="15"/>
        <v>ϊ</v>
      </c>
    </row>
    <row r="971" spans="1:2" x14ac:dyDescent="0.25">
      <c r="A971">
        <v>971</v>
      </c>
      <c r="B971" t="str">
        <f t="shared" si="15"/>
        <v>ϋ</v>
      </c>
    </row>
    <row r="972" spans="1:2" x14ac:dyDescent="0.25">
      <c r="A972">
        <v>972</v>
      </c>
      <c r="B972" t="str">
        <f t="shared" si="15"/>
        <v>ό</v>
      </c>
    </row>
    <row r="973" spans="1:2" x14ac:dyDescent="0.25">
      <c r="A973">
        <v>973</v>
      </c>
      <c r="B973" t="str">
        <f t="shared" si="15"/>
        <v>ύ</v>
      </c>
    </row>
    <row r="974" spans="1:2" x14ac:dyDescent="0.25">
      <c r="A974">
        <v>974</v>
      </c>
      <c r="B974" t="str">
        <f t="shared" si="15"/>
        <v>ώ</v>
      </c>
    </row>
    <row r="975" spans="1:2" x14ac:dyDescent="0.25">
      <c r="A975">
        <v>975</v>
      </c>
      <c r="B975" t="str">
        <f t="shared" si="15"/>
        <v>Ϗ</v>
      </c>
    </row>
    <row r="976" spans="1:2" x14ac:dyDescent="0.25">
      <c r="A976">
        <v>976</v>
      </c>
      <c r="B976" t="str">
        <f t="shared" si="15"/>
        <v>ϐ</v>
      </c>
    </row>
    <row r="977" spans="1:2" x14ac:dyDescent="0.25">
      <c r="A977">
        <v>977</v>
      </c>
      <c r="B977" t="str">
        <f t="shared" si="15"/>
        <v>ϑ</v>
      </c>
    </row>
    <row r="978" spans="1:2" x14ac:dyDescent="0.25">
      <c r="A978">
        <v>978</v>
      </c>
      <c r="B978" t="str">
        <f t="shared" si="15"/>
        <v>ϒ</v>
      </c>
    </row>
    <row r="979" spans="1:2" x14ac:dyDescent="0.25">
      <c r="A979">
        <v>979</v>
      </c>
      <c r="B979" t="str">
        <f t="shared" si="15"/>
        <v>ϓ</v>
      </c>
    </row>
    <row r="980" spans="1:2" x14ac:dyDescent="0.25">
      <c r="A980">
        <v>980</v>
      </c>
      <c r="B980" t="str">
        <f t="shared" si="15"/>
        <v>ϔ</v>
      </c>
    </row>
    <row r="981" spans="1:2" x14ac:dyDescent="0.25">
      <c r="A981">
        <v>981</v>
      </c>
      <c r="B981" t="str">
        <f t="shared" si="15"/>
        <v>ϕ</v>
      </c>
    </row>
    <row r="982" spans="1:2" x14ac:dyDescent="0.25">
      <c r="A982">
        <v>982</v>
      </c>
      <c r="B982" t="str">
        <f t="shared" si="15"/>
        <v>ϖ</v>
      </c>
    </row>
    <row r="983" spans="1:2" x14ac:dyDescent="0.25">
      <c r="A983">
        <v>983</v>
      </c>
      <c r="B983" t="str">
        <f t="shared" si="15"/>
        <v>ϗ</v>
      </c>
    </row>
    <row r="984" spans="1:2" x14ac:dyDescent="0.25">
      <c r="A984">
        <v>984</v>
      </c>
      <c r="B984" t="str">
        <f t="shared" si="15"/>
        <v>Ϙ</v>
      </c>
    </row>
    <row r="985" spans="1:2" x14ac:dyDescent="0.25">
      <c r="A985">
        <v>985</v>
      </c>
      <c r="B985" t="str">
        <f t="shared" si="15"/>
        <v>ϙ</v>
      </c>
    </row>
    <row r="986" spans="1:2" x14ac:dyDescent="0.25">
      <c r="A986">
        <v>986</v>
      </c>
      <c r="B986" t="str">
        <f t="shared" si="15"/>
        <v>Ϛ</v>
      </c>
    </row>
    <row r="987" spans="1:2" x14ac:dyDescent="0.25">
      <c r="A987">
        <v>987</v>
      </c>
      <c r="B987" t="str">
        <f t="shared" si="15"/>
        <v>ϛ</v>
      </c>
    </row>
    <row r="988" spans="1:2" x14ac:dyDescent="0.25">
      <c r="A988">
        <v>988</v>
      </c>
      <c r="B988" t="str">
        <f t="shared" si="15"/>
        <v>Ϝ</v>
      </c>
    </row>
    <row r="989" spans="1:2" x14ac:dyDescent="0.25">
      <c r="A989">
        <v>989</v>
      </c>
      <c r="B989" t="str">
        <f t="shared" si="15"/>
        <v>ϝ</v>
      </c>
    </row>
    <row r="990" spans="1:2" x14ac:dyDescent="0.25">
      <c r="A990">
        <v>990</v>
      </c>
      <c r="B990" t="str">
        <f t="shared" si="15"/>
        <v>Ϟ</v>
      </c>
    </row>
    <row r="991" spans="1:2" x14ac:dyDescent="0.25">
      <c r="A991">
        <v>991</v>
      </c>
      <c r="B991" t="str">
        <f t="shared" si="15"/>
        <v>ϟ</v>
      </c>
    </row>
    <row r="992" spans="1:2" x14ac:dyDescent="0.25">
      <c r="A992">
        <v>992</v>
      </c>
      <c r="B992" t="str">
        <f t="shared" si="15"/>
        <v>Ϡ</v>
      </c>
    </row>
    <row r="993" spans="1:2" x14ac:dyDescent="0.25">
      <c r="A993">
        <v>993</v>
      </c>
      <c r="B993" t="str">
        <f t="shared" si="15"/>
        <v>ϡ</v>
      </c>
    </row>
    <row r="994" spans="1:2" x14ac:dyDescent="0.25">
      <c r="A994">
        <v>994</v>
      </c>
      <c r="B994" t="str">
        <f t="shared" si="15"/>
        <v>Ϣ</v>
      </c>
    </row>
    <row r="995" spans="1:2" x14ac:dyDescent="0.25">
      <c r="A995">
        <v>995</v>
      </c>
      <c r="B995" t="str">
        <f t="shared" si="15"/>
        <v>ϣ</v>
      </c>
    </row>
    <row r="996" spans="1:2" x14ac:dyDescent="0.25">
      <c r="A996">
        <v>996</v>
      </c>
      <c r="B996" t="str">
        <f t="shared" si="15"/>
        <v>Ϥ</v>
      </c>
    </row>
    <row r="997" spans="1:2" x14ac:dyDescent="0.25">
      <c r="A997">
        <v>997</v>
      </c>
      <c r="B997" t="str">
        <f t="shared" si="15"/>
        <v>ϥ</v>
      </c>
    </row>
    <row r="998" spans="1:2" x14ac:dyDescent="0.25">
      <c r="A998">
        <v>998</v>
      </c>
      <c r="B998" t="str">
        <f t="shared" si="15"/>
        <v>Ϧ</v>
      </c>
    </row>
    <row r="999" spans="1:2" x14ac:dyDescent="0.25">
      <c r="A999">
        <v>999</v>
      </c>
      <c r="B999" t="str">
        <f t="shared" si="15"/>
        <v>ϧ</v>
      </c>
    </row>
    <row r="1000" spans="1:2" x14ac:dyDescent="0.25">
      <c r="A1000">
        <v>1000</v>
      </c>
      <c r="B1000" t="str">
        <f t="shared" si="15"/>
        <v>Ϩ</v>
      </c>
    </row>
    <row r="1001" spans="1:2" x14ac:dyDescent="0.25">
      <c r="A1001">
        <v>1001</v>
      </c>
      <c r="B1001" t="str">
        <f t="shared" si="15"/>
        <v>ϩ</v>
      </c>
    </row>
    <row r="1002" spans="1:2" x14ac:dyDescent="0.25">
      <c r="A1002">
        <v>1002</v>
      </c>
      <c r="B1002" t="str">
        <f t="shared" si="15"/>
        <v>Ϫ</v>
      </c>
    </row>
    <row r="1003" spans="1:2" x14ac:dyDescent="0.25">
      <c r="A1003">
        <v>1003</v>
      </c>
      <c r="B1003" t="str">
        <f t="shared" si="15"/>
        <v>ϫ</v>
      </c>
    </row>
    <row r="1004" spans="1:2" x14ac:dyDescent="0.25">
      <c r="A1004">
        <v>1004</v>
      </c>
      <c r="B1004" t="str">
        <f t="shared" si="15"/>
        <v>Ϭ</v>
      </c>
    </row>
    <row r="1005" spans="1:2" x14ac:dyDescent="0.25">
      <c r="A1005">
        <v>1005</v>
      </c>
      <c r="B1005" t="str">
        <f t="shared" si="15"/>
        <v>ϭ</v>
      </c>
    </row>
    <row r="1006" spans="1:2" x14ac:dyDescent="0.25">
      <c r="A1006">
        <v>1006</v>
      </c>
      <c r="B1006" t="str">
        <f t="shared" si="15"/>
        <v>Ϯ</v>
      </c>
    </row>
    <row r="1007" spans="1:2" x14ac:dyDescent="0.25">
      <c r="A1007">
        <v>1007</v>
      </c>
      <c r="B1007" t="str">
        <f t="shared" si="15"/>
        <v>ϯ</v>
      </c>
    </row>
    <row r="1008" spans="1:2" x14ac:dyDescent="0.25">
      <c r="A1008">
        <v>1008</v>
      </c>
      <c r="B1008" t="str">
        <f t="shared" si="15"/>
        <v>ϰ</v>
      </c>
    </row>
    <row r="1009" spans="1:2" x14ac:dyDescent="0.25">
      <c r="A1009">
        <v>1009</v>
      </c>
      <c r="B1009" t="str">
        <f t="shared" si="15"/>
        <v>ϱ</v>
      </c>
    </row>
    <row r="1010" spans="1:2" x14ac:dyDescent="0.25">
      <c r="A1010">
        <v>1010</v>
      </c>
      <c r="B1010" t="str">
        <f t="shared" si="15"/>
        <v>ϲ</v>
      </c>
    </row>
    <row r="1011" spans="1:2" x14ac:dyDescent="0.25">
      <c r="A1011">
        <v>1011</v>
      </c>
      <c r="B1011" t="str">
        <f t="shared" si="15"/>
        <v>ϳ</v>
      </c>
    </row>
    <row r="1012" spans="1:2" x14ac:dyDescent="0.25">
      <c r="A1012">
        <v>1012</v>
      </c>
      <c r="B1012" t="str">
        <f t="shared" si="15"/>
        <v>ϴ</v>
      </c>
    </row>
    <row r="1013" spans="1:2" x14ac:dyDescent="0.25">
      <c r="A1013">
        <v>1013</v>
      </c>
      <c r="B1013" t="str">
        <f t="shared" si="15"/>
        <v>ϵ</v>
      </c>
    </row>
    <row r="1014" spans="1:2" x14ac:dyDescent="0.25">
      <c r="A1014">
        <v>1014</v>
      </c>
      <c r="B1014" t="str">
        <f t="shared" si="15"/>
        <v>϶</v>
      </c>
    </row>
    <row r="1015" spans="1:2" x14ac:dyDescent="0.25">
      <c r="A1015">
        <v>1015</v>
      </c>
      <c r="B1015" t="str">
        <f t="shared" si="15"/>
        <v>Ϸ</v>
      </c>
    </row>
    <row r="1016" spans="1:2" x14ac:dyDescent="0.25">
      <c r="A1016">
        <v>1016</v>
      </c>
      <c r="B1016" t="str">
        <f t="shared" si="15"/>
        <v>ϸ</v>
      </c>
    </row>
    <row r="1017" spans="1:2" x14ac:dyDescent="0.25">
      <c r="A1017">
        <v>1017</v>
      </c>
      <c r="B1017" t="str">
        <f t="shared" si="15"/>
        <v>Ϲ</v>
      </c>
    </row>
    <row r="1018" spans="1:2" x14ac:dyDescent="0.25">
      <c r="A1018">
        <v>1018</v>
      </c>
      <c r="B1018" t="str">
        <f t="shared" si="15"/>
        <v>Ϻ</v>
      </c>
    </row>
    <row r="1019" spans="1:2" x14ac:dyDescent="0.25">
      <c r="A1019">
        <v>1019</v>
      </c>
      <c r="B1019" t="str">
        <f t="shared" si="15"/>
        <v>ϻ</v>
      </c>
    </row>
    <row r="1020" spans="1:2" x14ac:dyDescent="0.25">
      <c r="A1020">
        <v>1020</v>
      </c>
      <c r="B1020" t="str">
        <f t="shared" si="15"/>
        <v>ϼ</v>
      </c>
    </row>
    <row r="1021" spans="1:2" x14ac:dyDescent="0.25">
      <c r="A1021">
        <v>1021</v>
      </c>
      <c r="B1021" t="str">
        <f t="shared" si="15"/>
        <v>Ͻ</v>
      </c>
    </row>
    <row r="1022" spans="1:2" x14ac:dyDescent="0.25">
      <c r="A1022">
        <v>1022</v>
      </c>
      <c r="B1022" t="str">
        <f t="shared" si="15"/>
        <v>Ͼ</v>
      </c>
    </row>
    <row r="1023" spans="1:2" x14ac:dyDescent="0.25">
      <c r="A1023">
        <v>1023</v>
      </c>
      <c r="B1023" t="str">
        <f t="shared" si="15"/>
        <v>Ͽ</v>
      </c>
    </row>
    <row r="1024" spans="1:2" x14ac:dyDescent="0.25">
      <c r="A1024">
        <v>1024</v>
      </c>
      <c r="B1024" t="str">
        <f t="shared" si="15"/>
        <v>Ѐ</v>
      </c>
    </row>
    <row r="1025" spans="1:2" x14ac:dyDescent="0.25">
      <c r="A1025">
        <v>1025</v>
      </c>
      <c r="B1025" t="str">
        <f t="shared" si="15"/>
        <v>Ё</v>
      </c>
    </row>
    <row r="1026" spans="1:2" x14ac:dyDescent="0.25">
      <c r="A1026">
        <v>1026</v>
      </c>
      <c r="B1026" t="str">
        <f t="shared" ref="B1026:B1089" si="16">_xlfn.UNICHAR(A1026)</f>
        <v>Ђ</v>
      </c>
    </row>
    <row r="1027" spans="1:2" x14ac:dyDescent="0.25">
      <c r="A1027">
        <v>1027</v>
      </c>
      <c r="B1027" t="str">
        <f t="shared" si="16"/>
        <v>Ѓ</v>
      </c>
    </row>
    <row r="1028" spans="1:2" x14ac:dyDescent="0.25">
      <c r="A1028">
        <v>1028</v>
      </c>
      <c r="B1028" t="str">
        <f t="shared" si="16"/>
        <v>Є</v>
      </c>
    </row>
    <row r="1029" spans="1:2" x14ac:dyDescent="0.25">
      <c r="A1029">
        <v>1029</v>
      </c>
      <c r="B1029" t="str">
        <f t="shared" si="16"/>
        <v>Ѕ</v>
      </c>
    </row>
    <row r="1030" spans="1:2" x14ac:dyDescent="0.25">
      <c r="A1030">
        <v>1030</v>
      </c>
      <c r="B1030" t="str">
        <f t="shared" si="16"/>
        <v>І</v>
      </c>
    </row>
    <row r="1031" spans="1:2" x14ac:dyDescent="0.25">
      <c r="A1031">
        <v>1031</v>
      </c>
      <c r="B1031" t="str">
        <f t="shared" si="16"/>
        <v>Ї</v>
      </c>
    </row>
    <row r="1032" spans="1:2" x14ac:dyDescent="0.25">
      <c r="A1032">
        <v>1032</v>
      </c>
      <c r="B1032" t="str">
        <f t="shared" si="16"/>
        <v>Ј</v>
      </c>
    </row>
    <row r="1033" spans="1:2" x14ac:dyDescent="0.25">
      <c r="A1033">
        <v>1033</v>
      </c>
      <c r="B1033" t="str">
        <f t="shared" si="16"/>
        <v>Љ</v>
      </c>
    </row>
    <row r="1034" spans="1:2" x14ac:dyDescent="0.25">
      <c r="A1034">
        <v>1034</v>
      </c>
      <c r="B1034" t="str">
        <f t="shared" si="16"/>
        <v>Њ</v>
      </c>
    </row>
    <row r="1035" spans="1:2" x14ac:dyDescent="0.25">
      <c r="A1035">
        <v>1035</v>
      </c>
      <c r="B1035" t="str">
        <f t="shared" si="16"/>
        <v>Ћ</v>
      </c>
    </row>
    <row r="1036" spans="1:2" x14ac:dyDescent="0.25">
      <c r="A1036">
        <v>1036</v>
      </c>
      <c r="B1036" t="str">
        <f t="shared" si="16"/>
        <v>Ќ</v>
      </c>
    </row>
    <row r="1037" spans="1:2" x14ac:dyDescent="0.25">
      <c r="A1037">
        <v>1037</v>
      </c>
      <c r="B1037" t="str">
        <f t="shared" si="16"/>
        <v>Ѝ</v>
      </c>
    </row>
    <row r="1038" spans="1:2" x14ac:dyDescent="0.25">
      <c r="A1038">
        <v>1038</v>
      </c>
      <c r="B1038" t="str">
        <f t="shared" si="16"/>
        <v>Ў</v>
      </c>
    </row>
    <row r="1039" spans="1:2" x14ac:dyDescent="0.25">
      <c r="A1039">
        <v>1039</v>
      </c>
      <c r="B1039" t="str">
        <f t="shared" si="16"/>
        <v>Џ</v>
      </c>
    </row>
    <row r="1040" spans="1:2" x14ac:dyDescent="0.25">
      <c r="A1040">
        <v>1040</v>
      </c>
      <c r="B1040" t="str">
        <f t="shared" si="16"/>
        <v>А</v>
      </c>
    </row>
    <row r="1041" spans="1:2" x14ac:dyDescent="0.25">
      <c r="A1041">
        <v>1041</v>
      </c>
      <c r="B1041" t="str">
        <f t="shared" si="16"/>
        <v>Б</v>
      </c>
    </row>
    <row r="1042" spans="1:2" x14ac:dyDescent="0.25">
      <c r="A1042">
        <v>1042</v>
      </c>
      <c r="B1042" t="str">
        <f t="shared" si="16"/>
        <v>В</v>
      </c>
    </row>
    <row r="1043" spans="1:2" x14ac:dyDescent="0.25">
      <c r="A1043">
        <v>1043</v>
      </c>
      <c r="B1043" t="str">
        <f t="shared" si="16"/>
        <v>Г</v>
      </c>
    </row>
    <row r="1044" spans="1:2" x14ac:dyDescent="0.25">
      <c r="A1044">
        <v>1044</v>
      </c>
      <c r="B1044" t="str">
        <f t="shared" si="16"/>
        <v>Д</v>
      </c>
    </row>
    <row r="1045" spans="1:2" x14ac:dyDescent="0.25">
      <c r="A1045">
        <v>1045</v>
      </c>
      <c r="B1045" t="str">
        <f t="shared" si="16"/>
        <v>Е</v>
      </c>
    </row>
    <row r="1046" spans="1:2" x14ac:dyDescent="0.25">
      <c r="A1046">
        <v>1046</v>
      </c>
      <c r="B1046" t="str">
        <f t="shared" si="16"/>
        <v>Ж</v>
      </c>
    </row>
    <row r="1047" spans="1:2" x14ac:dyDescent="0.25">
      <c r="A1047">
        <v>1047</v>
      </c>
      <c r="B1047" t="str">
        <f t="shared" si="16"/>
        <v>З</v>
      </c>
    </row>
    <row r="1048" spans="1:2" x14ac:dyDescent="0.25">
      <c r="A1048">
        <v>1048</v>
      </c>
      <c r="B1048" t="str">
        <f t="shared" si="16"/>
        <v>И</v>
      </c>
    </row>
    <row r="1049" spans="1:2" x14ac:dyDescent="0.25">
      <c r="A1049">
        <v>1049</v>
      </c>
      <c r="B1049" t="str">
        <f t="shared" si="16"/>
        <v>Й</v>
      </c>
    </row>
    <row r="1050" spans="1:2" x14ac:dyDescent="0.25">
      <c r="A1050">
        <v>1050</v>
      </c>
      <c r="B1050" t="str">
        <f t="shared" si="16"/>
        <v>К</v>
      </c>
    </row>
    <row r="1051" spans="1:2" x14ac:dyDescent="0.25">
      <c r="A1051">
        <v>1051</v>
      </c>
      <c r="B1051" t="str">
        <f t="shared" si="16"/>
        <v>Л</v>
      </c>
    </row>
    <row r="1052" spans="1:2" x14ac:dyDescent="0.25">
      <c r="A1052">
        <v>1052</v>
      </c>
      <c r="B1052" t="str">
        <f t="shared" si="16"/>
        <v>М</v>
      </c>
    </row>
    <row r="1053" spans="1:2" x14ac:dyDescent="0.25">
      <c r="A1053">
        <v>1053</v>
      </c>
      <c r="B1053" t="str">
        <f t="shared" si="16"/>
        <v>Н</v>
      </c>
    </row>
    <row r="1054" spans="1:2" x14ac:dyDescent="0.25">
      <c r="A1054">
        <v>1054</v>
      </c>
      <c r="B1054" t="str">
        <f t="shared" si="16"/>
        <v>О</v>
      </c>
    </row>
    <row r="1055" spans="1:2" x14ac:dyDescent="0.25">
      <c r="A1055">
        <v>1055</v>
      </c>
      <c r="B1055" t="str">
        <f t="shared" si="16"/>
        <v>П</v>
      </c>
    </row>
    <row r="1056" spans="1:2" x14ac:dyDescent="0.25">
      <c r="A1056">
        <v>1056</v>
      </c>
      <c r="B1056" t="str">
        <f t="shared" si="16"/>
        <v>Р</v>
      </c>
    </row>
    <row r="1057" spans="1:2" x14ac:dyDescent="0.25">
      <c r="A1057">
        <v>1057</v>
      </c>
      <c r="B1057" t="str">
        <f t="shared" si="16"/>
        <v>С</v>
      </c>
    </row>
    <row r="1058" spans="1:2" x14ac:dyDescent="0.25">
      <c r="A1058">
        <v>1058</v>
      </c>
      <c r="B1058" t="str">
        <f t="shared" si="16"/>
        <v>Т</v>
      </c>
    </row>
    <row r="1059" spans="1:2" x14ac:dyDescent="0.25">
      <c r="A1059">
        <v>1059</v>
      </c>
      <c r="B1059" t="str">
        <f t="shared" si="16"/>
        <v>У</v>
      </c>
    </row>
    <row r="1060" spans="1:2" x14ac:dyDescent="0.25">
      <c r="A1060">
        <v>1060</v>
      </c>
      <c r="B1060" t="str">
        <f t="shared" si="16"/>
        <v>Ф</v>
      </c>
    </row>
    <row r="1061" spans="1:2" x14ac:dyDescent="0.25">
      <c r="A1061">
        <v>1061</v>
      </c>
      <c r="B1061" t="str">
        <f t="shared" si="16"/>
        <v>Х</v>
      </c>
    </row>
    <row r="1062" spans="1:2" x14ac:dyDescent="0.25">
      <c r="A1062">
        <v>1062</v>
      </c>
      <c r="B1062" t="str">
        <f t="shared" si="16"/>
        <v>Ц</v>
      </c>
    </row>
    <row r="1063" spans="1:2" x14ac:dyDescent="0.25">
      <c r="A1063">
        <v>1063</v>
      </c>
      <c r="B1063" t="str">
        <f t="shared" si="16"/>
        <v>Ч</v>
      </c>
    </row>
    <row r="1064" spans="1:2" x14ac:dyDescent="0.25">
      <c r="A1064">
        <v>1064</v>
      </c>
      <c r="B1064" t="str">
        <f t="shared" si="16"/>
        <v>Ш</v>
      </c>
    </row>
    <row r="1065" spans="1:2" x14ac:dyDescent="0.25">
      <c r="A1065">
        <v>1065</v>
      </c>
      <c r="B1065" t="str">
        <f t="shared" si="16"/>
        <v>Щ</v>
      </c>
    </row>
    <row r="1066" spans="1:2" x14ac:dyDescent="0.25">
      <c r="A1066">
        <v>1066</v>
      </c>
      <c r="B1066" t="str">
        <f t="shared" si="16"/>
        <v>Ъ</v>
      </c>
    </row>
    <row r="1067" spans="1:2" x14ac:dyDescent="0.25">
      <c r="A1067">
        <v>1067</v>
      </c>
      <c r="B1067" t="str">
        <f t="shared" si="16"/>
        <v>Ы</v>
      </c>
    </row>
    <row r="1068" spans="1:2" x14ac:dyDescent="0.25">
      <c r="A1068">
        <v>1068</v>
      </c>
      <c r="B1068" t="str">
        <f t="shared" si="16"/>
        <v>Ь</v>
      </c>
    </row>
    <row r="1069" spans="1:2" x14ac:dyDescent="0.25">
      <c r="A1069">
        <v>1069</v>
      </c>
      <c r="B1069" t="str">
        <f t="shared" si="16"/>
        <v>Э</v>
      </c>
    </row>
    <row r="1070" spans="1:2" x14ac:dyDescent="0.25">
      <c r="A1070">
        <v>1070</v>
      </c>
      <c r="B1070" t="str">
        <f t="shared" si="16"/>
        <v>Ю</v>
      </c>
    </row>
    <row r="1071" spans="1:2" x14ac:dyDescent="0.25">
      <c r="A1071">
        <v>1071</v>
      </c>
      <c r="B1071" t="str">
        <f t="shared" si="16"/>
        <v>Я</v>
      </c>
    </row>
    <row r="1072" spans="1:2" x14ac:dyDescent="0.25">
      <c r="A1072">
        <v>1072</v>
      </c>
      <c r="B1072" t="str">
        <f t="shared" si="16"/>
        <v>а</v>
      </c>
    </row>
    <row r="1073" spans="1:2" x14ac:dyDescent="0.25">
      <c r="A1073">
        <v>1073</v>
      </c>
      <c r="B1073" t="str">
        <f t="shared" si="16"/>
        <v>б</v>
      </c>
    </row>
    <row r="1074" spans="1:2" x14ac:dyDescent="0.25">
      <c r="A1074">
        <v>1074</v>
      </c>
      <c r="B1074" t="str">
        <f t="shared" si="16"/>
        <v>в</v>
      </c>
    </row>
    <row r="1075" spans="1:2" x14ac:dyDescent="0.25">
      <c r="A1075">
        <v>1075</v>
      </c>
      <c r="B1075" t="str">
        <f t="shared" si="16"/>
        <v>г</v>
      </c>
    </row>
    <row r="1076" spans="1:2" x14ac:dyDescent="0.25">
      <c r="A1076">
        <v>1076</v>
      </c>
      <c r="B1076" t="str">
        <f t="shared" si="16"/>
        <v>д</v>
      </c>
    </row>
    <row r="1077" spans="1:2" x14ac:dyDescent="0.25">
      <c r="A1077">
        <v>1077</v>
      </c>
      <c r="B1077" t="str">
        <f t="shared" si="16"/>
        <v>е</v>
      </c>
    </row>
    <row r="1078" spans="1:2" x14ac:dyDescent="0.25">
      <c r="A1078">
        <v>1078</v>
      </c>
      <c r="B1078" t="str">
        <f t="shared" si="16"/>
        <v>ж</v>
      </c>
    </row>
    <row r="1079" spans="1:2" x14ac:dyDescent="0.25">
      <c r="A1079">
        <v>1079</v>
      </c>
      <c r="B1079" t="str">
        <f t="shared" si="16"/>
        <v>з</v>
      </c>
    </row>
    <row r="1080" spans="1:2" x14ac:dyDescent="0.25">
      <c r="A1080">
        <v>1080</v>
      </c>
      <c r="B1080" t="str">
        <f t="shared" si="16"/>
        <v>и</v>
      </c>
    </row>
    <row r="1081" spans="1:2" x14ac:dyDescent="0.25">
      <c r="A1081">
        <v>1081</v>
      </c>
      <c r="B1081" t="str">
        <f t="shared" si="16"/>
        <v>й</v>
      </c>
    </row>
    <row r="1082" spans="1:2" x14ac:dyDescent="0.25">
      <c r="A1082">
        <v>1082</v>
      </c>
      <c r="B1082" t="str">
        <f t="shared" si="16"/>
        <v>к</v>
      </c>
    </row>
    <row r="1083" spans="1:2" x14ac:dyDescent="0.25">
      <c r="A1083">
        <v>1083</v>
      </c>
      <c r="B1083" t="str">
        <f t="shared" si="16"/>
        <v>л</v>
      </c>
    </row>
    <row r="1084" spans="1:2" x14ac:dyDescent="0.25">
      <c r="A1084">
        <v>1084</v>
      </c>
      <c r="B1084" t="str">
        <f t="shared" si="16"/>
        <v>м</v>
      </c>
    </row>
    <row r="1085" spans="1:2" x14ac:dyDescent="0.25">
      <c r="A1085">
        <v>1085</v>
      </c>
      <c r="B1085" t="str">
        <f t="shared" si="16"/>
        <v>н</v>
      </c>
    </row>
    <row r="1086" spans="1:2" x14ac:dyDescent="0.25">
      <c r="A1086">
        <v>1086</v>
      </c>
      <c r="B1086" t="str">
        <f t="shared" si="16"/>
        <v>о</v>
      </c>
    </row>
    <row r="1087" spans="1:2" x14ac:dyDescent="0.25">
      <c r="A1087">
        <v>1087</v>
      </c>
      <c r="B1087" t="str">
        <f t="shared" si="16"/>
        <v>п</v>
      </c>
    </row>
    <row r="1088" spans="1:2" x14ac:dyDescent="0.25">
      <c r="A1088">
        <v>1088</v>
      </c>
      <c r="B1088" t="str">
        <f t="shared" si="16"/>
        <v>р</v>
      </c>
    </row>
    <row r="1089" spans="1:2" x14ac:dyDescent="0.25">
      <c r="A1089">
        <v>1089</v>
      </c>
      <c r="B1089" t="str">
        <f t="shared" si="16"/>
        <v>с</v>
      </c>
    </row>
    <row r="1090" spans="1:2" x14ac:dyDescent="0.25">
      <c r="A1090">
        <v>1090</v>
      </c>
      <c r="B1090" t="str">
        <f t="shared" ref="B1090:B1153" si="17">_xlfn.UNICHAR(A1090)</f>
        <v>т</v>
      </c>
    </row>
    <row r="1091" spans="1:2" x14ac:dyDescent="0.25">
      <c r="A1091">
        <v>1091</v>
      </c>
      <c r="B1091" t="str">
        <f t="shared" si="17"/>
        <v>у</v>
      </c>
    </row>
    <row r="1092" spans="1:2" x14ac:dyDescent="0.25">
      <c r="A1092">
        <v>1092</v>
      </c>
      <c r="B1092" t="str">
        <f t="shared" si="17"/>
        <v>ф</v>
      </c>
    </row>
    <row r="1093" spans="1:2" x14ac:dyDescent="0.25">
      <c r="A1093">
        <v>1093</v>
      </c>
      <c r="B1093" t="str">
        <f t="shared" si="17"/>
        <v>х</v>
      </c>
    </row>
    <row r="1094" spans="1:2" x14ac:dyDescent="0.25">
      <c r="A1094">
        <v>1094</v>
      </c>
      <c r="B1094" t="str">
        <f t="shared" si="17"/>
        <v>ц</v>
      </c>
    </row>
    <row r="1095" spans="1:2" x14ac:dyDescent="0.25">
      <c r="A1095">
        <v>1095</v>
      </c>
      <c r="B1095" t="str">
        <f t="shared" si="17"/>
        <v>ч</v>
      </c>
    </row>
    <row r="1096" spans="1:2" x14ac:dyDescent="0.25">
      <c r="A1096">
        <v>1096</v>
      </c>
      <c r="B1096" t="str">
        <f t="shared" si="17"/>
        <v>ш</v>
      </c>
    </row>
    <row r="1097" spans="1:2" x14ac:dyDescent="0.25">
      <c r="A1097">
        <v>1097</v>
      </c>
      <c r="B1097" t="str">
        <f t="shared" si="17"/>
        <v>щ</v>
      </c>
    </row>
    <row r="1098" spans="1:2" x14ac:dyDescent="0.25">
      <c r="A1098">
        <v>1098</v>
      </c>
      <c r="B1098" t="str">
        <f t="shared" si="17"/>
        <v>ъ</v>
      </c>
    </row>
    <row r="1099" spans="1:2" x14ac:dyDescent="0.25">
      <c r="A1099">
        <v>1099</v>
      </c>
      <c r="B1099" t="str">
        <f t="shared" si="17"/>
        <v>ы</v>
      </c>
    </row>
    <row r="1100" spans="1:2" x14ac:dyDescent="0.25">
      <c r="A1100">
        <v>1100</v>
      </c>
      <c r="B1100" t="str">
        <f t="shared" si="17"/>
        <v>ь</v>
      </c>
    </row>
    <row r="1101" spans="1:2" x14ac:dyDescent="0.25">
      <c r="A1101">
        <v>1101</v>
      </c>
      <c r="B1101" t="str">
        <f t="shared" si="17"/>
        <v>э</v>
      </c>
    </row>
    <row r="1102" spans="1:2" x14ac:dyDescent="0.25">
      <c r="A1102">
        <v>1102</v>
      </c>
      <c r="B1102" t="str">
        <f t="shared" si="17"/>
        <v>ю</v>
      </c>
    </row>
    <row r="1103" spans="1:2" x14ac:dyDescent="0.25">
      <c r="A1103">
        <v>1103</v>
      </c>
      <c r="B1103" t="str">
        <f t="shared" si="17"/>
        <v>я</v>
      </c>
    </row>
    <row r="1104" spans="1:2" x14ac:dyDescent="0.25">
      <c r="A1104">
        <v>1104</v>
      </c>
      <c r="B1104" t="str">
        <f t="shared" si="17"/>
        <v>ѐ</v>
      </c>
    </row>
    <row r="1105" spans="1:2" x14ac:dyDescent="0.25">
      <c r="A1105">
        <v>1105</v>
      </c>
      <c r="B1105" t="str">
        <f t="shared" si="17"/>
        <v>ё</v>
      </c>
    </row>
    <row r="1106" spans="1:2" x14ac:dyDescent="0.25">
      <c r="A1106">
        <v>1106</v>
      </c>
      <c r="B1106" t="str">
        <f t="shared" si="17"/>
        <v>ђ</v>
      </c>
    </row>
    <row r="1107" spans="1:2" x14ac:dyDescent="0.25">
      <c r="A1107">
        <v>1107</v>
      </c>
      <c r="B1107" t="str">
        <f t="shared" si="17"/>
        <v>ѓ</v>
      </c>
    </row>
    <row r="1108" spans="1:2" x14ac:dyDescent="0.25">
      <c r="A1108">
        <v>1108</v>
      </c>
      <c r="B1108" t="str">
        <f t="shared" si="17"/>
        <v>є</v>
      </c>
    </row>
    <row r="1109" spans="1:2" x14ac:dyDescent="0.25">
      <c r="A1109">
        <v>1109</v>
      </c>
      <c r="B1109" t="str">
        <f t="shared" si="17"/>
        <v>ѕ</v>
      </c>
    </row>
    <row r="1110" spans="1:2" x14ac:dyDescent="0.25">
      <c r="A1110">
        <v>1110</v>
      </c>
      <c r="B1110" t="str">
        <f t="shared" si="17"/>
        <v>і</v>
      </c>
    </row>
    <row r="1111" spans="1:2" x14ac:dyDescent="0.25">
      <c r="A1111">
        <v>1111</v>
      </c>
      <c r="B1111" t="str">
        <f t="shared" si="17"/>
        <v>ї</v>
      </c>
    </row>
    <row r="1112" spans="1:2" x14ac:dyDescent="0.25">
      <c r="A1112">
        <v>1112</v>
      </c>
      <c r="B1112" t="str">
        <f t="shared" si="17"/>
        <v>ј</v>
      </c>
    </row>
    <row r="1113" spans="1:2" x14ac:dyDescent="0.25">
      <c r="A1113">
        <v>1113</v>
      </c>
      <c r="B1113" t="str">
        <f t="shared" si="17"/>
        <v>љ</v>
      </c>
    </row>
    <row r="1114" spans="1:2" x14ac:dyDescent="0.25">
      <c r="A1114">
        <v>1114</v>
      </c>
      <c r="B1114" t="str">
        <f t="shared" si="17"/>
        <v>њ</v>
      </c>
    </row>
    <row r="1115" spans="1:2" x14ac:dyDescent="0.25">
      <c r="A1115">
        <v>1115</v>
      </c>
      <c r="B1115" t="str">
        <f t="shared" si="17"/>
        <v>ћ</v>
      </c>
    </row>
    <row r="1116" spans="1:2" x14ac:dyDescent="0.25">
      <c r="A1116">
        <v>1116</v>
      </c>
      <c r="B1116" t="str">
        <f t="shared" si="17"/>
        <v>ќ</v>
      </c>
    </row>
    <row r="1117" spans="1:2" x14ac:dyDescent="0.25">
      <c r="A1117">
        <v>1117</v>
      </c>
      <c r="B1117" t="str">
        <f t="shared" si="17"/>
        <v>ѝ</v>
      </c>
    </row>
    <row r="1118" spans="1:2" x14ac:dyDescent="0.25">
      <c r="A1118">
        <v>1118</v>
      </c>
      <c r="B1118" t="str">
        <f t="shared" si="17"/>
        <v>ў</v>
      </c>
    </row>
    <row r="1119" spans="1:2" x14ac:dyDescent="0.25">
      <c r="A1119">
        <v>1119</v>
      </c>
      <c r="B1119" t="str">
        <f t="shared" si="17"/>
        <v>џ</v>
      </c>
    </row>
    <row r="1120" spans="1:2" x14ac:dyDescent="0.25">
      <c r="A1120">
        <v>1120</v>
      </c>
      <c r="B1120" t="str">
        <f t="shared" si="17"/>
        <v>Ѡ</v>
      </c>
    </row>
    <row r="1121" spans="1:2" x14ac:dyDescent="0.25">
      <c r="A1121">
        <v>1121</v>
      </c>
      <c r="B1121" t="str">
        <f t="shared" si="17"/>
        <v>ѡ</v>
      </c>
    </row>
    <row r="1122" spans="1:2" x14ac:dyDescent="0.25">
      <c r="A1122">
        <v>1122</v>
      </c>
      <c r="B1122" t="str">
        <f t="shared" si="17"/>
        <v>Ѣ</v>
      </c>
    </row>
    <row r="1123" spans="1:2" x14ac:dyDescent="0.25">
      <c r="A1123">
        <v>1123</v>
      </c>
      <c r="B1123" t="str">
        <f t="shared" si="17"/>
        <v>ѣ</v>
      </c>
    </row>
    <row r="1124" spans="1:2" x14ac:dyDescent="0.25">
      <c r="A1124">
        <v>1124</v>
      </c>
      <c r="B1124" t="str">
        <f t="shared" si="17"/>
        <v>Ѥ</v>
      </c>
    </row>
    <row r="1125" spans="1:2" x14ac:dyDescent="0.25">
      <c r="A1125">
        <v>1125</v>
      </c>
      <c r="B1125" t="str">
        <f t="shared" si="17"/>
        <v>ѥ</v>
      </c>
    </row>
    <row r="1126" spans="1:2" x14ac:dyDescent="0.25">
      <c r="A1126">
        <v>1126</v>
      </c>
      <c r="B1126" t="str">
        <f t="shared" si="17"/>
        <v>Ѧ</v>
      </c>
    </row>
    <row r="1127" spans="1:2" x14ac:dyDescent="0.25">
      <c r="A1127">
        <v>1127</v>
      </c>
      <c r="B1127" t="str">
        <f t="shared" si="17"/>
        <v>ѧ</v>
      </c>
    </row>
    <row r="1128" spans="1:2" x14ac:dyDescent="0.25">
      <c r="A1128">
        <v>1128</v>
      </c>
      <c r="B1128" t="str">
        <f t="shared" si="17"/>
        <v>Ѩ</v>
      </c>
    </row>
    <row r="1129" spans="1:2" x14ac:dyDescent="0.25">
      <c r="A1129">
        <v>1129</v>
      </c>
      <c r="B1129" t="str">
        <f t="shared" si="17"/>
        <v>ѩ</v>
      </c>
    </row>
    <row r="1130" spans="1:2" x14ac:dyDescent="0.25">
      <c r="A1130">
        <v>1130</v>
      </c>
      <c r="B1130" t="str">
        <f t="shared" si="17"/>
        <v>Ѫ</v>
      </c>
    </row>
    <row r="1131" spans="1:2" x14ac:dyDescent="0.25">
      <c r="A1131">
        <v>1131</v>
      </c>
      <c r="B1131" t="str">
        <f t="shared" si="17"/>
        <v>ѫ</v>
      </c>
    </row>
    <row r="1132" spans="1:2" x14ac:dyDescent="0.25">
      <c r="A1132">
        <v>1132</v>
      </c>
      <c r="B1132" t="str">
        <f t="shared" si="17"/>
        <v>Ѭ</v>
      </c>
    </row>
    <row r="1133" spans="1:2" x14ac:dyDescent="0.25">
      <c r="A1133">
        <v>1133</v>
      </c>
      <c r="B1133" t="str">
        <f t="shared" si="17"/>
        <v>ѭ</v>
      </c>
    </row>
    <row r="1134" spans="1:2" x14ac:dyDescent="0.25">
      <c r="A1134">
        <v>1134</v>
      </c>
      <c r="B1134" t="str">
        <f t="shared" si="17"/>
        <v>Ѯ</v>
      </c>
    </row>
    <row r="1135" spans="1:2" x14ac:dyDescent="0.25">
      <c r="A1135">
        <v>1135</v>
      </c>
      <c r="B1135" t="str">
        <f t="shared" si="17"/>
        <v>ѯ</v>
      </c>
    </row>
    <row r="1136" spans="1:2" x14ac:dyDescent="0.25">
      <c r="A1136">
        <v>1136</v>
      </c>
      <c r="B1136" t="str">
        <f t="shared" si="17"/>
        <v>Ѱ</v>
      </c>
    </row>
    <row r="1137" spans="1:2" x14ac:dyDescent="0.25">
      <c r="A1137">
        <v>1137</v>
      </c>
      <c r="B1137" t="str">
        <f t="shared" si="17"/>
        <v>ѱ</v>
      </c>
    </row>
    <row r="1138" spans="1:2" x14ac:dyDescent="0.25">
      <c r="A1138">
        <v>1138</v>
      </c>
      <c r="B1138" t="str">
        <f t="shared" si="17"/>
        <v>Ѳ</v>
      </c>
    </row>
    <row r="1139" spans="1:2" x14ac:dyDescent="0.25">
      <c r="A1139">
        <v>1139</v>
      </c>
      <c r="B1139" t="str">
        <f t="shared" si="17"/>
        <v>ѳ</v>
      </c>
    </row>
    <row r="1140" spans="1:2" x14ac:dyDescent="0.25">
      <c r="A1140">
        <v>1140</v>
      </c>
      <c r="B1140" t="str">
        <f t="shared" si="17"/>
        <v>Ѵ</v>
      </c>
    </row>
    <row r="1141" spans="1:2" x14ac:dyDescent="0.25">
      <c r="A1141">
        <v>1141</v>
      </c>
      <c r="B1141" t="str">
        <f t="shared" si="17"/>
        <v>ѵ</v>
      </c>
    </row>
    <row r="1142" spans="1:2" x14ac:dyDescent="0.25">
      <c r="A1142">
        <v>1142</v>
      </c>
      <c r="B1142" t="str">
        <f t="shared" si="17"/>
        <v>Ѷ</v>
      </c>
    </row>
    <row r="1143" spans="1:2" x14ac:dyDescent="0.25">
      <c r="A1143">
        <v>1143</v>
      </c>
      <c r="B1143" t="str">
        <f t="shared" si="17"/>
        <v>ѷ</v>
      </c>
    </row>
    <row r="1144" spans="1:2" x14ac:dyDescent="0.25">
      <c r="A1144">
        <v>1144</v>
      </c>
      <c r="B1144" t="str">
        <f t="shared" si="17"/>
        <v>Ѹ</v>
      </c>
    </row>
    <row r="1145" spans="1:2" x14ac:dyDescent="0.25">
      <c r="A1145">
        <v>1145</v>
      </c>
      <c r="B1145" t="str">
        <f t="shared" si="17"/>
        <v>ѹ</v>
      </c>
    </row>
    <row r="1146" spans="1:2" x14ac:dyDescent="0.25">
      <c r="A1146">
        <v>1146</v>
      </c>
      <c r="B1146" t="str">
        <f t="shared" si="17"/>
        <v>Ѻ</v>
      </c>
    </row>
    <row r="1147" spans="1:2" x14ac:dyDescent="0.25">
      <c r="A1147">
        <v>1147</v>
      </c>
      <c r="B1147" t="str">
        <f t="shared" si="17"/>
        <v>ѻ</v>
      </c>
    </row>
    <row r="1148" spans="1:2" x14ac:dyDescent="0.25">
      <c r="A1148">
        <v>1148</v>
      </c>
      <c r="B1148" t="str">
        <f t="shared" si="17"/>
        <v>Ѽ</v>
      </c>
    </row>
    <row r="1149" spans="1:2" x14ac:dyDescent="0.25">
      <c r="A1149">
        <v>1149</v>
      </c>
      <c r="B1149" t="str">
        <f t="shared" si="17"/>
        <v>ѽ</v>
      </c>
    </row>
    <row r="1150" spans="1:2" x14ac:dyDescent="0.25">
      <c r="A1150">
        <v>1150</v>
      </c>
      <c r="B1150" t="str">
        <f t="shared" si="17"/>
        <v>Ѿ</v>
      </c>
    </row>
    <row r="1151" spans="1:2" x14ac:dyDescent="0.25">
      <c r="A1151">
        <v>1151</v>
      </c>
      <c r="B1151" t="str">
        <f t="shared" si="17"/>
        <v>ѿ</v>
      </c>
    </row>
    <row r="1152" spans="1:2" x14ac:dyDescent="0.25">
      <c r="A1152">
        <v>1152</v>
      </c>
      <c r="B1152" t="str">
        <f t="shared" si="17"/>
        <v>Ҁ</v>
      </c>
    </row>
    <row r="1153" spans="1:2" x14ac:dyDescent="0.25">
      <c r="A1153">
        <v>1153</v>
      </c>
      <c r="B1153" t="str">
        <f t="shared" si="17"/>
        <v>ҁ</v>
      </c>
    </row>
    <row r="1154" spans="1:2" x14ac:dyDescent="0.25">
      <c r="A1154">
        <v>1154</v>
      </c>
      <c r="B1154" t="str">
        <f t="shared" ref="B1154:B1217" si="18">_xlfn.UNICHAR(A1154)</f>
        <v>҂</v>
      </c>
    </row>
    <row r="1155" spans="1:2" x14ac:dyDescent="0.25">
      <c r="A1155">
        <v>1155</v>
      </c>
      <c r="B1155" t="str">
        <f t="shared" si="18"/>
        <v>҃</v>
      </c>
    </row>
    <row r="1156" spans="1:2" x14ac:dyDescent="0.25">
      <c r="A1156">
        <v>1156</v>
      </c>
      <c r="B1156" t="str">
        <f t="shared" si="18"/>
        <v>҄</v>
      </c>
    </row>
    <row r="1157" spans="1:2" x14ac:dyDescent="0.25">
      <c r="A1157">
        <v>1157</v>
      </c>
      <c r="B1157" t="str">
        <f t="shared" si="18"/>
        <v>҅</v>
      </c>
    </row>
    <row r="1158" spans="1:2" x14ac:dyDescent="0.25">
      <c r="A1158">
        <v>1158</v>
      </c>
      <c r="B1158" t="str">
        <f t="shared" si="18"/>
        <v>҆</v>
      </c>
    </row>
    <row r="1159" spans="1:2" x14ac:dyDescent="0.25">
      <c r="A1159">
        <v>1159</v>
      </c>
      <c r="B1159" t="str">
        <f t="shared" si="18"/>
        <v>҇</v>
      </c>
    </row>
    <row r="1160" spans="1:2" x14ac:dyDescent="0.25">
      <c r="A1160">
        <v>1160</v>
      </c>
      <c r="B1160" t="str">
        <f t="shared" si="18"/>
        <v>҈</v>
      </c>
    </row>
    <row r="1161" spans="1:2" x14ac:dyDescent="0.25">
      <c r="A1161">
        <v>1161</v>
      </c>
      <c r="B1161" t="str">
        <f t="shared" si="18"/>
        <v>҉</v>
      </c>
    </row>
    <row r="1162" spans="1:2" x14ac:dyDescent="0.25">
      <c r="A1162">
        <v>1162</v>
      </c>
      <c r="B1162" t="str">
        <f t="shared" si="18"/>
        <v>Ҋ</v>
      </c>
    </row>
    <row r="1163" spans="1:2" x14ac:dyDescent="0.25">
      <c r="A1163">
        <v>1163</v>
      </c>
      <c r="B1163" t="str">
        <f t="shared" si="18"/>
        <v>ҋ</v>
      </c>
    </row>
    <row r="1164" spans="1:2" x14ac:dyDescent="0.25">
      <c r="A1164">
        <v>1164</v>
      </c>
      <c r="B1164" t="str">
        <f t="shared" si="18"/>
        <v>Ҍ</v>
      </c>
    </row>
    <row r="1165" spans="1:2" x14ac:dyDescent="0.25">
      <c r="A1165">
        <v>1165</v>
      </c>
      <c r="B1165" t="str">
        <f t="shared" si="18"/>
        <v>ҍ</v>
      </c>
    </row>
    <row r="1166" spans="1:2" x14ac:dyDescent="0.25">
      <c r="A1166">
        <v>1166</v>
      </c>
      <c r="B1166" t="str">
        <f t="shared" si="18"/>
        <v>Ҏ</v>
      </c>
    </row>
    <row r="1167" spans="1:2" x14ac:dyDescent="0.25">
      <c r="A1167">
        <v>1167</v>
      </c>
      <c r="B1167" t="str">
        <f t="shared" si="18"/>
        <v>ҏ</v>
      </c>
    </row>
    <row r="1168" spans="1:2" x14ac:dyDescent="0.25">
      <c r="A1168">
        <v>1168</v>
      </c>
      <c r="B1168" t="str">
        <f t="shared" si="18"/>
        <v>Ґ</v>
      </c>
    </row>
    <row r="1169" spans="1:2" x14ac:dyDescent="0.25">
      <c r="A1169">
        <v>1169</v>
      </c>
      <c r="B1169" t="str">
        <f t="shared" si="18"/>
        <v>ґ</v>
      </c>
    </row>
    <row r="1170" spans="1:2" x14ac:dyDescent="0.25">
      <c r="A1170">
        <v>1170</v>
      </c>
      <c r="B1170" t="str">
        <f t="shared" si="18"/>
        <v>Ғ</v>
      </c>
    </row>
    <row r="1171" spans="1:2" x14ac:dyDescent="0.25">
      <c r="A1171">
        <v>1171</v>
      </c>
      <c r="B1171" t="str">
        <f t="shared" si="18"/>
        <v>ғ</v>
      </c>
    </row>
    <row r="1172" spans="1:2" x14ac:dyDescent="0.25">
      <c r="A1172">
        <v>1172</v>
      </c>
      <c r="B1172" t="str">
        <f t="shared" si="18"/>
        <v>Ҕ</v>
      </c>
    </row>
    <row r="1173" spans="1:2" x14ac:dyDescent="0.25">
      <c r="A1173">
        <v>1173</v>
      </c>
      <c r="B1173" t="str">
        <f t="shared" si="18"/>
        <v>ҕ</v>
      </c>
    </row>
    <row r="1174" spans="1:2" x14ac:dyDescent="0.25">
      <c r="A1174">
        <v>1174</v>
      </c>
      <c r="B1174" t="str">
        <f t="shared" si="18"/>
        <v>Җ</v>
      </c>
    </row>
    <row r="1175" spans="1:2" x14ac:dyDescent="0.25">
      <c r="A1175">
        <v>1175</v>
      </c>
      <c r="B1175" t="str">
        <f t="shared" si="18"/>
        <v>җ</v>
      </c>
    </row>
    <row r="1176" spans="1:2" x14ac:dyDescent="0.25">
      <c r="A1176">
        <v>1176</v>
      </c>
      <c r="B1176" t="str">
        <f t="shared" si="18"/>
        <v>Ҙ</v>
      </c>
    </row>
    <row r="1177" spans="1:2" x14ac:dyDescent="0.25">
      <c r="A1177">
        <v>1177</v>
      </c>
      <c r="B1177" t="str">
        <f t="shared" si="18"/>
        <v>ҙ</v>
      </c>
    </row>
    <row r="1178" spans="1:2" x14ac:dyDescent="0.25">
      <c r="A1178">
        <v>1178</v>
      </c>
      <c r="B1178" t="str">
        <f t="shared" si="18"/>
        <v>Қ</v>
      </c>
    </row>
    <row r="1179" spans="1:2" x14ac:dyDescent="0.25">
      <c r="A1179">
        <v>1179</v>
      </c>
      <c r="B1179" t="str">
        <f t="shared" si="18"/>
        <v>қ</v>
      </c>
    </row>
    <row r="1180" spans="1:2" x14ac:dyDescent="0.25">
      <c r="A1180">
        <v>1180</v>
      </c>
      <c r="B1180" t="str">
        <f t="shared" si="18"/>
        <v>Ҝ</v>
      </c>
    </row>
    <row r="1181" spans="1:2" x14ac:dyDescent="0.25">
      <c r="A1181">
        <v>1181</v>
      </c>
      <c r="B1181" t="str">
        <f t="shared" si="18"/>
        <v>ҝ</v>
      </c>
    </row>
    <row r="1182" spans="1:2" x14ac:dyDescent="0.25">
      <c r="A1182">
        <v>1182</v>
      </c>
      <c r="B1182" t="str">
        <f t="shared" si="18"/>
        <v>Ҟ</v>
      </c>
    </row>
    <row r="1183" spans="1:2" x14ac:dyDescent="0.25">
      <c r="A1183">
        <v>1183</v>
      </c>
      <c r="B1183" t="str">
        <f t="shared" si="18"/>
        <v>ҟ</v>
      </c>
    </row>
    <row r="1184" spans="1:2" x14ac:dyDescent="0.25">
      <c r="A1184">
        <v>1184</v>
      </c>
      <c r="B1184" t="str">
        <f t="shared" si="18"/>
        <v>Ҡ</v>
      </c>
    </row>
    <row r="1185" spans="1:2" x14ac:dyDescent="0.25">
      <c r="A1185">
        <v>1185</v>
      </c>
      <c r="B1185" t="str">
        <f t="shared" si="18"/>
        <v>ҡ</v>
      </c>
    </row>
    <row r="1186" spans="1:2" x14ac:dyDescent="0.25">
      <c r="A1186">
        <v>1186</v>
      </c>
      <c r="B1186" t="str">
        <f t="shared" si="18"/>
        <v>Ң</v>
      </c>
    </row>
    <row r="1187" spans="1:2" x14ac:dyDescent="0.25">
      <c r="A1187">
        <v>1187</v>
      </c>
      <c r="B1187" t="str">
        <f t="shared" si="18"/>
        <v>ң</v>
      </c>
    </row>
    <row r="1188" spans="1:2" x14ac:dyDescent="0.25">
      <c r="A1188">
        <v>1188</v>
      </c>
      <c r="B1188" t="str">
        <f t="shared" si="18"/>
        <v>Ҥ</v>
      </c>
    </row>
    <row r="1189" spans="1:2" x14ac:dyDescent="0.25">
      <c r="A1189">
        <v>1189</v>
      </c>
      <c r="B1189" t="str">
        <f t="shared" si="18"/>
        <v>ҥ</v>
      </c>
    </row>
    <row r="1190" spans="1:2" x14ac:dyDescent="0.25">
      <c r="A1190">
        <v>1190</v>
      </c>
      <c r="B1190" t="str">
        <f t="shared" si="18"/>
        <v>Ҧ</v>
      </c>
    </row>
    <row r="1191" spans="1:2" x14ac:dyDescent="0.25">
      <c r="A1191">
        <v>1191</v>
      </c>
      <c r="B1191" t="str">
        <f t="shared" si="18"/>
        <v>ҧ</v>
      </c>
    </row>
    <row r="1192" spans="1:2" x14ac:dyDescent="0.25">
      <c r="A1192">
        <v>1192</v>
      </c>
      <c r="B1192" t="str">
        <f t="shared" si="18"/>
        <v>Ҩ</v>
      </c>
    </row>
    <row r="1193" spans="1:2" x14ac:dyDescent="0.25">
      <c r="A1193">
        <v>1193</v>
      </c>
      <c r="B1193" t="str">
        <f t="shared" si="18"/>
        <v>ҩ</v>
      </c>
    </row>
    <row r="1194" spans="1:2" x14ac:dyDescent="0.25">
      <c r="A1194">
        <v>1194</v>
      </c>
      <c r="B1194" t="str">
        <f t="shared" si="18"/>
        <v>Ҫ</v>
      </c>
    </row>
    <row r="1195" spans="1:2" x14ac:dyDescent="0.25">
      <c r="A1195">
        <v>1195</v>
      </c>
      <c r="B1195" t="str">
        <f t="shared" si="18"/>
        <v>ҫ</v>
      </c>
    </row>
    <row r="1196" spans="1:2" x14ac:dyDescent="0.25">
      <c r="A1196">
        <v>1196</v>
      </c>
      <c r="B1196" t="str">
        <f t="shared" si="18"/>
        <v>Ҭ</v>
      </c>
    </row>
    <row r="1197" spans="1:2" x14ac:dyDescent="0.25">
      <c r="A1197">
        <v>1197</v>
      </c>
      <c r="B1197" t="str">
        <f t="shared" si="18"/>
        <v>ҭ</v>
      </c>
    </row>
    <row r="1198" spans="1:2" x14ac:dyDescent="0.25">
      <c r="A1198">
        <v>1198</v>
      </c>
      <c r="B1198" t="str">
        <f t="shared" si="18"/>
        <v>Ү</v>
      </c>
    </row>
    <row r="1199" spans="1:2" x14ac:dyDescent="0.25">
      <c r="A1199">
        <v>1199</v>
      </c>
      <c r="B1199" t="str">
        <f t="shared" si="18"/>
        <v>ү</v>
      </c>
    </row>
    <row r="1200" spans="1:2" x14ac:dyDescent="0.25">
      <c r="A1200">
        <v>1200</v>
      </c>
      <c r="B1200" t="str">
        <f t="shared" si="18"/>
        <v>Ұ</v>
      </c>
    </row>
    <row r="1201" spans="1:2" x14ac:dyDescent="0.25">
      <c r="A1201">
        <v>1201</v>
      </c>
      <c r="B1201" t="str">
        <f t="shared" si="18"/>
        <v>ұ</v>
      </c>
    </row>
    <row r="1202" spans="1:2" x14ac:dyDescent="0.25">
      <c r="A1202">
        <v>1202</v>
      </c>
      <c r="B1202" t="str">
        <f t="shared" si="18"/>
        <v>Ҳ</v>
      </c>
    </row>
    <row r="1203" spans="1:2" x14ac:dyDescent="0.25">
      <c r="A1203">
        <v>1203</v>
      </c>
      <c r="B1203" t="str">
        <f t="shared" si="18"/>
        <v>ҳ</v>
      </c>
    </row>
    <row r="1204" spans="1:2" x14ac:dyDescent="0.25">
      <c r="A1204">
        <v>1204</v>
      </c>
      <c r="B1204" t="str">
        <f t="shared" si="18"/>
        <v>Ҵ</v>
      </c>
    </row>
    <row r="1205" spans="1:2" x14ac:dyDescent="0.25">
      <c r="A1205">
        <v>1205</v>
      </c>
      <c r="B1205" t="str">
        <f t="shared" si="18"/>
        <v>ҵ</v>
      </c>
    </row>
    <row r="1206" spans="1:2" x14ac:dyDescent="0.25">
      <c r="A1206">
        <v>1206</v>
      </c>
      <c r="B1206" t="str">
        <f t="shared" si="18"/>
        <v>Ҷ</v>
      </c>
    </row>
    <row r="1207" spans="1:2" x14ac:dyDescent="0.25">
      <c r="A1207">
        <v>1207</v>
      </c>
      <c r="B1207" t="str">
        <f t="shared" si="18"/>
        <v>ҷ</v>
      </c>
    </row>
    <row r="1208" spans="1:2" x14ac:dyDescent="0.25">
      <c r="A1208">
        <v>1208</v>
      </c>
      <c r="B1208" t="str">
        <f t="shared" si="18"/>
        <v>Ҹ</v>
      </c>
    </row>
    <row r="1209" spans="1:2" x14ac:dyDescent="0.25">
      <c r="A1209">
        <v>1209</v>
      </c>
      <c r="B1209" t="str">
        <f t="shared" si="18"/>
        <v>ҹ</v>
      </c>
    </row>
    <row r="1210" spans="1:2" x14ac:dyDescent="0.25">
      <c r="A1210">
        <v>1210</v>
      </c>
      <c r="B1210" t="str">
        <f t="shared" si="18"/>
        <v>Һ</v>
      </c>
    </row>
    <row r="1211" spans="1:2" x14ac:dyDescent="0.25">
      <c r="A1211">
        <v>1211</v>
      </c>
      <c r="B1211" t="str">
        <f t="shared" si="18"/>
        <v>һ</v>
      </c>
    </row>
    <row r="1212" spans="1:2" x14ac:dyDescent="0.25">
      <c r="A1212">
        <v>1212</v>
      </c>
      <c r="B1212" t="str">
        <f t="shared" si="18"/>
        <v>Ҽ</v>
      </c>
    </row>
    <row r="1213" spans="1:2" x14ac:dyDescent="0.25">
      <c r="A1213">
        <v>1213</v>
      </c>
      <c r="B1213" t="str">
        <f t="shared" si="18"/>
        <v>ҽ</v>
      </c>
    </row>
    <row r="1214" spans="1:2" x14ac:dyDescent="0.25">
      <c r="A1214">
        <v>1214</v>
      </c>
      <c r="B1214" t="str">
        <f t="shared" si="18"/>
        <v>Ҿ</v>
      </c>
    </row>
    <row r="1215" spans="1:2" x14ac:dyDescent="0.25">
      <c r="A1215">
        <v>1215</v>
      </c>
      <c r="B1215" t="str">
        <f t="shared" si="18"/>
        <v>ҿ</v>
      </c>
    </row>
    <row r="1216" spans="1:2" x14ac:dyDescent="0.25">
      <c r="A1216">
        <v>1216</v>
      </c>
      <c r="B1216" t="str">
        <f t="shared" si="18"/>
        <v>Ӏ</v>
      </c>
    </row>
    <row r="1217" spans="1:2" x14ac:dyDescent="0.25">
      <c r="A1217">
        <v>1217</v>
      </c>
      <c r="B1217" t="str">
        <f t="shared" si="18"/>
        <v>Ӂ</v>
      </c>
    </row>
    <row r="1218" spans="1:2" x14ac:dyDescent="0.25">
      <c r="A1218">
        <v>1218</v>
      </c>
      <c r="B1218" t="str">
        <f t="shared" ref="B1218:B1281" si="19">_xlfn.UNICHAR(A1218)</f>
        <v>ӂ</v>
      </c>
    </row>
    <row r="1219" spans="1:2" x14ac:dyDescent="0.25">
      <c r="A1219">
        <v>1219</v>
      </c>
      <c r="B1219" t="str">
        <f t="shared" si="19"/>
        <v>Ӄ</v>
      </c>
    </row>
    <row r="1220" spans="1:2" x14ac:dyDescent="0.25">
      <c r="A1220">
        <v>1220</v>
      </c>
      <c r="B1220" t="str">
        <f t="shared" si="19"/>
        <v>ӄ</v>
      </c>
    </row>
    <row r="1221" spans="1:2" x14ac:dyDescent="0.25">
      <c r="A1221">
        <v>1221</v>
      </c>
      <c r="B1221" t="str">
        <f t="shared" si="19"/>
        <v>Ӆ</v>
      </c>
    </row>
    <row r="1222" spans="1:2" x14ac:dyDescent="0.25">
      <c r="A1222">
        <v>1222</v>
      </c>
      <c r="B1222" t="str">
        <f t="shared" si="19"/>
        <v>ӆ</v>
      </c>
    </row>
    <row r="1223" spans="1:2" x14ac:dyDescent="0.25">
      <c r="A1223">
        <v>1223</v>
      </c>
      <c r="B1223" t="str">
        <f t="shared" si="19"/>
        <v>Ӈ</v>
      </c>
    </row>
    <row r="1224" spans="1:2" x14ac:dyDescent="0.25">
      <c r="A1224">
        <v>1224</v>
      </c>
      <c r="B1224" t="str">
        <f t="shared" si="19"/>
        <v>ӈ</v>
      </c>
    </row>
    <row r="1225" spans="1:2" x14ac:dyDescent="0.25">
      <c r="A1225">
        <v>1225</v>
      </c>
      <c r="B1225" t="str">
        <f t="shared" si="19"/>
        <v>Ӊ</v>
      </c>
    </row>
    <row r="1226" spans="1:2" x14ac:dyDescent="0.25">
      <c r="A1226">
        <v>1226</v>
      </c>
      <c r="B1226" t="str">
        <f t="shared" si="19"/>
        <v>ӊ</v>
      </c>
    </row>
    <row r="1227" spans="1:2" x14ac:dyDescent="0.25">
      <c r="A1227">
        <v>1227</v>
      </c>
      <c r="B1227" t="str">
        <f t="shared" si="19"/>
        <v>Ӌ</v>
      </c>
    </row>
    <row r="1228" spans="1:2" x14ac:dyDescent="0.25">
      <c r="A1228">
        <v>1228</v>
      </c>
      <c r="B1228" t="str">
        <f t="shared" si="19"/>
        <v>ӌ</v>
      </c>
    </row>
    <row r="1229" spans="1:2" x14ac:dyDescent="0.25">
      <c r="A1229">
        <v>1229</v>
      </c>
      <c r="B1229" t="str">
        <f t="shared" si="19"/>
        <v>Ӎ</v>
      </c>
    </row>
    <row r="1230" spans="1:2" x14ac:dyDescent="0.25">
      <c r="A1230">
        <v>1230</v>
      </c>
      <c r="B1230" t="str">
        <f t="shared" si="19"/>
        <v>ӎ</v>
      </c>
    </row>
    <row r="1231" spans="1:2" x14ac:dyDescent="0.25">
      <c r="A1231">
        <v>1231</v>
      </c>
      <c r="B1231" t="str">
        <f t="shared" si="19"/>
        <v>ӏ</v>
      </c>
    </row>
    <row r="1232" spans="1:2" x14ac:dyDescent="0.25">
      <c r="A1232">
        <v>1232</v>
      </c>
      <c r="B1232" t="str">
        <f t="shared" si="19"/>
        <v>Ӑ</v>
      </c>
    </row>
    <row r="1233" spans="1:2" x14ac:dyDescent="0.25">
      <c r="A1233">
        <v>1233</v>
      </c>
      <c r="B1233" t="str">
        <f t="shared" si="19"/>
        <v>ӑ</v>
      </c>
    </row>
    <row r="1234" spans="1:2" x14ac:dyDescent="0.25">
      <c r="A1234">
        <v>1234</v>
      </c>
      <c r="B1234" t="str">
        <f t="shared" si="19"/>
        <v>Ӓ</v>
      </c>
    </row>
    <row r="1235" spans="1:2" x14ac:dyDescent="0.25">
      <c r="A1235">
        <v>1235</v>
      </c>
      <c r="B1235" t="str">
        <f t="shared" si="19"/>
        <v>ӓ</v>
      </c>
    </row>
    <row r="1236" spans="1:2" x14ac:dyDescent="0.25">
      <c r="A1236">
        <v>1236</v>
      </c>
      <c r="B1236" t="str">
        <f t="shared" si="19"/>
        <v>Ӕ</v>
      </c>
    </row>
    <row r="1237" spans="1:2" x14ac:dyDescent="0.25">
      <c r="A1237">
        <v>1237</v>
      </c>
      <c r="B1237" t="str">
        <f t="shared" si="19"/>
        <v>ӕ</v>
      </c>
    </row>
    <row r="1238" spans="1:2" x14ac:dyDescent="0.25">
      <c r="A1238">
        <v>1238</v>
      </c>
      <c r="B1238" t="str">
        <f t="shared" si="19"/>
        <v>Ӗ</v>
      </c>
    </row>
    <row r="1239" spans="1:2" x14ac:dyDescent="0.25">
      <c r="A1239">
        <v>1239</v>
      </c>
      <c r="B1239" t="str">
        <f t="shared" si="19"/>
        <v>ӗ</v>
      </c>
    </row>
    <row r="1240" spans="1:2" x14ac:dyDescent="0.25">
      <c r="A1240">
        <v>1240</v>
      </c>
      <c r="B1240" t="str">
        <f t="shared" si="19"/>
        <v>Ә</v>
      </c>
    </row>
    <row r="1241" spans="1:2" x14ac:dyDescent="0.25">
      <c r="A1241">
        <v>1241</v>
      </c>
      <c r="B1241" t="str">
        <f t="shared" si="19"/>
        <v>ә</v>
      </c>
    </row>
    <row r="1242" spans="1:2" x14ac:dyDescent="0.25">
      <c r="A1242">
        <v>1242</v>
      </c>
      <c r="B1242" t="str">
        <f t="shared" si="19"/>
        <v>Ӛ</v>
      </c>
    </row>
    <row r="1243" spans="1:2" x14ac:dyDescent="0.25">
      <c r="A1243">
        <v>1243</v>
      </c>
      <c r="B1243" t="str">
        <f t="shared" si="19"/>
        <v>ӛ</v>
      </c>
    </row>
    <row r="1244" spans="1:2" x14ac:dyDescent="0.25">
      <c r="A1244">
        <v>1244</v>
      </c>
      <c r="B1244" t="str">
        <f t="shared" si="19"/>
        <v>Ӝ</v>
      </c>
    </row>
    <row r="1245" spans="1:2" x14ac:dyDescent="0.25">
      <c r="A1245">
        <v>1245</v>
      </c>
      <c r="B1245" t="str">
        <f t="shared" si="19"/>
        <v>ӝ</v>
      </c>
    </row>
    <row r="1246" spans="1:2" x14ac:dyDescent="0.25">
      <c r="A1246">
        <v>1246</v>
      </c>
      <c r="B1246" t="str">
        <f t="shared" si="19"/>
        <v>Ӟ</v>
      </c>
    </row>
    <row r="1247" spans="1:2" x14ac:dyDescent="0.25">
      <c r="A1247">
        <v>1247</v>
      </c>
      <c r="B1247" t="str">
        <f t="shared" si="19"/>
        <v>ӟ</v>
      </c>
    </row>
    <row r="1248" spans="1:2" x14ac:dyDescent="0.25">
      <c r="A1248">
        <v>1248</v>
      </c>
      <c r="B1248" t="str">
        <f t="shared" si="19"/>
        <v>Ӡ</v>
      </c>
    </row>
    <row r="1249" spans="1:2" x14ac:dyDescent="0.25">
      <c r="A1249">
        <v>1249</v>
      </c>
      <c r="B1249" t="str">
        <f t="shared" si="19"/>
        <v>ӡ</v>
      </c>
    </row>
    <row r="1250" spans="1:2" x14ac:dyDescent="0.25">
      <c r="A1250">
        <v>1250</v>
      </c>
      <c r="B1250" t="str">
        <f t="shared" si="19"/>
        <v>Ӣ</v>
      </c>
    </row>
    <row r="1251" spans="1:2" x14ac:dyDescent="0.25">
      <c r="A1251">
        <v>1251</v>
      </c>
      <c r="B1251" t="str">
        <f t="shared" si="19"/>
        <v>ӣ</v>
      </c>
    </row>
    <row r="1252" spans="1:2" x14ac:dyDescent="0.25">
      <c r="A1252">
        <v>1252</v>
      </c>
      <c r="B1252" t="str">
        <f t="shared" si="19"/>
        <v>Ӥ</v>
      </c>
    </row>
    <row r="1253" spans="1:2" x14ac:dyDescent="0.25">
      <c r="A1253">
        <v>1253</v>
      </c>
      <c r="B1253" t="str">
        <f t="shared" si="19"/>
        <v>ӥ</v>
      </c>
    </row>
    <row r="1254" spans="1:2" x14ac:dyDescent="0.25">
      <c r="A1254">
        <v>1254</v>
      </c>
      <c r="B1254" t="str">
        <f t="shared" si="19"/>
        <v>Ӧ</v>
      </c>
    </row>
    <row r="1255" spans="1:2" x14ac:dyDescent="0.25">
      <c r="A1255">
        <v>1255</v>
      </c>
      <c r="B1255" t="str">
        <f t="shared" si="19"/>
        <v>ӧ</v>
      </c>
    </row>
    <row r="1256" spans="1:2" x14ac:dyDescent="0.25">
      <c r="A1256">
        <v>1256</v>
      </c>
      <c r="B1256" t="str">
        <f t="shared" si="19"/>
        <v>Ө</v>
      </c>
    </row>
    <row r="1257" spans="1:2" x14ac:dyDescent="0.25">
      <c r="A1257">
        <v>1257</v>
      </c>
      <c r="B1257" t="str">
        <f t="shared" si="19"/>
        <v>ө</v>
      </c>
    </row>
    <row r="1258" spans="1:2" x14ac:dyDescent="0.25">
      <c r="A1258">
        <v>1258</v>
      </c>
      <c r="B1258" t="str">
        <f t="shared" si="19"/>
        <v>Ӫ</v>
      </c>
    </row>
    <row r="1259" spans="1:2" x14ac:dyDescent="0.25">
      <c r="A1259">
        <v>1259</v>
      </c>
      <c r="B1259" t="str">
        <f t="shared" si="19"/>
        <v>ӫ</v>
      </c>
    </row>
    <row r="1260" spans="1:2" x14ac:dyDescent="0.25">
      <c r="A1260">
        <v>1260</v>
      </c>
      <c r="B1260" t="str">
        <f t="shared" si="19"/>
        <v>Ӭ</v>
      </c>
    </row>
    <row r="1261" spans="1:2" x14ac:dyDescent="0.25">
      <c r="A1261">
        <v>1261</v>
      </c>
      <c r="B1261" t="str">
        <f t="shared" si="19"/>
        <v>ӭ</v>
      </c>
    </row>
    <row r="1262" spans="1:2" x14ac:dyDescent="0.25">
      <c r="A1262">
        <v>1262</v>
      </c>
      <c r="B1262" t="str">
        <f t="shared" si="19"/>
        <v>Ӯ</v>
      </c>
    </row>
    <row r="1263" spans="1:2" x14ac:dyDescent="0.25">
      <c r="A1263">
        <v>1263</v>
      </c>
      <c r="B1263" t="str">
        <f t="shared" si="19"/>
        <v>ӯ</v>
      </c>
    </row>
    <row r="1264" spans="1:2" x14ac:dyDescent="0.25">
      <c r="A1264">
        <v>1264</v>
      </c>
      <c r="B1264" t="str">
        <f t="shared" si="19"/>
        <v>Ӱ</v>
      </c>
    </row>
    <row r="1265" spans="1:2" x14ac:dyDescent="0.25">
      <c r="A1265">
        <v>1265</v>
      </c>
      <c r="B1265" t="str">
        <f t="shared" si="19"/>
        <v>ӱ</v>
      </c>
    </row>
    <row r="1266" spans="1:2" x14ac:dyDescent="0.25">
      <c r="A1266">
        <v>1266</v>
      </c>
      <c r="B1266" t="str">
        <f t="shared" si="19"/>
        <v>Ӳ</v>
      </c>
    </row>
    <row r="1267" spans="1:2" x14ac:dyDescent="0.25">
      <c r="A1267">
        <v>1267</v>
      </c>
      <c r="B1267" t="str">
        <f t="shared" si="19"/>
        <v>ӳ</v>
      </c>
    </row>
    <row r="1268" spans="1:2" x14ac:dyDescent="0.25">
      <c r="A1268">
        <v>1268</v>
      </c>
      <c r="B1268" t="str">
        <f t="shared" si="19"/>
        <v>Ӵ</v>
      </c>
    </row>
    <row r="1269" spans="1:2" x14ac:dyDescent="0.25">
      <c r="A1269">
        <v>1269</v>
      </c>
      <c r="B1269" t="str">
        <f t="shared" si="19"/>
        <v>ӵ</v>
      </c>
    </row>
    <row r="1270" spans="1:2" x14ac:dyDescent="0.25">
      <c r="A1270">
        <v>1270</v>
      </c>
      <c r="B1270" t="str">
        <f t="shared" si="19"/>
        <v>Ӷ</v>
      </c>
    </row>
    <row r="1271" spans="1:2" x14ac:dyDescent="0.25">
      <c r="A1271">
        <v>1271</v>
      </c>
      <c r="B1271" t="str">
        <f t="shared" si="19"/>
        <v>ӷ</v>
      </c>
    </row>
    <row r="1272" spans="1:2" x14ac:dyDescent="0.25">
      <c r="A1272">
        <v>1272</v>
      </c>
      <c r="B1272" t="str">
        <f t="shared" si="19"/>
        <v>Ӹ</v>
      </c>
    </row>
    <row r="1273" spans="1:2" x14ac:dyDescent="0.25">
      <c r="A1273">
        <v>1273</v>
      </c>
      <c r="B1273" t="str">
        <f t="shared" si="19"/>
        <v>ӹ</v>
      </c>
    </row>
    <row r="1274" spans="1:2" x14ac:dyDescent="0.25">
      <c r="A1274">
        <v>1274</v>
      </c>
      <c r="B1274" t="str">
        <f t="shared" si="19"/>
        <v>Ӻ</v>
      </c>
    </row>
    <row r="1275" spans="1:2" x14ac:dyDescent="0.25">
      <c r="A1275">
        <v>1275</v>
      </c>
      <c r="B1275" t="str">
        <f t="shared" si="19"/>
        <v>ӻ</v>
      </c>
    </row>
    <row r="1276" spans="1:2" x14ac:dyDescent="0.25">
      <c r="A1276">
        <v>1276</v>
      </c>
      <c r="B1276" t="str">
        <f t="shared" si="19"/>
        <v>Ӽ</v>
      </c>
    </row>
    <row r="1277" spans="1:2" x14ac:dyDescent="0.25">
      <c r="A1277">
        <v>1277</v>
      </c>
      <c r="B1277" t="str">
        <f t="shared" si="19"/>
        <v>ӽ</v>
      </c>
    </row>
    <row r="1278" spans="1:2" x14ac:dyDescent="0.25">
      <c r="A1278">
        <v>1278</v>
      </c>
      <c r="B1278" t="str">
        <f t="shared" si="19"/>
        <v>Ӿ</v>
      </c>
    </row>
    <row r="1279" spans="1:2" x14ac:dyDescent="0.25">
      <c r="A1279">
        <v>1279</v>
      </c>
      <c r="B1279" t="str">
        <f t="shared" si="19"/>
        <v>ӿ</v>
      </c>
    </row>
    <row r="1280" spans="1:2" x14ac:dyDescent="0.25">
      <c r="A1280">
        <v>1280</v>
      </c>
      <c r="B1280" t="str">
        <f t="shared" si="19"/>
        <v>Ԁ</v>
      </c>
    </row>
    <row r="1281" spans="1:2" x14ac:dyDescent="0.25">
      <c r="A1281">
        <v>1281</v>
      </c>
      <c r="B1281" t="str">
        <f t="shared" si="19"/>
        <v>ԁ</v>
      </c>
    </row>
    <row r="1282" spans="1:2" x14ac:dyDescent="0.25">
      <c r="A1282">
        <v>1282</v>
      </c>
      <c r="B1282" t="str">
        <f t="shared" ref="B1282:B1345" si="20">_xlfn.UNICHAR(A1282)</f>
        <v>Ԃ</v>
      </c>
    </row>
    <row r="1283" spans="1:2" x14ac:dyDescent="0.25">
      <c r="A1283">
        <v>1283</v>
      </c>
      <c r="B1283" t="str">
        <f t="shared" si="20"/>
        <v>ԃ</v>
      </c>
    </row>
    <row r="1284" spans="1:2" x14ac:dyDescent="0.25">
      <c r="A1284">
        <v>1284</v>
      </c>
      <c r="B1284" t="str">
        <f t="shared" si="20"/>
        <v>Ԅ</v>
      </c>
    </row>
    <row r="1285" spans="1:2" x14ac:dyDescent="0.25">
      <c r="A1285">
        <v>1285</v>
      </c>
      <c r="B1285" t="str">
        <f t="shared" si="20"/>
        <v>ԅ</v>
      </c>
    </row>
    <row r="1286" spans="1:2" x14ac:dyDescent="0.25">
      <c r="A1286">
        <v>1286</v>
      </c>
      <c r="B1286" t="str">
        <f t="shared" si="20"/>
        <v>Ԇ</v>
      </c>
    </row>
    <row r="1287" spans="1:2" x14ac:dyDescent="0.25">
      <c r="A1287">
        <v>1287</v>
      </c>
      <c r="B1287" t="str">
        <f t="shared" si="20"/>
        <v>ԇ</v>
      </c>
    </row>
    <row r="1288" spans="1:2" x14ac:dyDescent="0.25">
      <c r="A1288">
        <v>1288</v>
      </c>
      <c r="B1288" t="str">
        <f t="shared" si="20"/>
        <v>Ԉ</v>
      </c>
    </row>
    <row r="1289" spans="1:2" x14ac:dyDescent="0.25">
      <c r="A1289">
        <v>1289</v>
      </c>
      <c r="B1289" t="str">
        <f t="shared" si="20"/>
        <v>ԉ</v>
      </c>
    </row>
    <row r="1290" spans="1:2" x14ac:dyDescent="0.25">
      <c r="A1290">
        <v>1290</v>
      </c>
      <c r="B1290" t="str">
        <f t="shared" si="20"/>
        <v>Ԋ</v>
      </c>
    </row>
    <row r="1291" spans="1:2" x14ac:dyDescent="0.25">
      <c r="A1291">
        <v>1291</v>
      </c>
      <c r="B1291" t="str">
        <f t="shared" si="20"/>
        <v>ԋ</v>
      </c>
    </row>
    <row r="1292" spans="1:2" x14ac:dyDescent="0.25">
      <c r="A1292">
        <v>1292</v>
      </c>
      <c r="B1292" t="str">
        <f t="shared" si="20"/>
        <v>Ԍ</v>
      </c>
    </row>
    <row r="1293" spans="1:2" x14ac:dyDescent="0.25">
      <c r="A1293">
        <v>1293</v>
      </c>
      <c r="B1293" t="str">
        <f t="shared" si="20"/>
        <v>ԍ</v>
      </c>
    </row>
    <row r="1294" spans="1:2" x14ac:dyDescent="0.25">
      <c r="A1294">
        <v>1294</v>
      </c>
      <c r="B1294" t="str">
        <f t="shared" si="20"/>
        <v>Ԏ</v>
      </c>
    </row>
    <row r="1295" spans="1:2" x14ac:dyDescent="0.25">
      <c r="A1295">
        <v>1295</v>
      </c>
      <c r="B1295" t="str">
        <f t="shared" si="20"/>
        <v>ԏ</v>
      </c>
    </row>
    <row r="1296" spans="1:2" x14ac:dyDescent="0.25">
      <c r="A1296">
        <v>1296</v>
      </c>
      <c r="B1296" t="str">
        <f t="shared" si="20"/>
        <v>Ԑ</v>
      </c>
    </row>
    <row r="1297" spans="1:2" x14ac:dyDescent="0.25">
      <c r="A1297">
        <v>1297</v>
      </c>
      <c r="B1297" t="str">
        <f t="shared" si="20"/>
        <v>ԑ</v>
      </c>
    </row>
    <row r="1298" spans="1:2" x14ac:dyDescent="0.25">
      <c r="A1298">
        <v>1298</v>
      </c>
      <c r="B1298" t="str">
        <f t="shared" si="20"/>
        <v>Ԓ</v>
      </c>
    </row>
    <row r="1299" spans="1:2" x14ac:dyDescent="0.25">
      <c r="A1299">
        <v>1299</v>
      </c>
      <c r="B1299" t="str">
        <f t="shared" si="20"/>
        <v>ԓ</v>
      </c>
    </row>
    <row r="1300" spans="1:2" x14ac:dyDescent="0.25">
      <c r="A1300">
        <v>1300</v>
      </c>
      <c r="B1300" t="str">
        <f t="shared" si="20"/>
        <v>Ԕ</v>
      </c>
    </row>
    <row r="1301" spans="1:2" x14ac:dyDescent="0.25">
      <c r="A1301">
        <v>1301</v>
      </c>
      <c r="B1301" t="str">
        <f t="shared" si="20"/>
        <v>ԕ</v>
      </c>
    </row>
    <row r="1302" spans="1:2" x14ac:dyDescent="0.25">
      <c r="A1302">
        <v>1302</v>
      </c>
      <c r="B1302" t="str">
        <f t="shared" si="20"/>
        <v>Ԗ</v>
      </c>
    </row>
    <row r="1303" spans="1:2" x14ac:dyDescent="0.25">
      <c r="A1303">
        <v>1303</v>
      </c>
      <c r="B1303" t="str">
        <f t="shared" si="20"/>
        <v>ԗ</v>
      </c>
    </row>
    <row r="1304" spans="1:2" x14ac:dyDescent="0.25">
      <c r="A1304">
        <v>1304</v>
      </c>
      <c r="B1304" t="str">
        <f t="shared" si="20"/>
        <v>Ԙ</v>
      </c>
    </row>
    <row r="1305" spans="1:2" x14ac:dyDescent="0.25">
      <c r="A1305">
        <v>1305</v>
      </c>
      <c r="B1305" t="str">
        <f t="shared" si="20"/>
        <v>ԙ</v>
      </c>
    </row>
    <row r="1306" spans="1:2" x14ac:dyDescent="0.25">
      <c r="A1306">
        <v>1306</v>
      </c>
      <c r="B1306" t="str">
        <f t="shared" si="20"/>
        <v>Ԛ</v>
      </c>
    </row>
    <row r="1307" spans="1:2" x14ac:dyDescent="0.25">
      <c r="A1307">
        <v>1307</v>
      </c>
      <c r="B1307" t="str">
        <f t="shared" si="20"/>
        <v>ԛ</v>
      </c>
    </row>
    <row r="1308" spans="1:2" x14ac:dyDescent="0.25">
      <c r="A1308">
        <v>1308</v>
      </c>
      <c r="B1308" t="str">
        <f t="shared" si="20"/>
        <v>Ԝ</v>
      </c>
    </row>
    <row r="1309" spans="1:2" x14ac:dyDescent="0.25">
      <c r="A1309">
        <v>1309</v>
      </c>
      <c r="B1309" t="str">
        <f t="shared" si="20"/>
        <v>ԝ</v>
      </c>
    </row>
    <row r="1310" spans="1:2" x14ac:dyDescent="0.25">
      <c r="A1310">
        <v>1310</v>
      </c>
      <c r="B1310" t="str">
        <f t="shared" si="20"/>
        <v>Ԟ</v>
      </c>
    </row>
    <row r="1311" spans="1:2" x14ac:dyDescent="0.25">
      <c r="A1311">
        <v>1311</v>
      </c>
      <c r="B1311" t="str">
        <f t="shared" si="20"/>
        <v>ԟ</v>
      </c>
    </row>
    <row r="1312" spans="1:2" x14ac:dyDescent="0.25">
      <c r="A1312">
        <v>1312</v>
      </c>
      <c r="B1312" t="str">
        <f t="shared" si="20"/>
        <v>Ԡ</v>
      </c>
    </row>
    <row r="1313" spans="1:2" x14ac:dyDescent="0.25">
      <c r="A1313">
        <v>1313</v>
      </c>
      <c r="B1313" t="str">
        <f t="shared" si="20"/>
        <v>ԡ</v>
      </c>
    </row>
    <row r="1314" spans="1:2" x14ac:dyDescent="0.25">
      <c r="A1314">
        <v>1314</v>
      </c>
      <c r="B1314" t="str">
        <f t="shared" si="20"/>
        <v>Ԣ</v>
      </c>
    </row>
    <row r="1315" spans="1:2" x14ac:dyDescent="0.25">
      <c r="A1315">
        <v>1315</v>
      </c>
      <c r="B1315" t="str">
        <f t="shared" si="20"/>
        <v>ԣ</v>
      </c>
    </row>
    <row r="1316" spans="1:2" x14ac:dyDescent="0.25">
      <c r="A1316">
        <v>1316</v>
      </c>
      <c r="B1316" t="str">
        <f t="shared" si="20"/>
        <v>Ԥ</v>
      </c>
    </row>
    <row r="1317" spans="1:2" x14ac:dyDescent="0.25">
      <c r="A1317">
        <v>1317</v>
      </c>
      <c r="B1317" t="str">
        <f t="shared" si="20"/>
        <v>ԥ</v>
      </c>
    </row>
    <row r="1318" spans="1:2" x14ac:dyDescent="0.25">
      <c r="A1318">
        <v>1318</v>
      </c>
      <c r="B1318" t="str">
        <f t="shared" si="20"/>
        <v>Ԧ</v>
      </c>
    </row>
    <row r="1319" spans="1:2" x14ac:dyDescent="0.25">
      <c r="A1319">
        <v>1319</v>
      </c>
      <c r="B1319" t="str">
        <f t="shared" si="20"/>
        <v>ԧ</v>
      </c>
    </row>
    <row r="1320" spans="1:2" x14ac:dyDescent="0.25">
      <c r="A1320">
        <v>1320</v>
      </c>
      <c r="B1320" t="str">
        <f t="shared" si="20"/>
        <v>Ԩ</v>
      </c>
    </row>
    <row r="1321" spans="1:2" x14ac:dyDescent="0.25">
      <c r="A1321">
        <v>1321</v>
      </c>
      <c r="B1321" t="str">
        <f t="shared" si="20"/>
        <v>ԩ</v>
      </c>
    </row>
    <row r="1322" spans="1:2" x14ac:dyDescent="0.25">
      <c r="A1322">
        <v>1322</v>
      </c>
      <c r="B1322" t="str">
        <f t="shared" si="20"/>
        <v>Ԫ</v>
      </c>
    </row>
    <row r="1323" spans="1:2" x14ac:dyDescent="0.25">
      <c r="A1323">
        <v>1323</v>
      </c>
      <c r="B1323" t="str">
        <f t="shared" si="20"/>
        <v>ԫ</v>
      </c>
    </row>
    <row r="1324" spans="1:2" x14ac:dyDescent="0.25">
      <c r="A1324">
        <v>1324</v>
      </c>
      <c r="B1324" t="str">
        <f t="shared" si="20"/>
        <v>Ԭ</v>
      </c>
    </row>
    <row r="1325" spans="1:2" x14ac:dyDescent="0.25">
      <c r="A1325">
        <v>1325</v>
      </c>
      <c r="B1325" t="str">
        <f t="shared" si="20"/>
        <v>ԭ</v>
      </c>
    </row>
    <row r="1326" spans="1:2" x14ac:dyDescent="0.25">
      <c r="A1326">
        <v>1326</v>
      </c>
      <c r="B1326" t="str">
        <f t="shared" si="20"/>
        <v>Ԯ</v>
      </c>
    </row>
    <row r="1327" spans="1:2" x14ac:dyDescent="0.25">
      <c r="A1327">
        <v>1327</v>
      </c>
      <c r="B1327" t="str">
        <f t="shared" si="20"/>
        <v>ԯ</v>
      </c>
    </row>
    <row r="1328" spans="1:2" x14ac:dyDescent="0.25">
      <c r="A1328">
        <v>1328</v>
      </c>
      <c r="B1328" t="str">
        <f t="shared" si="20"/>
        <v>԰</v>
      </c>
    </row>
    <row r="1329" spans="1:2" x14ac:dyDescent="0.25">
      <c r="A1329">
        <v>1329</v>
      </c>
      <c r="B1329" t="str">
        <f t="shared" si="20"/>
        <v>Ա</v>
      </c>
    </row>
    <row r="1330" spans="1:2" x14ac:dyDescent="0.25">
      <c r="A1330">
        <v>1330</v>
      </c>
      <c r="B1330" t="str">
        <f t="shared" si="20"/>
        <v>Բ</v>
      </c>
    </row>
    <row r="1331" spans="1:2" x14ac:dyDescent="0.25">
      <c r="A1331">
        <v>1331</v>
      </c>
      <c r="B1331" t="str">
        <f t="shared" si="20"/>
        <v>Գ</v>
      </c>
    </row>
    <row r="1332" spans="1:2" x14ac:dyDescent="0.25">
      <c r="A1332">
        <v>1332</v>
      </c>
      <c r="B1332" t="str">
        <f t="shared" si="20"/>
        <v>Դ</v>
      </c>
    </row>
    <row r="1333" spans="1:2" x14ac:dyDescent="0.25">
      <c r="A1333">
        <v>1333</v>
      </c>
      <c r="B1333" t="str">
        <f t="shared" si="20"/>
        <v>Ե</v>
      </c>
    </row>
    <row r="1334" spans="1:2" x14ac:dyDescent="0.25">
      <c r="A1334">
        <v>1334</v>
      </c>
      <c r="B1334" t="str">
        <f t="shared" si="20"/>
        <v>Զ</v>
      </c>
    </row>
    <row r="1335" spans="1:2" x14ac:dyDescent="0.25">
      <c r="A1335">
        <v>1335</v>
      </c>
      <c r="B1335" t="str">
        <f t="shared" si="20"/>
        <v>Է</v>
      </c>
    </row>
    <row r="1336" spans="1:2" x14ac:dyDescent="0.25">
      <c r="A1336">
        <v>1336</v>
      </c>
      <c r="B1336" t="str">
        <f t="shared" si="20"/>
        <v>Ը</v>
      </c>
    </row>
    <row r="1337" spans="1:2" x14ac:dyDescent="0.25">
      <c r="A1337">
        <v>1337</v>
      </c>
      <c r="B1337" t="str">
        <f t="shared" si="20"/>
        <v>Թ</v>
      </c>
    </row>
    <row r="1338" spans="1:2" x14ac:dyDescent="0.25">
      <c r="A1338">
        <v>1338</v>
      </c>
      <c r="B1338" t="str">
        <f t="shared" si="20"/>
        <v>Ժ</v>
      </c>
    </row>
    <row r="1339" spans="1:2" x14ac:dyDescent="0.25">
      <c r="A1339">
        <v>1339</v>
      </c>
      <c r="B1339" t="str">
        <f t="shared" si="20"/>
        <v>Ի</v>
      </c>
    </row>
    <row r="1340" spans="1:2" x14ac:dyDescent="0.25">
      <c r="A1340">
        <v>1340</v>
      </c>
      <c r="B1340" t="str">
        <f t="shared" si="20"/>
        <v>Լ</v>
      </c>
    </row>
    <row r="1341" spans="1:2" x14ac:dyDescent="0.25">
      <c r="A1341">
        <v>1341</v>
      </c>
      <c r="B1341" t="str">
        <f t="shared" si="20"/>
        <v>Խ</v>
      </c>
    </row>
    <row r="1342" spans="1:2" x14ac:dyDescent="0.25">
      <c r="A1342">
        <v>1342</v>
      </c>
      <c r="B1342" t="str">
        <f t="shared" si="20"/>
        <v>Ծ</v>
      </c>
    </row>
    <row r="1343" spans="1:2" x14ac:dyDescent="0.25">
      <c r="A1343">
        <v>1343</v>
      </c>
      <c r="B1343" t="str">
        <f t="shared" si="20"/>
        <v>Կ</v>
      </c>
    </row>
    <row r="1344" spans="1:2" x14ac:dyDescent="0.25">
      <c r="A1344">
        <v>1344</v>
      </c>
      <c r="B1344" t="str">
        <f t="shared" si="20"/>
        <v>Հ</v>
      </c>
    </row>
    <row r="1345" spans="1:2" x14ac:dyDescent="0.25">
      <c r="A1345">
        <v>1345</v>
      </c>
      <c r="B1345" t="str">
        <f t="shared" si="20"/>
        <v>Ձ</v>
      </c>
    </row>
    <row r="1346" spans="1:2" x14ac:dyDescent="0.25">
      <c r="A1346">
        <v>1346</v>
      </c>
      <c r="B1346" t="str">
        <f t="shared" ref="B1346:B1409" si="21">_xlfn.UNICHAR(A1346)</f>
        <v>Ղ</v>
      </c>
    </row>
    <row r="1347" spans="1:2" x14ac:dyDescent="0.25">
      <c r="A1347">
        <v>1347</v>
      </c>
      <c r="B1347" t="str">
        <f t="shared" si="21"/>
        <v>Ճ</v>
      </c>
    </row>
    <row r="1348" spans="1:2" x14ac:dyDescent="0.25">
      <c r="A1348">
        <v>1348</v>
      </c>
      <c r="B1348" t="str">
        <f t="shared" si="21"/>
        <v>Մ</v>
      </c>
    </row>
    <row r="1349" spans="1:2" x14ac:dyDescent="0.25">
      <c r="A1349">
        <v>1349</v>
      </c>
      <c r="B1349" t="str">
        <f t="shared" si="21"/>
        <v>Յ</v>
      </c>
    </row>
    <row r="1350" spans="1:2" x14ac:dyDescent="0.25">
      <c r="A1350">
        <v>1350</v>
      </c>
      <c r="B1350" t="str">
        <f t="shared" si="21"/>
        <v>Ն</v>
      </c>
    </row>
    <row r="1351" spans="1:2" x14ac:dyDescent="0.25">
      <c r="A1351">
        <v>1351</v>
      </c>
      <c r="B1351" t="str">
        <f t="shared" si="21"/>
        <v>Շ</v>
      </c>
    </row>
    <row r="1352" spans="1:2" x14ac:dyDescent="0.25">
      <c r="A1352">
        <v>1352</v>
      </c>
      <c r="B1352" t="str">
        <f t="shared" si="21"/>
        <v>Ո</v>
      </c>
    </row>
    <row r="1353" spans="1:2" x14ac:dyDescent="0.25">
      <c r="A1353">
        <v>1353</v>
      </c>
      <c r="B1353" t="str">
        <f t="shared" si="21"/>
        <v>Չ</v>
      </c>
    </row>
    <row r="1354" spans="1:2" x14ac:dyDescent="0.25">
      <c r="A1354">
        <v>1354</v>
      </c>
      <c r="B1354" t="str">
        <f t="shared" si="21"/>
        <v>Պ</v>
      </c>
    </row>
    <row r="1355" spans="1:2" x14ac:dyDescent="0.25">
      <c r="A1355">
        <v>1355</v>
      </c>
      <c r="B1355" t="str">
        <f t="shared" si="21"/>
        <v>Ջ</v>
      </c>
    </row>
    <row r="1356" spans="1:2" x14ac:dyDescent="0.25">
      <c r="A1356">
        <v>1356</v>
      </c>
      <c r="B1356" t="str">
        <f t="shared" si="21"/>
        <v>Ռ</v>
      </c>
    </row>
    <row r="1357" spans="1:2" x14ac:dyDescent="0.25">
      <c r="A1357">
        <v>1357</v>
      </c>
      <c r="B1357" t="str">
        <f t="shared" si="21"/>
        <v>Ս</v>
      </c>
    </row>
    <row r="1358" spans="1:2" x14ac:dyDescent="0.25">
      <c r="A1358">
        <v>1358</v>
      </c>
      <c r="B1358" t="str">
        <f t="shared" si="21"/>
        <v>Վ</v>
      </c>
    </row>
    <row r="1359" spans="1:2" x14ac:dyDescent="0.25">
      <c r="A1359">
        <v>1359</v>
      </c>
      <c r="B1359" t="str">
        <f t="shared" si="21"/>
        <v>Տ</v>
      </c>
    </row>
    <row r="1360" spans="1:2" x14ac:dyDescent="0.25">
      <c r="A1360">
        <v>1360</v>
      </c>
      <c r="B1360" t="str">
        <f t="shared" si="21"/>
        <v>Ր</v>
      </c>
    </row>
    <row r="1361" spans="1:2" x14ac:dyDescent="0.25">
      <c r="A1361">
        <v>1361</v>
      </c>
      <c r="B1361" t="str">
        <f t="shared" si="21"/>
        <v>Ց</v>
      </c>
    </row>
    <row r="1362" spans="1:2" x14ac:dyDescent="0.25">
      <c r="A1362">
        <v>1362</v>
      </c>
      <c r="B1362" t="str">
        <f t="shared" si="21"/>
        <v>Ւ</v>
      </c>
    </row>
    <row r="1363" spans="1:2" x14ac:dyDescent="0.25">
      <c r="A1363">
        <v>1363</v>
      </c>
      <c r="B1363" t="str">
        <f t="shared" si="21"/>
        <v>Փ</v>
      </c>
    </row>
    <row r="1364" spans="1:2" x14ac:dyDescent="0.25">
      <c r="A1364">
        <v>1364</v>
      </c>
      <c r="B1364" t="str">
        <f t="shared" si="21"/>
        <v>Ք</v>
      </c>
    </row>
    <row r="1365" spans="1:2" x14ac:dyDescent="0.25">
      <c r="A1365">
        <v>1365</v>
      </c>
      <c r="B1365" t="str">
        <f t="shared" si="21"/>
        <v>Օ</v>
      </c>
    </row>
    <row r="1366" spans="1:2" x14ac:dyDescent="0.25">
      <c r="A1366">
        <v>1366</v>
      </c>
      <c r="B1366" t="str">
        <f t="shared" si="21"/>
        <v>Ֆ</v>
      </c>
    </row>
    <row r="1367" spans="1:2" x14ac:dyDescent="0.25">
      <c r="A1367">
        <v>1367</v>
      </c>
      <c r="B1367" t="str">
        <f t="shared" si="21"/>
        <v>՗</v>
      </c>
    </row>
    <row r="1368" spans="1:2" x14ac:dyDescent="0.25">
      <c r="A1368">
        <v>1368</v>
      </c>
      <c r="B1368" t="str">
        <f t="shared" si="21"/>
        <v>՘</v>
      </c>
    </row>
    <row r="1369" spans="1:2" x14ac:dyDescent="0.25">
      <c r="A1369">
        <v>1369</v>
      </c>
      <c r="B1369" t="str">
        <f t="shared" si="21"/>
        <v>ՙ</v>
      </c>
    </row>
    <row r="1370" spans="1:2" x14ac:dyDescent="0.25">
      <c r="A1370">
        <v>1370</v>
      </c>
      <c r="B1370" t="str">
        <f t="shared" si="21"/>
        <v>՚</v>
      </c>
    </row>
    <row r="1371" spans="1:2" x14ac:dyDescent="0.25">
      <c r="A1371">
        <v>1371</v>
      </c>
      <c r="B1371" t="str">
        <f t="shared" si="21"/>
        <v>՛</v>
      </c>
    </row>
    <row r="1372" spans="1:2" x14ac:dyDescent="0.25">
      <c r="A1372">
        <v>1372</v>
      </c>
      <c r="B1372" t="str">
        <f t="shared" si="21"/>
        <v>՜</v>
      </c>
    </row>
    <row r="1373" spans="1:2" x14ac:dyDescent="0.25">
      <c r="A1373">
        <v>1373</v>
      </c>
      <c r="B1373" t="str">
        <f t="shared" si="21"/>
        <v>՝</v>
      </c>
    </row>
    <row r="1374" spans="1:2" x14ac:dyDescent="0.25">
      <c r="A1374">
        <v>1374</v>
      </c>
      <c r="B1374" t="str">
        <f t="shared" si="21"/>
        <v>՞</v>
      </c>
    </row>
    <row r="1375" spans="1:2" x14ac:dyDescent="0.25">
      <c r="A1375">
        <v>1375</v>
      </c>
      <c r="B1375" t="str">
        <f t="shared" si="21"/>
        <v>՟</v>
      </c>
    </row>
    <row r="1376" spans="1:2" x14ac:dyDescent="0.25">
      <c r="A1376">
        <v>1376</v>
      </c>
      <c r="B1376" t="str">
        <f t="shared" si="21"/>
        <v>ՠ</v>
      </c>
    </row>
    <row r="1377" spans="1:2" x14ac:dyDescent="0.25">
      <c r="A1377">
        <v>1377</v>
      </c>
      <c r="B1377" t="str">
        <f t="shared" si="21"/>
        <v>ա</v>
      </c>
    </row>
    <row r="1378" spans="1:2" x14ac:dyDescent="0.25">
      <c r="A1378">
        <v>1378</v>
      </c>
      <c r="B1378" t="str">
        <f t="shared" si="21"/>
        <v>բ</v>
      </c>
    </row>
    <row r="1379" spans="1:2" x14ac:dyDescent="0.25">
      <c r="A1379">
        <v>1379</v>
      </c>
      <c r="B1379" t="str">
        <f t="shared" si="21"/>
        <v>գ</v>
      </c>
    </row>
    <row r="1380" spans="1:2" x14ac:dyDescent="0.25">
      <c r="A1380">
        <v>1380</v>
      </c>
      <c r="B1380" t="str">
        <f t="shared" si="21"/>
        <v>դ</v>
      </c>
    </row>
    <row r="1381" spans="1:2" x14ac:dyDescent="0.25">
      <c r="A1381">
        <v>1381</v>
      </c>
      <c r="B1381" t="str">
        <f t="shared" si="21"/>
        <v>ե</v>
      </c>
    </row>
    <row r="1382" spans="1:2" x14ac:dyDescent="0.25">
      <c r="A1382">
        <v>1382</v>
      </c>
      <c r="B1382" t="str">
        <f t="shared" si="21"/>
        <v>զ</v>
      </c>
    </row>
    <row r="1383" spans="1:2" x14ac:dyDescent="0.25">
      <c r="A1383">
        <v>1383</v>
      </c>
      <c r="B1383" t="str">
        <f t="shared" si="21"/>
        <v>է</v>
      </c>
    </row>
    <row r="1384" spans="1:2" x14ac:dyDescent="0.25">
      <c r="A1384">
        <v>1384</v>
      </c>
      <c r="B1384" t="str">
        <f t="shared" si="21"/>
        <v>ը</v>
      </c>
    </row>
    <row r="1385" spans="1:2" x14ac:dyDescent="0.25">
      <c r="A1385">
        <v>1385</v>
      </c>
      <c r="B1385" t="str">
        <f t="shared" si="21"/>
        <v>թ</v>
      </c>
    </row>
    <row r="1386" spans="1:2" x14ac:dyDescent="0.25">
      <c r="A1386">
        <v>1386</v>
      </c>
      <c r="B1386" t="str">
        <f t="shared" si="21"/>
        <v>ժ</v>
      </c>
    </row>
    <row r="1387" spans="1:2" x14ac:dyDescent="0.25">
      <c r="A1387">
        <v>1387</v>
      </c>
      <c r="B1387" t="str">
        <f t="shared" si="21"/>
        <v>ի</v>
      </c>
    </row>
    <row r="1388" spans="1:2" x14ac:dyDescent="0.25">
      <c r="A1388">
        <v>1388</v>
      </c>
      <c r="B1388" t="str">
        <f t="shared" si="21"/>
        <v>լ</v>
      </c>
    </row>
    <row r="1389" spans="1:2" x14ac:dyDescent="0.25">
      <c r="A1389">
        <v>1389</v>
      </c>
      <c r="B1389" t="str">
        <f t="shared" si="21"/>
        <v>խ</v>
      </c>
    </row>
    <row r="1390" spans="1:2" x14ac:dyDescent="0.25">
      <c r="A1390">
        <v>1390</v>
      </c>
      <c r="B1390" t="str">
        <f t="shared" si="21"/>
        <v>ծ</v>
      </c>
    </row>
    <row r="1391" spans="1:2" x14ac:dyDescent="0.25">
      <c r="A1391">
        <v>1391</v>
      </c>
      <c r="B1391" t="str">
        <f t="shared" si="21"/>
        <v>կ</v>
      </c>
    </row>
    <row r="1392" spans="1:2" x14ac:dyDescent="0.25">
      <c r="A1392">
        <v>1392</v>
      </c>
      <c r="B1392" t="str">
        <f t="shared" si="21"/>
        <v>հ</v>
      </c>
    </row>
    <row r="1393" spans="1:2" x14ac:dyDescent="0.25">
      <c r="A1393">
        <v>1393</v>
      </c>
      <c r="B1393" t="str">
        <f t="shared" si="21"/>
        <v>ձ</v>
      </c>
    </row>
    <row r="1394" spans="1:2" x14ac:dyDescent="0.25">
      <c r="A1394">
        <v>1394</v>
      </c>
      <c r="B1394" t="str">
        <f t="shared" si="21"/>
        <v>ղ</v>
      </c>
    </row>
    <row r="1395" spans="1:2" x14ac:dyDescent="0.25">
      <c r="A1395">
        <v>1395</v>
      </c>
      <c r="B1395" t="str">
        <f t="shared" si="21"/>
        <v>ճ</v>
      </c>
    </row>
    <row r="1396" spans="1:2" x14ac:dyDescent="0.25">
      <c r="A1396">
        <v>1396</v>
      </c>
      <c r="B1396" t="str">
        <f t="shared" si="21"/>
        <v>մ</v>
      </c>
    </row>
    <row r="1397" spans="1:2" x14ac:dyDescent="0.25">
      <c r="A1397">
        <v>1397</v>
      </c>
      <c r="B1397" t="str">
        <f t="shared" si="21"/>
        <v>յ</v>
      </c>
    </row>
    <row r="1398" spans="1:2" x14ac:dyDescent="0.25">
      <c r="A1398">
        <v>1398</v>
      </c>
      <c r="B1398" t="str">
        <f t="shared" si="21"/>
        <v>ն</v>
      </c>
    </row>
    <row r="1399" spans="1:2" x14ac:dyDescent="0.25">
      <c r="A1399">
        <v>1399</v>
      </c>
      <c r="B1399" t="str">
        <f t="shared" si="21"/>
        <v>շ</v>
      </c>
    </row>
    <row r="1400" spans="1:2" x14ac:dyDescent="0.25">
      <c r="A1400">
        <v>1400</v>
      </c>
      <c r="B1400" t="str">
        <f t="shared" si="21"/>
        <v>ո</v>
      </c>
    </row>
    <row r="1401" spans="1:2" x14ac:dyDescent="0.25">
      <c r="A1401">
        <v>1401</v>
      </c>
      <c r="B1401" t="str">
        <f t="shared" si="21"/>
        <v>չ</v>
      </c>
    </row>
    <row r="1402" spans="1:2" x14ac:dyDescent="0.25">
      <c r="A1402">
        <v>1402</v>
      </c>
      <c r="B1402" t="str">
        <f t="shared" si="21"/>
        <v>պ</v>
      </c>
    </row>
    <row r="1403" spans="1:2" x14ac:dyDescent="0.25">
      <c r="A1403">
        <v>1403</v>
      </c>
      <c r="B1403" t="str">
        <f t="shared" si="21"/>
        <v>ջ</v>
      </c>
    </row>
    <row r="1404" spans="1:2" x14ac:dyDescent="0.25">
      <c r="A1404">
        <v>1404</v>
      </c>
      <c r="B1404" t="str">
        <f t="shared" si="21"/>
        <v>ռ</v>
      </c>
    </row>
    <row r="1405" spans="1:2" x14ac:dyDescent="0.25">
      <c r="A1405">
        <v>1405</v>
      </c>
      <c r="B1405" t="str">
        <f t="shared" si="21"/>
        <v>ս</v>
      </c>
    </row>
    <row r="1406" spans="1:2" x14ac:dyDescent="0.25">
      <c r="A1406">
        <v>1406</v>
      </c>
      <c r="B1406" t="str">
        <f t="shared" si="21"/>
        <v>վ</v>
      </c>
    </row>
    <row r="1407" spans="1:2" x14ac:dyDescent="0.25">
      <c r="A1407">
        <v>1407</v>
      </c>
      <c r="B1407" t="str">
        <f t="shared" si="21"/>
        <v>տ</v>
      </c>
    </row>
    <row r="1408" spans="1:2" x14ac:dyDescent="0.25">
      <c r="A1408">
        <v>1408</v>
      </c>
      <c r="B1408" t="str">
        <f t="shared" si="21"/>
        <v>ր</v>
      </c>
    </row>
    <row r="1409" spans="1:2" x14ac:dyDescent="0.25">
      <c r="A1409">
        <v>1409</v>
      </c>
      <c r="B1409" t="str">
        <f t="shared" si="21"/>
        <v>ց</v>
      </c>
    </row>
    <row r="1410" spans="1:2" x14ac:dyDescent="0.25">
      <c r="A1410">
        <v>1410</v>
      </c>
      <c r="B1410" t="str">
        <f t="shared" ref="B1410:B1473" si="22">_xlfn.UNICHAR(A1410)</f>
        <v>ւ</v>
      </c>
    </row>
    <row r="1411" spans="1:2" x14ac:dyDescent="0.25">
      <c r="A1411">
        <v>1411</v>
      </c>
      <c r="B1411" t="str">
        <f t="shared" si="22"/>
        <v>փ</v>
      </c>
    </row>
    <row r="1412" spans="1:2" x14ac:dyDescent="0.25">
      <c r="A1412">
        <v>1412</v>
      </c>
      <c r="B1412" t="str">
        <f t="shared" si="22"/>
        <v>ք</v>
      </c>
    </row>
    <row r="1413" spans="1:2" x14ac:dyDescent="0.25">
      <c r="A1413">
        <v>1413</v>
      </c>
      <c r="B1413" t="str">
        <f t="shared" si="22"/>
        <v>օ</v>
      </c>
    </row>
    <row r="1414" spans="1:2" x14ac:dyDescent="0.25">
      <c r="A1414">
        <v>1414</v>
      </c>
      <c r="B1414" t="str">
        <f t="shared" si="22"/>
        <v>ֆ</v>
      </c>
    </row>
    <row r="1415" spans="1:2" x14ac:dyDescent="0.25">
      <c r="A1415">
        <v>1415</v>
      </c>
      <c r="B1415" t="str">
        <f t="shared" si="22"/>
        <v>և</v>
      </c>
    </row>
    <row r="1416" spans="1:2" x14ac:dyDescent="0.25">
      <c r="A1416">
        <v>1416</v>
      </c>
      <c r="B1416" t="str">
        <f t="shared" si="22"/>
        <v>ֈ</v>
      </c>
    </row>
    <row r="1417" spans="1:2" x14ac:dyDescent="0.25">
      <c r="A1417">
        <v>1417</v>
      </c>
      <c r="B1417" t="str">
        <f t="shared" si="22"/>
        <v>։</v>
      </c>
    </row>
    <row r="1418" spans="1:2" x14ac:dyDescent="0.25">
      <c r="A1418">
        <v>1418</v>
      </c>
      <c r="B1418" t="str">
        <f t="shared" si="22"/>
        <v>֊</v>
      </c>
    </row>
    <row r="1419" spans="1:2" x14ac:dyDescent="0.25">
      <c r="A1419">
        <v>1419</v>
      </c>
      <c r="B1419" t="str">
        <f t="shared" si="22"/>
        <v>֋</v>
      </c>
    </row>
    <row r="1420" spans="1:2" x14ac:dyDescent="0.25">
      <c r="A1420">
        <v>1420</v>
      </c>
      <c r="B1420" t="str">
        <f t="shared" si="22"/>
        <v>֌</v>
      </c>
    </row>
    <row r="1421" spans="1:2" x14ac:dyDescent="0.25">
      <c r="A1421">
        <v>1421</v>
      </c>
      <c r="B1421" t="str">
        <f t="shared" si="22"/>
        <v>֍</v>
      </c>
    </row>
    <row r="1422" spans="1:2" x14ac:dyDescent="0.25">
      <c r="A1422">
        <v>1422</v>
      </c>
      <c r="B1422" t="str">
        <f t="shared" si="22"/>
        <v>֎</v>
      </c>
    </row>
    <row r="1423" spans="1:2" x14ac:dyDescent="0.25">
      <c r="A1423">
        <v>1423</v>
      </c>
      <c r="B1423" t="str">
        <f t="shared" si="22"/>
        <v>֏</v>
      </c>
    </row>
    <row r="1424" spans="1:2" x14ac:dyDescent="0.25">
      <c r="A1424">
        <v>1424</v>
      </c>
      <c r="B1424" t="str">
        <f t="shared" si="22"/>
        <v>֐</v>
      </c>
    </row>
    <row r="1425" spans="1:2" x14ac:dyDescent="0.25">
      <c r="A1425">
        <v>1425</v>
      </c>
      <c r="B1425" t="str">
        <f t="shared" si="22"/>
        <v>֑</v>
      </c>
    </row>
    <row r="1426" spans="1:2" x14ac:dyDescent="0.25">
      <c r="A1426">
        <v>1426</v>
      </c>
      <c r="B1426" t="str">
        <f t="shared" si="22"/>
        <v>֒</v>
      </c>
    </row>
    <row r="1427" spans="1:2" x14ac:dyDescent="0.25">
      <c r="A1427">
        <v>1427</v>
      </c>
      <c r="B1427" t="str">
        <f t="shared" si="22"/>
        <v>֓</v>
      </c>
    </row>
    <row r="1428" spans="1:2" x14ac:dyDescent="0.25">
      <c r="A1428">
        <v>1428</v>
      </c>
      <c r="B1428" t="str">
        <f t="shared" si="22"/>
        <v>֔</v>
      </c>
    </row>
    <row r="1429" spans="1:2" x14ac:dyDescent="0.25">
      <c r="A1429">
        <v>1429</v>
      </c>
      <c r="B1429" t="str">
        <f t="shared" si="22"/>
        <v>֕</v>
      </c>
    </row>
    <row r="1430" spans="1:2" x14ac:dyDescent="0.25">
      <c r="A1430">
        <v>1430</v>
      </c>
      <c r="B1430" t="str">
        <f t="shared" si="22"/>
        <v>֖</v>
      </c>
    </row>
    <row r="1431" spans="1:2" x14ac:dyDescent="0.25">
      <c r="A1431">
        <v>1431</v>
      </c>
      <c r="B1431" t="str">
        <f t="shared" si="22"/>
        <v>֗</v>
      </c>
    </row>
    <row r="1432" spans="1:2" x14ac:dyDescent="0.25">
      <c r="A1432">
        <v>1432</v>
      </c>
      <c r="B1432" t="str">
        <f t="shared" si="22"/>
        <v>֘</v>
      </c>
    </row>
    <row r="1433" spans="1:2" x14ac:dyDescent="0.25">
      <c r="A1433">
        <v>1433</v>
      </c>
      <c r="B1433" t="str">
        <f t="shared" si="22"/>
        <v>֙</v>
      </c>
    </row>
    <row r="1434" spans="1:2" x14ac:dyDescent="0.25">
      <c r="A1434">
        <v>1434</v>
      </c>
      <c r="B1434" t="str">
        <f t="shared" si="22"/>
        <v>֚</v>
      </c>
    </row>
    <row r="1435" spans="1:2" x14ac:dyDescent="0.25">
      <c r="A1435">
        <v>1435</v>
      </c>
      <c r="B1435" t="str">
        <f t="shared" si="22"/>
        <v>֛</v>
      </c>
    </row>
    <row r="1436" spans="1:2" x14ac:dyDescent="0.25">
      <c r="A1436">
        <v>1436</v>
      </c>
      <c r="B1436" t="str">
        <f t="shared" si="22"/>
        <v>֜</v>
      </c>
    </row>
    <row r="1437" spans="1:2" x14ac:dyDescent="0.25">
      <c r="A1437">
        <v>1437</v>
      </c>
      <c r="B1437" t="str">
        <f t="shared" si="22"/>
        <v>֝</v>
      </c>
    </row>
    <row r="1438" spans="1:2" x14ac:dyDescent="0.25">
      <c r="A1438">
        <v>1438</v>
      </c>
      <c r="B1438" t="str">
        <f t="shared" si="22"/>
        <v>֞</v>
      </c>
    </row>
    <row r="1439" spans="1:2" x14ac:dyDescent="0.25">
      <c r="A1439">
        <v>1439</v>
      </c>
      <c r="B1439" t="str">
        <f t="shared" si="22"/>
        <v>֟</v>
      </c>
    </row>
    <row r="1440" spans="1:2" x14ac:dyDescent="0.25">
      <c r="A1440">
        <v>1440</v>
      </c>
      <c r="B1440" t="str">
        <f t="shared" si="22"/>
        <v>֠</v>
      </c>
    </row>
    <row r="1441" spans="1:2" x14ac:dyDescent="0.25">
      <c r="A1441">
        <v>1441</v>
      </c>
      <c r="B1441" t="str">
        <f t="shared" si="22"/>
        <v>֡</v>
      </c>
    </row>
    <row r="1442" spans="1:2" x14ac:dyDescent="0.25">
      <c r="A1442">
        <v>1442</v>
      </c>
      <c r="B1442" t="str">
        <f t="shared" si="22"/>
        <v>֢</v>
      </c>
    </row>
    <row r="1443" spans="1:2" x14ac:dyDescent="0.25">
      <c r="A1443">
        <v>1443</v>
      </c>
      <c r="B1443" t="str">
        <f t="shared" si="22"/>
        <v>֣</v>
      </c>
    </row>
    <row r="1444" spans="1:2" x14ac:dyDescent="0.25">
      <c r="A1444">
        <v>1444</v>
      </c>
      <c r="B1444" t="str">
        <f t="shared" si="22"/>
        <v>֤</v>
      </c>
    </row>
    <row r="1445" spans="1:2" x14ac:dyDescent="0.25">
      <c r="A1445">
        <v>1445</v>
      </c>
      <c r="B1445" t="str">
        <f t="shared" si="22"/>
        <v>֥</v>
      </c>
    </row>
    <row r="1446" spans="1:2" x14ac:dyDescent="0.25">
      <c r="A1446">
        <v>1446</v>
      </c>
      <c r="B1446" t="str">
        <f t="shared" si="22"/>
        <v>֦</v>
      </c>
    </row>
    <row r="1447" spans="1:2" x14ac:dyDescent="0.25">
      <c r="A1447">
        <v>1447</v>
      </c>
      <c r="B1447" t="str">
        <f t="shared" si="22"/>
        <v>֧</v>
      </c>
    </row>
    <row r="1448" spans="1:2" x14ac:dyDescent="0.25">
      <c r="A1448">
        <v>1448</v>
      </c>
      <c r="B1448" t="str">
        <f t="shared" si="22"/>
        <v>֨</v>
      </c>
    </row>
    <row r="1449" spans="1:2" x14ac:dyDescent="0.25">
      <c r="A1449">
        <v>1449</v>
      </c>
      <c r="B1449" t="str">
        <f t="shared" si="22"/>
        <v>֩</v>
      </c>
    </row>
    <row r="1450" spans="1:2" x14ac:dyDescent="0.25">
      <c r="A1450">
        <v>1450</v>
      </c>
      <c r="B1450" t="str">
        <f t="shared" si="22"/>
        <v>֪</v>
      </c>
    </row>
    <row r="1451" spans="1:2" x14ac:dyDescent="0.25">
      <c r="A1451">
        <v>1451</v>
      </c>
      <c r="B1451" t="str">
        <f t="shared" si="22"/>
        <v>֫</v>
      </c>
    </row>
    <row r="1452" spans="1:2" x14ac:dyDescent="0.25">
      <c r="A1452">
        <v>1452</v>
      </c>
      <c r="B1452" t="str">
        <f t="shared" si="22"/>
        <v>֬</v>
      </c>
    </row>
    <row r="1453" spans="1:2" x14ac:dyDescent="0.25">
      <c r="A1453">
        <v>1453</v>
      </c>
      <c r="B1453" t="str">
        <f t="shared" si="22"/>
        <v>֭</v>
      </c>
    </row>
    <row r="1454" spans="1:2" x14ac:dyDescent="0.25">
      <c r="A1454">
        <v>1454</v>
      </c>
      <c r="B1454" t="str">
        <f t="shared" si="22"/>
        <v>֮</v>
      </c>
    </row>
    <row r="1455" spans="1:2" x14ac:dyDescent="0.25">
      <c r="A1455">
        <v>1455</v>
      </c>
      <c r="B1455" t="str">
        <f t="shared" si="22"/>
        <v>֯</v>
      </c>
    </row>
    <row r="1456" spans="1:2" x14ac:dyDescent="0.25">
      <c r="A1456">
        <v>1456</v>
      </c>
      <c r="B1456" t="str">
        <f t="shared" si="22"/>
        <v>ְ</v>
      </c>
    </row>
    <row r="1457" spans="1:2" x14ac:dyDescent="0.25">
      <c r="A1457">
        <v>1457</v>
      </c>
      <c r="B1457" t="str">
        <f t="shared" si="22"/>
        <v>ֱ</v>
      </c>
    </row>
    <row r="1458" spans="1:2" x14ac:dyDescent="0.25">
      <c r="A1458">
        <v>1458</v>
      </c>
      <c r="B1458" t="str">
        <f t="shared" si="22"/>
        <v>ֲ</v>
      </c>
    </row>
    <row r="1459" spans="1:2" x14ac:dyDescent="0.25">
      <c r="A1459">
        <v>1459</v>
      </c>
      <c r="B1459" t="str">
        <f t="shared" si="22"/>
        <v>ֳ</v>
      </c>
    </row>
    <row r="1460" spans="1:2" x14ac:dyDescent="0.25">
      <c r="A1460">
        <v>1460</v>
      </c>
      <c r="B1460" t="str">
        <f t="shared" si="22"/>
        <v>ִ</v>
      </c>
    </row>
    <row r="1461" spans="1:2" x14ac:dyDescent="0.25">
      <c r="A1461">
        <v>1461</v>
      </c>
      <c r="B1461" t="str">
        <f t="shared" si="22"/>
        <v>ֵ</v>
      </c>
    </row>
    <row r="1462" spans="1:2" x14ac:dyDescent="0.25">
      <c r="A1462">
        <v>1462</v>
      </c>
      <c r="B1462" t="str">
        <f t="shared" si="22"/>
        <v>ֶ</v>
      </c>
    </row>
    <row r="1463" spans="1:2" x14ac:dyDescent="0.25">
      <c r="A1463">
        <v>1463</v>
      </c>
      <c r="B1463" t="str">
        <f t="shared" si="22"/>
        <v>ַ</v>
      </c>
    </row>
    <row r="1464" spans="1:2" x14ac:dyDescent="0.25">
      <c r="A1464">
        <v>1464</v>
      </c>
      <c r="B1464" t="str">
        <f t="shared" si="22"/>
        <v>ָ</v>
      </c>
    </row>
    <row r="1465" spans="1:2" x14ac:dyDescent="0.25">
      <c r="A1465">
        <v>1465</v>
      </c>
      <c r="B1465" t="str">
        <f t="shared" si="22"/>
        <v>ֹ</v>
      </c>
    </row>
    <row r="1466" spans="1:2" x14ac:dyDescent="0.25">
      <c r="A1466">
        <v>1466</v>
      </c>
      <c r="B1466" t="str">
        <f t="shared" si="22"/>
        <v>ֺ</v>
      </c>
    </row>
    <row r="1467" spans="1:2" x14ac:dyDescent="0.25">
      <c r="A1467">
        <v>1467</v>
      </c>
      <c r="B1467" t="str">
        <f t="shared" si="22"/>
        <v>ֻ</v>
      </c>
    </row>
    <row r="1468" spans="1:2" x14ac:dyDescent="0.25">
      <c r="A1468">
        <v>1468</v>
      </c>
      <c r="B1468" t="str">
        <f t="shared" si="22"/>
        <v>ּ</v>
      </c>
    </row>
    <row r="1469" spans="1:2" x14ac:dyDescent="0.25">
      <c r="A1469">
        <v>1469</v>
      </c>
      <c r="B1469" t="str">
        <f t="shared" si="22"/>
        <v>ֽ</v>
      </c>
    </row>
    <row r="1470" spans="1:2" x14ac:dyDescent="0.25">
      <c r="A1470">
        <v>1470</v>
      </c>
      <c r="B1470" t="str">
        <f t="shared" si="22"/>
        <v>־</v>
      </c>
    </row>
    <row r="1471" spans="1:2" x14ac:dyDescent="0.25">
      <c r="A1471">
        <v>1471</v>
      </c>
      <c r="B1471" t="str">
        <f t="shared" si="22"/>
        <v>ֿ</v>
      </c>
    </row>
    <row r="1472" spans="1:2" x14ac:dyDescent="0.25">
      <c r="A1472">
        <v>1472</v>
      </c>
      <c r="B1472" t="str">
        <f t="shared" si="22"/>
        <v>׀</v>
      </c>
    </row>
    <row r="1473" spans="1:2" x14ac:dyDescent="0.25">
      <c r="A1473">
        <v>1473</v>
      </c>
      <c r="B1473" t="str">
        <f t="shared" si="22"/>
        <v>ׁ</v>
      </c>
    </row>
    <row r="1474" spans="1:2" x14ac:dyDescent="0.25">
      <c r="A1474">
        <v>1474</v>
      </c>
      <c r="B1474" t="str">
        <f t="shared" ref="B1474:B1537" si="23">_xlfn.UNICHAR(A1474)</f>
        <v>ׂ</v>
      </c>
    </row>
    <row r="1475" spans="1:2" x14ac:dyDescent="0.25">
      <c r="A1475">
        <v>1475</v>
      </c>
      <c r="B1475" t="str">
        <f t="shared" si="23"/>
        <v>׃</v>
      </c>
    </row>
    <row r="1476" spans="1:2" x14ac:dyDescent="0.25">
      <c r="A1476">
        <v>1476</v>
      </c>
      <c r="B1476" t="str">
        <f t="shared" si="23"/>
        <v>ׄ</v>
      </c>
    </row>
    <row r="1477" spans="1:2" x14ac:dyDescent="0.25">
      <c r="A1477">
        <v>1477</v>
      </c>
      <c r="B1477" t="str">
        <f t="shared" si="23"/>
        <v>ׅ</v>
      </c>
    </row>
    <row r="1478" spans="1:2" x14ac:dyDescent="0.25">
      <c r="A1478">
        <v>1478</v>
      </c>
      <c r="B1478" t="str">
        <f t="shared" si="23"/>
        <v>׆</v>
      </c>
    </row>
    <row r="1479" spans="1:2" x14ac:dyDescent="0.25">
      <c r="A1479">
        <v>1479</v>
      </c>
      <c r="B1479" t="str">
        <f t="shared" si="23"/>
        <v>ׇ</v>
      </c>
    </row>
    <row r="1480" spans="1:2" x14ac:dyDescent="0.25">
      <c r="A1480">
        <v>1480</v>
      </c>
      <c r="B1480" t="str">
        <f t="shared" si="23"/>
        <v>׈</v>
      </c>
    </row>
    <row r="1481" spans="1:2" x14ac:dyDescent="0.25">
      <c r="A1481">
        <v>1481</v>
      </c>
      <c r="B1481" t="str">
        <f t="shared" si="23"/>
        <v>׉</v>
      </c>
    </row>
    <row r="1482" spans="1:2" x14ac:dyDescent="0.25">
      <c r="A1482">
        <v>1482</v>
      </c>
      <c r="B1482" t="str">
        <f t="shared" si="23"/>
        <v>׊</v>
      </c>
    </row>
    <row r="1483" spans="1:2" x14ac:dyDescent="0.25">
      <c r="A1483">
        <v>1483</v>
      </c>
      <c r="B1483" t="str">
        <f t="shared" si="23"/>
        <v>׋</v>
      </c>
    </row>
    <row r="1484" spans="1:2" x14ac:dyDescent="0.25">
      <c r="A1484">
        <v>1484</v>
      </c>
      <c r="B1484" t="str">
        <f t="shared" si="23"/>
        <v>׌</v>
      </c>
    </row>
    <row r="1485" spans="1:2" x14ac:dyDescent="0.25">
      <c r="A1485">
        <v>1485</v>
      </c>
      <c r="B1485" t="str">
        <f t="shared" si="23"/>
        <v>׍</v>
      </c>
    </row>
    <row r="1486" spans="1:2" x14ac:dyDescent="0.25">
      <c r="A1486">
        <v>1486</v>
      </c>
      <c r="B1486" t="str">
        <f t="shared" si="23"/>
        <v>׎</v>
      </c>
    </row>
    <row r="1487" spans="1:2" x14ac:dyDescent="0.25">
      <c r="A1487">
        <v>1487</v>
      </c>
      <c r="B1487" t="str">
        <f t="shared" si="23"/>
        <v>׏</v>
      </c>
    </row>
    <row r="1488" spans="1:2" x14ac:dyDescent="0.25">
      <c r="A1488">
        <v>1488</v>
      </c>
      <c r="B1488" t="str">
        <f t="shared" si="23"/>
        <v>א</v>
      </c>
    </row>
    <row r="1489" spans="1:2" x14ac:dyDescent="0.25">
      <c r="A1489">
        <v>1489</v>
      </c>
      <c r="B1489" t="str">
        <f t="shared" si="23"/>
        <v>ב</v>
      </c>
    </row>
    <row r="1490" spans="1:2" x14ac:dyDescent="0.25">
      <c r="A1490">
        <v>1490</v>
      </c>
      <c r="B1490" t="str">
        <f t="shared" si="23"/>
        <v>ג</v>
      </c>
    </row>
    <row r="1491" spans="1:2" x14ac:dyDescent="0.25">
      <c r="A1491">
        <v>1491</v>
      </c>
      <c r="B1491" t="str">
        <f t="shared" si="23"/>
        <v>ד</v>
      </c>
    </row>
    <row r="1492" spans="1:2" x14ac:dyDescent="0.25">
      <c r="A1492">
        <v>1492</v>
      </c>
      <c r="B1492" t="str">
        <f t="shared" si="23"/>
        <v>ה</v>
      </c>
    </row>
    <row r="1493" spans="1:2" x14ac:dyDescent="0.25">
      <c r="A1493">
        <v>1493</v>
      </c>
      <c r="B1493" t="str">
        <f t="shared" si="23"/>
        <v>ו</v>
      </c>
    </row>
    <row r="1494" spans="1:2" x14ac:dyDescent="0.25">
      <c r="A1494">
        <v>1494</v>
      </c>
      <c r="B1494" t="str">
        <f t="shared" si="23"/>
        <v>ז</v>
      </c>
    </row>
    <row r="1495" spans="1:2" x14ac:dyDescent="0.25">
      <c r="A1495">
        <v>1495</v>
      </c>
      <c r="B1495" t="str">
        <f t="shared" si="23"/>
        <v>ח</v>
      </c>
    </row>
    <row r="1496" spans="1:2" x14ac:dyDescent="0.25">
      <c r="A1496">
        <v>1496</v>
      </c>
      <c r="B1496" t="str">
        <f t="shared" si="23"/>
        <v>ט</v>
      </c>
    </row>
    <row r="1497" spans="1:2" x14ac:dyDescent="0.25">
      <c r="A1497">
        <v>1497</v>
      </c>
      <c r="B1497" t="str">
        <f t="shared" si="23"/>
        <v>י</v>
      </c>
    </row>
    <row r="1498" spans="1:2" x14ac:dyDescent="0.25">
      <c r="A1498">
        <v>1498</v>
      </c>
      <c r="B1498" t="str">
        <f t="shared" si="23"/>
        <v>ך</v>
      </c>
    </row>
    <row r="1499" spans="1:2" x14ac:dyDescent="0.25">
      <c r="A1499">
        <v>1499</v>
      </c>
      <c r="B1499" t="str">
        <f t="shared" si="23"/>
        <v>כ</v>
      </c>
    </row>
    <row r="1500" spans="1:2" x14ac:dyDescent="0.25">
      <c r="A1500">
        <v>1500</v>
      </c>
      <c r="B1500" t="str">
        <f t="shared" si="23"/>
        <v>ל</v>
      </c>
    </row>
    <row r="1501" spans="1:2" x14ac:dyDescent="0.25">
      <c r="A1501">
        <v>1501</v>
      </c>
      <c r="B1501" t="str">
        <f t="shared" si="23"/>
        <v>ם</v>
      </c>
    </row>
    <row r="1502" spans="1:2" x14ac:dyDescent="0.25">
      <c r="A1502">
        <v>1502</v>
      </c>
      <c r="B1502" t="str">
        <f t="shared" si="23"/>
        <v>מ</v>
      </c>
    </row>
    <row r="1503" spans="1:2" x14ac:dyDescent="0.25">
      <c r="A1503">
        <v>1503</v>
      </c>
      <c r="B1503" t="str">
        <f t="shared" si="23"/>
        <v>ן</v>
      </c>
    </row>
    <row r="1504" spans="1:2" x14ac:dyDescent="0.25">
      <c r="A1504">
        <v>1504</v>
      </c>
      <c r="B1504" t="str">
        <f t="shared" si="23"/>
        <v>נ</v>
      </c>
    </row>
    <row r="1505" spans="1:2" x14ac:dyDescent="0.25">
      <c r="A1505">
        <v>1505</v>
      </c>
      <c r="B1505" t="str">
        <f t="shared" si="23"/>
        <v>ס</v>
      </c>
    </row>
    <row r="1506" spans="1:2" x14ac:dyDescent="0.25">
      <c r="A1506">
        <v>1506</v>
      </c>
      <c r="B1506" t="str">
        <f t="shared" si="23"/>
        <v>ע</v>
      </c>
    </row>
    <row r="1507" spans="1:2" x14ac:dyDescent="0.25">
      <c r="A1507">
        <v>1507</v>
      </c>
      <c r="B1507" t="str">
        <f t="shared" si="23"/>
        <v>ף</v>
      </c>
    </row>
    <row r="1508" spans="1:2" x14ac:dyDescent="0.25">
      <c r="A1508">
        <v>1508</v>
      </c>
      <c r="B1508" t="str">
        <f t="shared" si="23"/>
        <v>פ</v>
      </c>
    </row>
    <row r="1509" spans="1:2" x14ac:dyDescent="0.25">
      <c r="A1509">
        <v>1509</v>
      </c>
      <c r="B1509" t="str">
        <f t="shared" si="23"/>
        <v>ץ</v>
      </c>
    </row>
    <row r="1510" spans="1:2" x14ac:dyDescent="0.25">
      <c r="A1510">
        <v>1510</v>
      </c>
      <c r="B1510" t="str">
        <f t="shared" si="23"/>
        <v>צ</v>
      </c>
    </row>
    <row r="1511" spans="1:2" x14ac:dyDescent="0.25">
      <c r="A1511">
        <v>1511</v>
      </c>
      <c r="B1511" t="str">
        <f t="shared" si="23"/>
        <v>ק</v>
      </c>
    </row>
    <row r="1512" spans="1:2" x14ac:dyDescent="0.25">
      <c r="A1512">
        <v>1512</v>
      </c>
      <c r="B1512" t="str">
        <f t="shared" si="23"/>
        <v>ר</v>
      </c>
    </row>
    <row r="1513" spans="1:2" x14ac:dyDescent="0.25">
      <c r="A1513">
        <v>1513</v>
      </c>
      <c r="B1513" t="str">
        <f t="shared" si="23"/>
        <v>ש</v>
      </c>
    </row>
    <row r="1514" spans="1:2" x14ac:dyDescent="0.25">
      <c r="A1514">
        <v>1514</v>
      </c>
      <c r="B1514" t="str">
        <f t="shared" si="23"/>
        <v>ת</v>
      </c>
    </row>
    <row r="1515" spans="1:2" x14ac:dyDescent="0.25">
      <c r="A1515">
        <v>1515</v>
      </c>
      <c r="B1515" t="str">
        <f t="shared" si="23"/>
        <v>׫</v>
      </c>
    </row>
    <row r="1516" spans="1:2" x14ac:dyDescent="0.25">
      <c r="A1516">
        <v>1516</v>
      </c>
      <c r="B1516" t="str">
        <f t="shared" si="23"/>
        <v>׬</v>
      </c>
    </row>
    <row r="1517" spans="1:2" x14ac:dyDescent="0.25">
      <c r="A1517">
        <v>1517</v>
      </c>
      <c r="B1517" t="str">
        <f t="shared" si="23"/>
        <v>׭</v>
      </c>
    </row>
    <row r="1518" spans="1:2" x14ac:dyDescent="0.25">
      <c r="A1518">
        <v>1518</v>
      </c>
      <c r="B1518" t="str">
        <f t="shared" si="23"/>
        <v>׮</v>
      </c>
    </row>
    <row r="1519" spans="1:2" x14ac:dyDescent="0.25">
      <c r="A1519">
        <v>1519</v>
      </c>
      <c r="B1519" t="str">
        <f t="shared" si="23"/>
        <v>ׯ</v>
      </c>
    </row>
    <row r="1520" spans="1:2" x14ac:dyDescent="0.25">
      <c r="A1520">
        <v>1520</v>
      </c>
      <c r="B1520" t="str">
        <f t="shared" si="23"/>
        <v>װ</v>
      </c>
    </row>
    <row r="1521" spans="1:2" x14ac:dyDescent="0.25">
      <c r="A1521">
        <v>1521</v>
      </c>
      <c r="B1521" t="str">
        <f t="shared" si="23"/>
        <v>ױ</v>
      </c>
    </row>
    <row r="1522" spans="1:2" x14ac:dyDescent="0.25">
      <c r="A1522">
        <v>1522</v>
      </c>
      <c r="B1522" t="str">
        <f t="shared" si="23"/>
        <v>ײ</v>
      </c>
    </row>
    <row r="1523" spans="1:2" x14ac:dyDescent="0.25">
      <c r="A1523">
        <v>1523</v>
      </c>
      <c r="B1523" t="str">
        <f t="shared" si="23"/>
        <v>׳</v>
      </c>
    </row>
    <row r="1524" spans="1:2" x14ac:dyDescent="0.25">
      <c r="A1524">
        <v>1524</v>
      </c>
      <c r="B1524" t="str">
        <f t="shared" si="23"/>
        <v>״</v>
      </c>
    </row>
    <row r="1525" spans="1:2" x14ac:dyDescent="0.25">
      <c r="A1525">
        <v>1525</v>
      </c>
      <c r="B1525" t="str">
        <f t="shared" si="23"/>
        <v>׵</v>
      </c>
    </row>
    <row r="1526" spans="1:2" x14ac:dyDescent="0.25">
      <c r="A1526">
        <v>1526</v>
      </c>
      <c r="B1526" t="str">
        <f t="shared" si="23"/>
        <v>׶</v>
      </c>
    </row>
    <row r="1527" spans="1:2" x14ac:dyDescent="0.25">
      <c r="A1527">
        <v>1527</v>
      </c>
      <c r="B1527" t="str">
        <f t="shared" si="23"/>
        <v>׷</v>
      </c>
    </row>
    <row r="1528" spans="1:2" x14ac:dyDescent="0.25">
      <c r="A1528">
        <v>1528</v>
      </c>
      <c r="B1528" t="str">
        <f t="shared" si="23"/>
        <v>׸</v>
      </c>
    </row>
    <row r="1529" spans="1:2" x14ac:dyDescent="0.25">
      <c r="A1529">
        <v>1529</v>
      </c>
      <c r="B1529" t="str">
        <f t="shared" si="23"/>
        <v>׹</v>
      </c>
    </row>
    <row r="1530" spans="1:2" x14ac:dyDescent="0.25">
      <c r="A1530">
        <v>1530</v>
      </c>
      <c r="B1530" t="str">
        <f t="shared" si="23"/>
        <v>׺</v>
      </c>
    </row>
    <row r="1531" spans="1:2" x14ac:dyDescent="0.25">
      <c r="A1531">
        <v>1531</v>
      </c>
      <c r="B1531" t="str">
        <f t="shared" si="23"/>
        <v>׻</v>
      </c>
    </row>
    <row r="1532" spans="1:2" x14ac:dyDescent="0.25">
      <c r="A1532">
        <v>1532</v>
      </c>
      <c r="B1532" t="str">
        <f t="shared" si="23"/>
        <v>׼</v>
      </c>
    </row>
    <row r="1533" spans="1:2" x14ac:dyDescent="0.25">
      <c r="A1533">
        <v>1533</v>
      </c>
      <c r="B1533" t="str">
        <f t="shared" si="23"/>
        <v>׽</v>
      </c>
    </row>
    <row r="1534" spans="1:2" x14ac:dyDescent="0.25">
      <c r="A1534">
        <v>1534</v>
      </c>
      <c r="B1534" t="str">
        <f t="shared" si="23"/>
        <v>׾</v>
      </c>
    </row>
    <row r="1535" spans="1:2" x14ac:dyDescent="0.25">
      <c r="A1535">
        <v>1535</v>
      </c>
      <c r="B1535" t="str">
        <f t="shared" si="23"/>
        <v>׿</v>
      </c>
    </row>
    <row r="1536" spans="1:2" x14ac:dyDescent="0.25">
      <c r="A1536">
        <v>1536</v>
      </c>
      <c r="B1536" t="str">
        <f t="shared" si="23"/>
        <v>؀</v>
      </c>
    </row>
    <row r="1537" spans="1:2" x14ac:dyDescent="0.25">
      <c r="A1537">
        <v>1537</v>
      </c>
      <c r="B1537" t="str">
        <f t="shared" si="23"/>
        <v>؁</v>
      </c>
    </row>
    <row r="1538" spans="1:2" x14ac:dyDescent="0.25">
      <c r="A1538">
        <v>1538</v>
      </c>
      <c r="B1538" t="str">
        <f t="shared" ref="B1538:B1601" si="24">_xlfn.UNICHAR(A1538)</f>
        <v>؂</v>
      </c>
    </row>
    <row r="1539" spans="1:2" x14ac:dyDescent="0.25">
      <c r="A1539">
        <v>1539</v>
      </c>
      <c r="B1539" t="str">
        <f t="shared" si="24"/>
        <v>؃</v>
      </c>
    </row>
    <row r="1540" spans="1:2" x14ac:dyDescent="0.25">
      <c r="A1540">
        <v>1540</v>
      </c>
      <c r="B1540" t="str">
        <f t="shared" si="24"/>
        <v>؄</v>
      </c>
    </row>
    <row r="1541" spans="1:2" x14ac:dyDescent="0.25">
      <c r="A1541">
        <v>1541</v>
      </c>
      <c r="B1541" t="str">
        <f t="shared" si="24"/>
        <v>؅</v>
      </c>
    </row>
    <row r="1542" spans="1:2" x14ac:dyDescent="0.25">
      <c r="A1542">
        <v>1542</v>
      </c>
      <c r="B1542" t="str">
        <f t="shared" si="24"/>
        <v>؆</v>
      </c>
    </row>
    <row r="1543" spans="1:2" x14ac:dyDescent="0.25">
      <c r="A1543">
        <v>1543</v>
      </c>
      <c r="B1543" t="str">
        <f t="shared" si="24"/>
        <v>؇</v>
      </c>
    </row>
    <row r="1544" spans="1:2" x14ac:dyDescent="0.25">
      <c r="A1544">
        <v>1544</v>
      </c>
      <c r="B1544" t="str">
        <f t="shared" si="24"/>
        <v>؈</v>
      </c>
    </row>
    <row r="1545" spans="1:2" x14ac:dyDescent="0.25">
      <c r="A1545">
        <v>1545</v>
      </c>
      <c r="B1545" t="str">
        <f t="shared" si="24"/>
        <v>؉</v>
      </c>
    </row>
    <row r="1546" spans="1:2" x14ac:dyDescent="0.25">
      <c r="A1546">
        <v>1546</v>
      </c>
      <c r="B1546" t="str">
        <f t="shared" si="24"/>
        <v>؊</v>
      </c>
    </row>
    <row r="1547" spans="1:2" x14ac:dyDescent="0.25">
      <c r="A1547">
        <v>1547</v>
      </c>
      <c r="B1547" t="str">
        <f t="shared" si="24"/>
        <v>؋</v>
      </c>
    </row>
    <row r="1548" spans="1:2" x14ac:dyDescent="0.25">
      <c r="A1548">
        <v>1548</v>
      </c>
      <c r="B1548" t="str">
        <f t="shared" si="24"/>
        <v>،</v>
      </c>
    </row>
    <row r="1549" spans="1:2" x14ac:dyDescent="0.25">
      <c r="A1549">
        <v>1549</v>
      </c>
      <c r="B1549" t="str">
        <f t="shared" si="24"/>
        <v>؍</v>
      </c>
    </row>
    <row r="1550" spans="1:2" x14ac:dyDescent="0.25">
      <c r="A1550">
        <v>1550</v>
      </c>
      <c r="B1550" t="str">
        <f t="shared" si="24"/>
        <v>؎</v>
      </c>
    </row>
    <row r="1551" spans="1:2" x14ac:dyDescent="0.25">
      <c r="A1551">
        <v>1551</v>
      </c>
      <c r="B1551" t="str">
        <f t="shared" si="24"/>
        <v>؏</v>
      </c>
    </row>
    <row r="1552" spans="1:2" x14ac:dyDescent="0.25">
      <c r="A1552">
        <v>1552</v>
      </c>
      <c r="B1552" t="str">
        <f t="shared" si="24"/>
        <v>ؐ</v>
      </c>
    </row>
    <row r="1553" spans="1:2" x14ac:dyDescent="0.25">
      <c r="A1553">
        <v>1553</v>
      </c>
      <c r="B1553" t="str">
        <f t="shared" si="24"/>
        <v>ؑ</v>
      </c>
    </row>
    <row r="1554" spans="1:2" x14ac:dyDescent="0.25">
      <c r="A1554">
        <v>1554</v>
      </c>
      <c r="B1554" t="str">
        <f t="shared" si="24"/>
        <v>ؒ</v>
      </c>
    </row>
    <row r="1555" spans="1:2" x14ac:dyDescent="0.25">
      <c r="A1555">
        <v>1555</v>
      </c>
      <c r="B1555" t="str">
        <f t="shared" si="24"/>
        <v>ؓ</v>
      </c>
    </row>
    <row r="1556" spans="1:2" x14ac:dyDescent="0.25">
      <c r="A1556">
        <v>1556</v>
      </c>
      <c r="B1556" t="str">
        <f t="shared" si="24"/>
        <v>ؔ</v>
      </c>
    </row>
    <row r="1557" spans="1:2" x14ac:dyDescent="0.25">
      <c r="A1557">
        <v>1557</v>
      </c>
      <c r="B1557" t="str">
        <f t="shared" si="24"/>
        <v>ؕ</v>
      </c>
    </row>
    <row r="1558" spans="1:2" x14ac:dyDescent="0.25">
      <c r="A1558">
        <v>1558</v>
      </c>
      <c r="B1558" t="str">
        <f t="shared" si="24"/>
        <v>ؖ</v>
      </c>
    </row>
    <row r="1559" spans="1:2" x14ac:dyDescent="0.25">
      <c r="A1559">
        <v>1559</v>
      </c>
      <c r="B1559" t="str">
        <f t="shared" si="24"/>
        <v>ؗ</v>
      </c>
    </row>
    <row r="1560" spans="1:2" x14ac:dyDescent="0.25">
      <c r="A1560">
        <v>1560</v>
      </c>
      <c r="B1560" t="str">
        <f t="shared" si="24"/>
        <v>ؘ</v>
      </c>
    </row>
    <row r="1561" spans="1:2" x14ac:dyDescent="0.25">
      <c r="A1561">
        <v>1561</v>
      </c>
      <c r="B1561" t="str">
        <f t="shared" si="24"/>
        <v>ؙ</v>
      </c>
    </row>
    <row r="1562" spans="1:2" x14ac:dyDescent="0.25">
      <c r="A1562">
        <v>1562</v>
      </c>
      <c r="B1562" t="str">
        <f t="shared" si="24"/>
        <v>ؚ</v>
      </c>
    </row>
    <row r="1563" spans="1:2" x14ac:dyDescent="0.25">
      <c r="A1563">
        <v>1563</v>
      </c>
      <c r="B1563" t="str">
        <f t="shared" si="24"/>
        <v>؛</v>
      </c>
    </row>
    <row r="1564" spans="1:2" x14ac:dyDescent="0.25">
      <c r="A1564">
        <v>1564</v>
      </c>
      <c r="B1564" t="str">
        <f t="shared" si="24"/>
        <v>؜</v>
      </c>
    </row>
    <row r="1565" spans="1:2" x14ac:dyDescent="0.25">
      <c r="A1565">
        <v>1565</v>
      </c>
      <c r="B1565" t="str">
        <f t="shared" si="24"/>
        <v>؝</v>
      </c>
    </row>
    <row r="1566" spans="1:2" x14ac:dyDescent="0.25">
      <c r="A1566">
        <v>1566</v>
      </c>
      <c r="B1566" t="str">
        <f t="shared" si="24"/>
        <v>؞</v>
      </c>
    </row>
    <row r="1567" spans="1:2" x14ac:dyDescent="0.25">
      <c r="A1567">
        <v>1567</v>
      </c>
      <c r="B1567" t="str">
        <f t="shared" si="24"/>
        <v>؟</v>
      </c>
    </row>
    <row r="1568" spans="1:2" x14ac:dyDescent="0.25">
      <c r="A1568">
        <v>1568</v>
      </c>
      <c r="B1568" t="str">
        <f t="shared" si="24"/>
        <v>ؠ</v>
      </c>
    </row>
    <row r="1569" spans="1:2" x14ac:dyDescent="0.25">
      <c r="A1569">
        <v>1569</v>
      </c>
      <c r="B1569" t="str">
        <f t="shared" si="24"/>
        <v>ء</v>
      </c>
    </row>
    <row r="1570" spans="1:2" x14ac:dyDescent="0.25">
      <c r="A1570">
        <v>1570</v>
      </c>
      <c r="B1570" t="str">
        <f t="shared" si="24"/>
        <v>آ</v>
      </c>
    </row>
    <row r="1571" spans="1:2" x14ac:dyDescent="0.25">
      <c r="A1571">
        <v>1571</v>
      </c>
      <c r="B1571" t="str">
        <f t="shared" si="24"/>
        <v>أ</v>
      </c>
    </row>
    <row r="1572" spans="1:2" x14ac:dyDescent="0.25">
      <c r="A1572">
        <v>1572</v>
      </c>
      <c r="B1572" t="str">
        <f t="shared" si="24"/>
        <v>ؤ</v>
      </c>
    </row>
    <row r="1573" spans="1:2" x14ac:dyDescent="0.25">
      <c r="A1573">
        <v>1573</v>
      </c>
      <c r="B1573" t="str">
        <f t="shared" si="24"/>
        <v>إ</v>
      </c>
    </row>
    <row r="1574" spans="1:2" x14ac:dyDescent="0.25">
      <c r="A1574">
        <v>1574</v>
      </c>
      <c r="B1574" t="str">
        <f t="shared" si="24"/>
        <v>ئ</v>
      </c>
    </row>
    <row r="1575" spans="1:2" x14ac:dyDescent="0.25">
      <c r="A1575">
        <v>1575</v>
      </c>
      <c r="B1575" t="str">
        <f t="shared" si="24"/>
        <v>ا</v>
      </c>
    </row>
    <row r="1576" spans="1:2" x14ac:dyDescent="0.25">
      <c r="A1576">
        <v>1576</v>
      </c>
      <c r="B1576" t="str">
        <f t="shared" si="24"/>
        <v>ب</v>
      </c>
    </row>
    <row r="1577" spans="1:2" x14ac:dyDescent="0.25">
      <c r="A1577">
        <v>1577</v>
      </c>
      <c r="B1577" t="str">
        <f t="shared" si="24"/>
        <v>ة</v>
      </c>
    </row>
    <row r="1578" spans="1:2" x14ac:dyDescent="0.25">
      <c r="A1578">
        <v>1578</v>
      </c>
      <c r="B1578" t="str">
        <f t="shared" si="24"/>
        <v>ت</v>
      </c>
    </row>
    <row r="1579" spans="1:2" x14ac:dyDescent="0.25">
      <c r="A1579">
        <v>1579</v>
      </c>
      <c r="B1579" t="str">
        <f t="shared" si="24"/>
        <v>ث</v>
      </c>
    </row>
    <row r="1580" spans="1:2" x14ac:dyDescent="0.25">
      <c r="A1580">
        <v>1580</v>
      </c>
      <c r="B1580" t="str">
        <f t="shared" si="24"/>
        <v>ج</v>
      </c>
    </row>
    <row r="1581" spans="1:2" x14ac:dyDescent="0.25">
      <c r="A1581">
        <v>1581</v>
      </c>
      <c r="B1581" t="str">
        <f t="shared" si="24"/>
        <v>ح</v>
      </c>
    </row>
    <row r="1582" spans="1:2" x14ac:dyDescent="0.25">
      <c r="A1582">
        <v>1582</v>
      </c>
      <c r="B1582" t="str">
        <f t="shared" si="24"/>
        <v>خ</v>
      </c>
    </row>
    <row r="1583" spans="1:2" x14ac:dyDescent="0.25">
      <c r="A1583">
        <v>1583</v>
      </c>
      <c r="B1583" t="str">
        <f t="shared" si="24"/>
        <v>د</v>
      </c>
    </row>
    <row r="1584" spans="1:2" x14ac:dyDescent="0.25">
      <c r="A1584">
        <v>1584</v>
      </c>
      <c r="B1584" t="str">
        <f t="shared" si="24"/>
        <v>ذ</v>
      </c>
    </row>
    <row r="1585" spans="1:2" x14ac:dyDescent="0.25">
      <c r="A1585">
        <v>1585</v>
      </c>
      <c r="B1585" t="str">
        <f t="shared" si="24"/>
        <v>ر</v>
      </c>
    </row>
    <row r="1586" spans="1:2" x14ac:dyDescent="0.25">
      <c r="A1586">
        <v>1586</v>
      </c>
      <c r="B1586" t="str">
        <f t="shared" si="24"/>
        <v>ز</v>
      </c>
    </row>
    <row r="1587" spans="1:2" x14ac:dyDescent="0.25">
      <c r="A1587">
        <v>1587</v>
      </c>
      <c r="B1587" t="str">
        <f t="shared" si="24"/>
        <v>س</v>
      </c>
    </row>
    <row r="1588" spans="1:2" x14ac:dyDescent="0.25">
      <c r="A1588">
        <v>1588</v>
      </c>
      <c r="B1588" t="str">
        <f t="shared" si="24"/>
        <v>ش</v>
      </c>
    </row>
    <row r="1589" spans="1:2" x14ac:dyDescent="0.25">
      <c r="A1589">
        <v>1589</v>
      </c>
      <c r="B1589" t="str">
        <f t="shared" si="24"/>
        <v>ص</v>
      </c>
    </row>
    <row r="1590" spans="1:2" x14ac:dyDescent="0.25">
      <c r="A1590">
        <v>1590</v>
      </c>
      <c r="B1590" t="str">
        <f t="shared" si="24"/>
        <v>ض</v>
      </c>
    </row>
    <row r="1591" spans="1:2" x14ac:dyDescent="0.25">
      <c r="A1591">
        <v>1591</v>
      </c>
      <c r="B1591" t="str">
        <f t="shared" si="24"/>
        <v>ط</v>
      </c>
    </row>
    <row r="1592" spans="1:2" x14ac:dyDescent="0.25">
      <c r="A1592">
        <v>1592</v>
      </c>
      <c r="B1592" t="str">
        <f t="shared" si="24"/>
        <v>ظ</v>
      </c>
    </row>
    <row r="1593" spans="1:2" x14ac:dyDescent="0.25">
      <c r="A1593">
        <v>1593</v>
      </c>
      <c r="B1593" t="str">
        <f t="shared" si="24"/>
        <v>ع</v>
      </c>
    </row>
    <row r="1594" spans="1:2" x14ac:dyDescent="0.25">
      <c r="A1594">
        <v>1594</v>
      </c>
      <c r="B1594" t="str">
        <f t="shared" si="24"/>
        <v>غ</v>
      </c>
    </row>
    <row r="1595" spans="1:2" x14ac:dyDescent="0.25">
      <c r="A1595">
        <v>1595</v>
      </c>
      <c r="B1595" t="str">
        <f t="shared" si="24"/>
        <v>ػ</v>
      </c>
    </row>
    <row r="1596" spans="1:2" x14ac:dyDescent="0.25">
      <c r="A1596">
        <v>1596</v>
      </c>
      <c r="B1596" t="str">
        <f t="shared" si="24"/>
        <v>ؼ</v>
      </c>
    </row>
    <row r="1597" spans="1:2" x14ac:dyDescent="0.25">
      <c r="A1597">
        <v>1597</v>
      </c>
      <c r="B1597" t="str">
        <f t="shared" si="24"/>
        <v>ؽ</v>
      </c>
    </row>
    <row r="1598" spans="1:2" x14ac:dyDescent="0.25">
      <c r="A1598">
        <v>1598</v>
      </c>
      <c r="B1598" t="str">
        <f t="shared" si="24"/>
        <v>ؾ</v>
      </c>
    </row>
    <row r="1599" spans="1:2" x14ac:dyDescent="0.25">
      <c r="A1599">
        <v>1599</v>
      </c>
      <c r="B1599" t="str">
        <f t="shared" si="24"/>
        <v>ؿ</v>
      </c>
    </row>
    <row r="1600" spans="1:2" x14ac:dyDescent="0.25">
      <c r="A1600">
        <v>1600</v>
      </c>
      <c r="B1600" t="str">
        <f t="shared" si="24"/>
        <v>ـ</v>
      </c>
    </row>
    <row r="1601" spans="1:2" x14ac:dyDescent="0.25">
      <c r="A1601">
        <v>1601</v>
      </c>
      <c r="B1601" t="str">
        <f t="shared" si="24"/>
        <v>ف</v>
      </c>
    </row>
    <row r="1602" spans="1:2" x14ac:dyDescent="0.25">
      <c r="A1602">
        <v>1602</v>
      </c>
      <c r="B1602" t="str">
        <f t="shared" ref="B1602:B1665" si="25">_xlfn.UNICHAR(A1602)</f>
        <v>ق</v>
      </c>
    </row>
    <row r="1603" spans="1:2" x14ac:dyDescent="0.25">
      <c r="A1603">
        <v>1603</v>
      </c>
      <c r="B1603" t="str">
        <f t="shared" si="25"/>
        <v>ك</v>
      </c>
    </row>
    <row r="1604" spans="1:2" x14ac:dyDescent="0.25">
      <c r="A1604">
        <v>1604</v>
      </c>
      <c r="B1604" t="str">
        <f t="shared" si="25"/>
        <v>ل</v>
      </c>
    </row>
    <row r="1605" spans="1:2" x14ac:dyDescent="0.25">
      <c r="A1605">
        <v>1605</v>
      </c>
      <c r="B1605" t="str">
        <f t="shared" si="25"/>
        <v>م</v>
      </c>
    </row>
    <row r="1606" spans="1:2" x14ac:dyDescent="0.25">
      <c r="A1606">
        <v>1606</v>
      </c>
      <c r="B1606" t="str">
        <f t="shared" si="25"/>
        <v>ن</v>
      </c>
    </row>
    <row r="1607" spans="1:2" x14ac:dyDescent="0.25">
      <c r="A1607">
        <v>1607</v>
      </c>
      <c r="B1607" t="str">
        <f t="shared" si="25"/>
        <v>ه</v>
      </c>
    </row>
    <row r="1608" spans="1:2" x14ac:dyDescent="0.25">
      <c r="A1608">
        <v>1608</v>
      </c>
      <c r="B1608" t="str">
        <f t="shared" si="25"/>
        <v>و</v>
      </c>
    </row>
    <row r="1609" spans="1:2" x14ac:dyDescent="0.25">
      <c r="A1609">
        <v>1609</v>
      </c>
      <c r="B1609" t="str">
        <f t="shared" si="25"/>
        <v>ى</v>
      </c>
    </row>
    <row r="1610" spans="1:2" x14ac:dyDescent="0.25">
      <c r="A1610">
        <v>1610</v>
      </c>
      <c r="B1610" t="str">
        <f t="shared" si="25"/>
        <v>ي</v>
      </c>
    </row>
    <row r="1611" spans="1:2" x14ac:dyDescent="0.25">
      <c r="A1611">
        <v>1611</v>
      </c>
      <c r="B1611" t="str">
        <f t="shared" si="25"/>
        <v>ً</v>
      </c>
    </row>
    <row r="1612" spans="1:2" x14ac:dyDescent="0.25">
      <c r="A1612">
        <v>1612</v>
      </c>
      <c r="B1612" t="str">
        <f t="shared" si="25"/>
        <v>ٌ</v>
      </c>
    </row>
    <row r="1613" spans="1:2" x14ac:dyDescent="0.25">
      <c r="A1613">
        <v>1613</v>
      </c>
      <c r="B1613" t="str">
        <f t="shared" si="25"/>
        <v>ٍ</v>
      </c>
    </row>
    <row r="1614" spans="1:2" x14ac:dyDescent="0.25">
      <c r="A1614">
        <v>1614</v>
      </c>
      <c r="B1614" t="str">
        <f t="shared" si="25"/>
        <v>َ</v>
      </c>
    </row>
    <row r="1615" spans="1:2" x14ac:dyDescent="0.25">
      <c r="A1615">
        <v>1615</v>
      </c>
      <c r="B1615" t="str">
        <f t="shared" si="25"/>
        <v>ُ</v>
      </c>
    </row>
    <row r="1616" spans="1:2" x14ac:dyDescent="0.25">
      <c r="A1616">
        <v>1616</v>
      </c>
      <c r="B1616" t="str">
        <f t="shared" si="25"/>
        <v>ِ</v>
      </c>
    </row>
    <row r="1617" spans="1:2" x14ac:dyDescent="0.25">
      <c r="A1617">
        <v>1617</v>
      </c>
      <c r="B1617" t="str">
        <f t="shared" si="25"/>
        <v>ّ</v>
      </c>
    </row>
    <row r="1618" spans="1:2" x14ac:dyDescent="0.25">
      <c r="A1618">
        <v>1618</v>
      </c>
      <c r="B1618" t="str">
        <f t="shared" si="25"/>
        <v>ْ</v>
      </c>
    </row>
    <row r="1619" spans="1:2" x14ac:dyDescent="0.25">
      <c r="A1619">
        <v>1619</v>
      </c>
      <c r="B1619" t="str">
        <f t="shared" si="25"/>
        <v>ٓ</v>
      </c>
    </row>
    <row r="1620" spans="1:2" x14ac:dyDescent="0.25">
      <c r="A1620">
        <v>1620</v>
      </c>
      <c r="B1620" t="str">
        <f t="shared" si="25"/>
        <v>ٔ</v>
      </c>
    </row>
    <row r="1621" spans="1:2" x14ac:dyDescent="0.25">
      <c r="A1621">
        <v>1621</v>
      </c>
      <c r="B1621" t="str">
        <f t="shared" si="25"/>
        <v>ٕ</v>
      </c>
    </row>
    <row r="1622" spans="1:2" x14ac:dyDescent="0.25">
      <c r="A1622">
        <v>1622</v>
      </c>
      <c r="B1622" t="str">
        <f t="shared" si="25"/>
        <v>ٖ</v>
      </c>
    </row>
    <row r="1623" spans="1:2" x14ac:dyDescent="0.25">
      <c r="A1623">
        <v>1623</v>
      </c>
      <c r="B1623" t="str">
        <f t="shared" si="25"/>
        <v>ٗ</v>
      </c>
    </row>
    <row r="1624" spans="1:2" x14ac:dyDescent="0.25">
      <c r="A1624">
        <v>1624</v>
      </c>
      <c r="B1624" t="str">
        <f t="shared" si="25"/>
        <v>٘</v>
      </c>
    </row>
    <row r="1625" spans="1:2" x14ac:dyDescent="0.25">
      <c r="A1625">
        <v>1625</v>
      </c>
      <c r="B1625" t="str">
        <f t="shared" si="25"/>
        <v>ٙ</v>
      </c>
    </row>
    <row r="1626" spans="1:2" x14ac:dyDescent="0.25">
      <c r="A1626">
        <v>1626</v>
      </c>
      <c r="B1626" t="str">
        <f t="shared" si="25"/>
        <v>ٚ</v>
      </c>
    </row>
    <row r="1627" spans="1:2" x14ac:dyDescent="0.25">
      <c r="A1627">
        <v>1627</v>
      </c>
      <c r="B1627" t="str">
        <f t="shared" si="25"/>
        <v>ٛ</v>
      </c>
    </row>
    <row r="1628" spans="1:2" x14ac:dyDescent="0.25">
      <c r="A1628">
        <v>1628</v>
      </c>
      <c r="B1628" t="str">
        <f t="shared" si="25"/>
        <v>ٜ</v>
      </c>
    </row>
    <row r="1629" spans="1:2" x14ac:dyDescent="0.25">
      <c r="A1629">
        <v>1629</v>
      </c>
      <c r="B1629" t="str">
        <f t="shared" si="25"/>
        <v>ٝ</v>
      </c>
    </row>
    <row r="1630" spans="1:2" x14ac:dyDescent="0.25">
      <c r="A1630">
        <v>1630</v>
      </c>
      <c r="B1630" t="str">
        <f t="shared" si="25"/>
        <v>ٞ</v>
      </c>
    </row>
    <row r="1631" spans="1:2" x14ac:dyDescent="0.25">
      <c r="A1631">
        <v>1631</v>
      </c>
      <c r="B1631" t="str">
        <f t="shared" si="25"/>
        <v>ٟ</v>
      </c>
    </row>
    <row r="1632" spans="1:2" x14ac:dyDescent="0.25">
      <c r="A1632">
        <v>1632</v>
      </c>
      <c r="B1632" t="str">
        <f t="shared" si="25"/>
        <v>٠</v>
      </c>
    </row>
    <row r="1633" spans="1:2" x14ac:dyDescent="0.25">
      <c r="A1633">
        <v>1633</v>
      </c>
      <c r="B1633" t="str">
        <f t="shared" si="25"/>
        <v>١</v>
      </c>
    </row>
    <row r="1634" spans="1:2" x14ac:dyDescent="0.25">
      <c r="A1634">
        <v>1634</v>
      </c>
      <c r="B1634" t="str">
        <f t="shared" si="25"/>
        <v>٢</v>
      </c>
    </row>
    <row r="1635" spans="1:2" x14ac:dyDescent="0.25">
      <c r="A1635">
        <v>1635</v>
      </c>
      <c r="B1635" t="str">
        <f t="shared" si="25"/>
        <v>٣</v>
      </c>
    </row>
    <row r="1636" spans="1:2" x14ac:dyDescent="0.25">
      <c r="A1636">
        <v>1636</v>
      </c>
      <c r="B1636" t="str">
        <f t="shared" si="25"/>
        <v>٤</v>
      </c>
    </row>
    <row r="1637" spans="1:2" x14ac:dyDescent="0.25">
      <c r="A1637">
        <v>1637</v>
      </c>
      <c r="B1637" t="str">
        <f t="shared" si="25"/>
        <v>٥</v>
      </c>
    </row>
    <row r="1638" spans="1:2" x14ac:dyDescent="0.25">
      <c r="A1638">
        <v>1638</v>
      </c>
      <c r="B1638" t="str">
        <f t="shared" si="25"/>
        <v>٦</v>
      </c>
    </row>
    <row r="1639" spans="1:2" x14ac:dyDescent="0.25">
      <c r="A1639">
        <v>1639</v>
      </c>
      <c r="B1639" t="str">
        <f t="shared" si="25"/>
        <v>٧</v>
      </c>
    </row>
    <row r="1640" spans="1:2" x14ac:dyDescent="0.25">
      <c r="A1640">
        <v>1640</v>
      </c>
      <c r="B1640" t="str">
        <f t="shared" si="25"/>
        <v>٨</v>
      </c>
    </row>
    <row r="1641" spans="1:2" x14ac:dyDescent="0.25">
      <c r="A1641">
        <v>1641</v>
      </c>
      <c r="B1641" t="str">
        <f t="shared" si="25"/>
        <v>٩</v>
      </c>
    </row>
    <row r="1642" spans="1:2" x14ac:dyDescent="0.25">
      <c r="A1642">
        <v>1642</v>
      </c>
      <c r="B1642" t="str">
        <f t="shared" si="25"/>
        <v>٪</v>
      </c>
    </row>
    <row r="1643" spans="1:2" x14ac:dyDescent="0.25">
      <c r="A1643">
        <v>1643</v>
      </c>
      <c r="B1643" t="str">
        <f t="shared" si="25"/>
        <v>٫</v>
      </c>
    </row>
    <row r="1644" spans="1:2" x14ac:dyDescent="0.25">
      <c r="A1644">
        <v>1644</v>
      </c>
      <c r="B1644" t="str">
        <f t="shared" si="25"/>
        <v>٬</v>
      </c>
    </row>
    <row r="1645" spans="1:2" x14ac:dyDescent="0.25">
      <c r="A1645">
        <v>1645</v>
      </c>
      <c r="B1645" t="str">
        <f t="shared" si="25"/>
        <v>٭</v>
      </c>
    </row>
    <row r="1646" spans="1:2" x14ac:dyDescent="0.25">
      <c r="A1646">
        <v>1646</v>
      </c>
      <c r="B1646" t="str">
        <f t="shared" si="25"/>
        <v>ٮ</v>
      </c>
    </row>
    <row r="1647" spans="1:2" x14ac:dyDescent="0.25">
      <c r="A1647">
        <v>1647</v>
      </c>
      <c r="B1647" t="str">
        <f t="shared" si="25"/>
        <v>ٯ</v>
      </c>
    </row>
    <row r="1648" spans="1:2" x14ac:dyDescent="0.25">
      <c r="A1648">
        <v>1648</v>
      </c>
      <c r="B1648" t="str">
        <f t="shared" si="25"/>
        <v>ٰ</v>
      </c>
    </row>
    <row r="1649" spans="1:2" x14ac:dyDescent="0.25">
      <c r="A1649">
        <v>1649</v>
      </c>
      <c r="B1649" t="str">
        <f t="shared" si="25"/>
        <v>ٱ</v>
      </c>
    </row>
    <row r="1650" spans="1:2" x14ac:dyDescent="0.25">
      <c r="A1650">
        <v>1650</v>
      </c>
      <c r="B1650" t="str">
        <f t="shared" si="25"/>
        <v>ٲ</v>
      </c>
    </row>
    <row r="1651" spans="1:2" x14ac:dyDescent="0.25">
      <c r="A1651">
        <v>1651</v>
      </c>
      <c r="B1651" t="str">
        <f t="shared" si="25"/>
        <v>ٳ</v>
      </c>
    </row>
    <row r="1652" spans="1:2" x14ac:dyDescent="0.25">
      <c r="A1652">
        <v>1652</v>
      </c>
      <c r="B1652" t="str">
        <f t="shared" si="25"/>
        <v>ٴ</v>
      </c>
    </row>
    <row r="1653" spans="1:2" x14ac:dyDescent="0.25">
      <c r="A1653">
        <v>1653</v>
      </c>
      <c r="B1653" t="str">
        <f t="shared" si="25"/>
        <v>ٵ</v>
      </c>
    </row>
    <row r="1654" spans="1:2" x14ac:dyDescent="0.25">
      <c r="A1654">
        <v>1654</v>
      </c>
      <c r="B1654" t="str">
        <f t="shared" si="25"/>
        <v>ٶ</v>
      </c>
    </row>
    <row r="1655" spans="1:2" x14ac:dyDescent="0.25">
      <c r="A1655">
        <v>1655</v>
      </c>
      <c r="B1655" t="str">
        <f t="shared" si="25"/>
        <v>ٷ</v>
      </c>
    </row>
    <row r="1656" spans="1:2" x14ac:dyDescent="0.25">
      <c r="A1656">
        <v>1656</v>
      </c>
      <c r="B1656" t="str">
        <f t="shared" si="25"/>
        <v>ٸ</v>
      </c>
    </row>
    <row r="1657" spans="1:2" x14ac:dyDescent="0.25">
      <c r="A1657">
        <v>1657</v>
      </c>
      <c r="B1657" t="str">
        <f t="shared" si="25"/>
        <v>ٹ</v>
      </c>
    </row>
    <row r="1658" spans="1:2" x14ac:dyDescent="0.25">
      <c r="A1658">
        <v>1658</v>
      </c>
      <c r="B1658" t="str">
        <f t="shared" si="25"/>
        <v>ٺ</v>
      </c>
    </row>
    <row r="1659" spans="1:2" x14ac:dyDescent="0.25">
      <c r="A1659">
        <v>1659</v>
      </c>
      <c r="B1659" t="str">
        <f t="shared" si="25"/>
        <v>ٻ</v>
      </c>
    </row>
    <row r="1660" spans="1:2" x14ac:dyDescent="0.25">
      <c r="A1660">
        <v>1660</v>
      </c>
      <c r="B1660" t="str">
        <f t="shared" si="25"/>
        <v>ټ</v>
      </c>
    </row>
    <row r="1661" spans="1:2" x14ac:dyDescent="0.25">
      <c r="A1661">
        <v>1661</v>
      </c>
      <c r="B1661" t="str">
        <f t="shared" si="25"/>
        <v>ٽ</v>
      </c>
    </row>
    <row r="1662" spans="1:2" x14ac:dyDescent="0.25">
      <c r="A1662">
        <v>1662</v>
      </c>
      <c r="B1662" t="str">
        <f t="shared" si="25"/>
        <v>پ</v>
      </c>
    </row>
    <row r="1663" spans="1:2" x14ac:dyDescent="0.25">
      <c r="A1663">
        <v>1663</v>
      </c>
      <c r="B1663" t="str">
        <f t="shared" si="25"/>
        <v>ٿ</v>
      </c>
    </row>
    <row r="1664" spans="1:2" x14ac:dyDescent="0.25">
      <c r="A1664">
        <v>1664</v>
      </c>
      <c r="B1664" t="str">
        <f t="shared" si="25"/>
        <v>ڀ</v>
      </c>
    </row>
    <row r="1665" spans="1:2" x14ac:dyDescent="0.25">
      <c r="A1665">
        <v>1665</v>
      </c>
      <c r="B1665" t="str">
        <f t="shared" si="25"/>
        <v>ځ</v>
      </c>
    </row>
    <row r="1666" spans="1:2" x14ac:dyDescent="0.25">
      <c r="A1666">
        <v>1666</v>
      </c>
      <c r="B1666" t="str">
        <f t="shared" ref="B1666:B1729" si="26">_xlfn.UNICHAR(A1666)</f>
        <v>ڂ</v>
      </c>
    </row>
    <row r="1667" spans="1:2" x14ac:dyDescent="0.25">
      <c r="A1667">
        <v>1667</v>
      </c>
      <c r="B1667" t="str">
        <f t="shared" si="26"/>
        <v>ڃ</v>
      </c>
    </row>
    <row r="1668" spans="1:2" x14ac:dyDescent="0.25">
      <c r="A1668">
        <v>1668</v>
      </c>
      <c r="B1668" t="str">
        <f t="shared" si="26"/>
        <v>ڄ</v>
      </c>
    </row>
    <row r="1669" spans="1:2" x14ac:dyDescent="0.25">
      <c r="A1669">
        <v>1669</v>
      </c>
      <c r="B1669" t="str">
        <f t="shared" si="26"/>
        <v>څ</v>
      </c>
    </row>
    <row r="1670" spans="1:2" x14ac:dyDescent="0.25">
      <c r="A1670">
        <v>1670</v>
      </c>
      <c r="B1670" t="str">
        <f t="shared" si="26"/>
        <v>چ</v>
      </c>
    </row>
    <row r="1671" spans="1:2" x14ac:dyDescent="0.25">
      <c r="A1671">
        <v>1671</v>
      </c>
      <c r="B1671" t="str">
        <f t="shared" si="26"/>
        <v>ڇ</v>
      </c>
    </row>
    <row r="1672" spans="1:2" x14ac:dyDescent="0.25">
      <c r="A1672">
        <v>1672</v>
      </c>
      <c r="B1672" t="str">
        <f t="shared" si="26"/>
        <v>ڈ</v>
      </c>
    </row>
    <row r="1673" spans="1:2" x14ac:dyDescent="0.25">
      <c r="A1673">
        <v>1673</v>
      </c>
      <c r="B1673" t="str">
        <f t="shared" si="26"/>
        <v>ډ</v>
      </c>
    </row>
    <row r="1674" spans="1:2" x14ac:dyDescent="0.25">
      <c r="A1674">
        <v>1674</v>
      </c>
      <c r="B1674" t="str">
        <f t="shared" si="26"/>
        <v>ڊ</v>
      </c>
    </row>
    <row r="1675" spans="1:2" x14ac:dyDescent="0.25">
      <c r="A1675">
        <v>1675</v>
      </c>
      <c r="B1675" t="str">
        <f t="shared" si="26"/>
        <v>ڋ</v>
      </c>
    </row>
    <row r="1676" spans="1:2" x14ac:dyDescent="0.25">
      <c r="A1676">
        <v>1676</v>
      </c>
      <c r="B1676" t="str">
        <f t="shared" si="26"/>
        <v>ڌ</v>
      </c>
    </row>
    <row r="1677" spans="1:2" x14ac:dyDescent="0.25">
      <c r="A1677">
        <v>1677</v>
      </c>
      <c r="B1677" t="str">
        <f t="shared" si="26"/>
        <v>ڍ</v>
      </c>
    </row>
    <row r="1678" spans="1:2" x14ac:dyDescent="0.25">
      <c r="A1678">
        <v>1678</v>
      </c>
      <c r="B1678" t="str">
        <f t="shared" si="26"/>
        <v>ڎ</v>
      </c>
    </row>
    <row r="1679" spans="1:2" x14ac:dyDescent="0.25">
      <c r="A1679">
        <v>1679</v>
      </c>
      <c r="B1679" t="str">
        <f t="shared" si="26"/>
        <v>ڏ</v>
      </c>
    </row>
    <row r="1680" spans="1:2" x14ac:dyDescent="0.25">
      <c r="A1680">
        <v>1680</v>
      </c>
      <c r="B1680" t="str">
        <f t="shared" si="26"/>
        <v>ڐ</v>
      </c>
    </row>
    <row r="1681" spans="1:2" x14ac:dyDescent="0.25">
      <c r="A1681">
        <v>1681</v>
      </c>
      <c r="B1681" t="str">
        <f t="shared" si="26"/>
        <v>ڑ</v>
      </c>
    </row>
    <row r="1682" spans="1:2" x14ac:dyDescent="0.25">
      <c r="A1682">
        <v>1682</v>
      </c>
      <c r="B1682" t="str">
        <f t="shared" si="26"/>
        <v>ڒ</v>
      </c>
    </row>
    <row r="1683" spans="1:2" x14ac:dyDescent="0.25">
      <c r="A1683">
        <v>1683</v>
      </c>
      <c r="B1683" t="str">
        <f t="shared" si="26"/>
        <v>ړ</v>
      </c>
    </row>
    <row r="1684" spans="1:2" x14ac:dyDescent="0.25">
      <c r="A1684">
        <v>1684</v>
      </c>
      <c r="B1684" t="str">
        <f t="shared" si="26"/>
        <v>ڔ</v>
      </c>
    </row>
    <row r="1685" spans="1:2" x14ac:dyDescent="0.25">
      <c r="A1685">
        <v>1685</v>
      </c>
      <c r="B1685" t="str">
        <f t="shared" si="26"/>
        <v>ڕ</v>
      </c>
    </row>
    <row r="1686" spans="1:2" x14ac:dyDescent="0.25">
      <c r="A1686">
        <v>1686</v>
      </c>
      <c r="B1686" t="str">
        <f t="shared" si="26"/>
        <v>ږ</v>
      </c>
    </row>
    <row r="1687" spans="1:2" x14ac:dyDescent="0.25">
      <c r="A1687">
        <v>1687</v>
      </c>
      <c r="B1687" t="str">
        <f t="shared" si="26"/>
        <v>ڗ</v>
      </c>
    </row>
    <row r="1688" spans="1:2" x14ac:dyDescent="0.25">
      <c r="A1688">
        <v>1688</v>
      </c>
      <c r="B1688" t="str">
        <f t="shared" si="26"/>
        <v>ژ</v>
      </c>
    </row>
    <row r="1689" spans="1:2" x14ac:dyDescent="0.25">
      <c r="A1689">
        <v>1689</v>
      </c>
      <c r="B1689" t="str">
        <f t="shared" si="26"/>
        <v>ڙ</v>
      </c>
    </row>
    <row r="1690" spans="1:2" x14ac:dyDescent="0.25">
      <c r="A1690">
        <v>1690</v>
      </c>
      <c r="B1690" t="str">
        <f t="shared" si="26"/>
        <v>ښ</v>
      </c>
    </row>
    <row r="1691" spans="1:2" x14ac:dyDescent="0.25">
      <c r="A1691">
        <v>1691</v>
      </c>
      <c r="B1691" t="str">
        <f t="shared" si="26"/>
        <v>ڛ</v>
      </c>
    </row>
    <row r="1692" spans="1:2" x14ac:dyDescent="0.25">
      <c r="A1692">
        <v>1692</v>
      </c>
      <c r="B1692" t="str">
        <f t="shared" si="26"/>
        <v>ڜ</v>
      </c>
    </row>
    <row r="1693" spans="1:2" x14ac:dyDescent="0.25">
      <c r="A1693">
        <v>1693</v>
      </c>
      <c r="B1693" t="str">
        <f t="shared" si="26"/>
        <v>ڝ</v>
      </c>
    </row>
    <row r="1694" spans="1:2" x14ac:dyDescent="0.25">
      <c r="A1694">
        <v>1694</v>
      </c>
      <c r="B1694" t="str">
        <f t="shared" si="26"/>
        <v>ڞ</v>
      </c>
    </row>
    <row r="1695" spans="1:2" x14ac:dyDescent="0.25">
      <c r="A1695">
        <v>1695</v>
      </c>
      <c r="B1695" t="str">
        <f t="shared" si="26"/>
        <v>ڟ</v>
      </c>
    </row>
    <row r="1696" spans="1:2" x14ac:dyDescent="0.25">
      <c r="A1696">
        <v>1696</v>
      </c>
      <c r="B1696" t="str">
        <f t="shared" si="26"/>
        <v>ڠ</v>
      </c>
    </row>
    <row r="1697" spans="1:2" x14ac:dyDescent="0.25">
      <c r="A1697">
        <v>1697</v>
      </c>
      <c r="B1697" t="str">
        <f t="shared" si="26"/>
        <v>ڡ</v>
      </c>
    </row>
    <row r="1698" spans="1:2" x14ac:dyDescent="0.25">
      <c r="A1698">
        <v>1698</v>
      </c>
      <c r="B1698" t="str">
        <f t="shared" si="26"/>
        <v>ڢ</v>
      </c>
    </row>
    <row r="1699" spans="1:2" x14ac:dyDescent="0.25">
      <c r="A1699">
        <v>1699</v>
      </c>
      <c r="B1699" t="str">
        <f t="shared" si="26"/>
        <v>ڣ</v>
      </c>
    </row>
    <row r="1700" spans="1:2" x14ac:dyDescent="0.25">
      <c r="A1700">
        <v>1700</v>
      </c>
      <c r="B1700" t="str">
        <f t="shared" si="26"/>
        <v>ڤ</v>
      </c>
    </row>
    <row r="1701" spans="1:2" x14ac:dyDescent="0.25">
      <c r="A1701">
        <v>1701</v>
      </c>
      <c r="B1701" t="str">
        <f t="shared" si="26"/>
        <v>ڥ</v>
      </c>
    </row>
    <row r="1702" spans="1:2" x14ac:dyDescent="0.25">
      <c r="A1702">
        <v>1702</v>
      </c>
      <c r="B1702" t="str">
        <f t="shared" si="26"/>
        <v>ڦ</v>
      </c>
    </row>
    <row r="1703" spans="1:2" x14ac:dyDescent="0.25">
      <c r="A1703">
        <v>1703</v>
      </c>
      <c r="B1703" t="str">
        <f t="shared" si="26"/>
        <v>ڧ</v>
      </c>
    </row>
    <row r="1704" spans="1:2" x14ac:dyDescent="0.25">
      <c r="A1704">
        <v>1704</v>
      </c>
      <c r="B1704" t="str">
        <f t="shared" si="26"/>
        <v>ڨ</v>
      </c>
    </row>
    <row r="1705" spans="1:2" x14ac:dyDescent="0.25">
      <c r="A1705">
        <v>1705</v>
      </c>
      <c r="B1705" t="str">
        <f t="shared" si="26"/>
        <v>ک</v>
      </c>
    </row>
    <row r="1706" spans="1:2" x14ac:dyDescent="0.25">
      <c r="A1706">
        <v>1706</v>
      </c>
      <c r="B1706" t="str">
        <f t="shared" si="26"/>
        <v>ڪ</v>
      </c>
    </row>
    <row r="1707" spans="1:2" x14ac:dyDescent="0.25">
      <c r="A1707">
        <v>1707</v>
      </c>
      <c r="B1707" t="str">
        <f t="shared" si="26"/>
        <v>ګ</v>
      </c>
    </row>
    <row r="1708" spans="1:2" x14ac:dyDescent="0.25">
      <c r="A1708">
        <v>1708</v>
      </c>
      <c r="B1708" t="str">
        <f t="shared" si="26"/>
        <v>ڬ</v>
      </c>
    </row>
    <row r="1709" spans="1:2" x14ac:dyDescent="0.25">
      <c r="A1709">
        <v>1709</v>
      </c>
      <c r="B1709" t="str">
        <f t="shared" si="26"/>
        <v>ڭ</v>
      </c>
    </row>
    <row r="1710" spans="1:2" x14ac:dyDescent="0.25">
      <c r="A1710">
        <v>1710</v>
      </c>
      <c r="B1710" t="str">
        <f t="shared" si="26"/>
        <v>ڮ</v>
      </c>
    </row>
    <row r="1711" spans="1:2" x14ac:dyDescent="0.25">
      <c r="A1711">
        <v>1711</v>
      </c>
      <c r="B1711" t="str">
        <f t="shared" si="26"/>
        <v>گ</v>
      </c>
    </row>
    <row r="1712" spans="1:2" x14ac:dyDescent="0.25">
      <c r="A1712">
        <v>1712</v>
      </c>
      <c r="B1712" t="str">
        <f t="shared" si="26"/>
        <v>ڰ</v>
      </c>
    </row>
    <row r="1713" spans="1:2" x14ac:dyDescent="0.25">
      <c r="A1713">
        <v>1713</v>
      </c>
      <c r="B1713" t="str">
        <f t="shared" si="26"/>
        <v>ڱ</v>
      </c>
    </row>
    <row r="1714" spans="1:2" x14ac:dyDescent="0.25">
      <c r="A1714">
        <v>1714</v>
      </c>
      <c r="B1714" t="str">
        <f t="shared" si="26"/>
        <v>ڲ</v>
      </c>
    </row>
    <row r="1715" spans="1:2" x14ac:dyDescent="0.25">
      <c r="A1715">
        <v>1715</v>
      </c>
      <c r="B1715" t="str">
        <f t="shared" si="26"/>
        <v>ڳ</v>
      </c>
    </row>
    <row r="1716" spans="1:2" x14ac:dyDescent="0.25">
      <c r="A1716">
        <v>1716</v>
      </c>
      <c r="B1716" t="str">
        <f t="shared" si="26"/>
        <v>ڴ</v>
      </c>
    </row>
    <row r="1717" spans="1:2" x14ac:dyDescent="0.25">
      <c r="A1717">
        <v>1717</v>
      </c>
      <c r="B1717" t="str">
        <f t="shared" si="26"/>
        <v>ڵ</v>
      </c>
    </row>
    <row r="1718" spans="1:2" x14ac:dyDescent="0.25">
      <c r="A1718">
        <v>1718</v>
      </c>
      <c r="B1718" t="str">
        <f t="shared" si="26"/>
        <v>ڶ</v>
      </c>
    </row>
    <row r="1719" spans="1:2" x14ac:dyDescent="0.25">
      <c r="A1719">
        <v>1719</v>
      </c>
      <c r="B1719" t="str">
        <f t="shared" si="26"/>
        <v>ڷ</v>
      </c>
    </row>
    <row r="1720" spans="1:2" x14ac:dyDescent="0.25">
      <c r="A1720">
        <v>1720</v>
      </c>
      <c r="B1720" t="str">
        <f t="shared" si="26"/>
        <v>ڸ</v>
      </c>
    </row>
    <row r="1721" spans="1:2" x14ac:dyDescent="0.25">
      <c r="A1721">
        <v>1721</v>
      </c>
      <c r="B1721" t="str">
        <f t="shared" si="26"/>
        <v>ڹ</v>
      </c>
    </row>
    <row r="1722" spans="1:2" x14ac:dyDescent="0.25">
      <c r="A1722">
        <v>1722</v>
      </c>
      <c r="B1722" t="str">
        <f t="shared" si="26"/>
        <v>ں</v>
      </c>
    </row>
    <row r="1723" spans="1:2" x14ac:dyDescent="0.25">
      <c r="A1723">
        <v>1723</v>
      </c>
      <c r="B1723" t="str">
        <f t="shared" si="26"/>
        <v>ڻ</v>
      </c>
    </row>
    <row r="1724" spans="1:2" x14ac:dyDescent="0.25">
      <c r="A1724">
        <v>1724</v>
      </c>
      <c r="B1724" t="str">
        <f t="shared" si="26"/>
        <v>ڼ</v>
      </c>
    </row>
    <row r="1725" spans="1:2" x14ac:dyDescent="0.25">
      <c r="A1725">
        <v>1725</v>
      </c>
      <c r="B1725" t="str">
        <f t="shared" si="26"/>
        <v>ڽ</v>
      </c>
    </row>
    <row r="1726" spans="1:2" x14ac:dyDescent="0.25">
      <c r="A1726">
        <v>1726</v>
      </c>
      <c r="B1726" t="str">
        <f t="shared" si="26"/>
        <v>ھ</v>
      </c>
    </row>
    <row r="1727" spans="1:2" x14ac:dyDescent="0.25">
      <c r="A1727">
        <v>1727</v>
      </c>
      <c r="B1727" t="str">
        <f t="shared" si="26"/>
        <v>ڿ</v>
      </c>
    </row>
    <row r="1728" spans="1:2" x14ac:dyDescent="0.25">
      <c r="A1728">
        <v>1728</v>
      </c>
      <c r="B1728" t="str">
        <f t="shared" si="26"/>
        <v>ۀ</v>
      </c>
    </row>
    <row r="1729" spans="1:2" x14ac:dyDescent="0.25">
      <c r="A1729">
        <v>1729</v>
      </c>
      <c r="B1729" t="str">
        <f t="shared" si="26"/>
        <v>ہ</v>
      </c>
    </row>
    <row r="1730" spans="1:2" x14ac:dyDescent="0.25">
      <c r="A1730">
        <v>1730</v>
      </c>
      <c r="B1730" t="str">
        <f t="shared" ref="B1730:B1793" si="27">_xlfn.UNICHAR(A1730)</f>
        <v>ۂ</v>
      </c>
    </row>
    <row r="1731" spans="1:2" x14ac:dyDescent="0.25">
      <c r="A1731">
        <v>1731</v>
      </c>
      <c r="B1731" t="str">
        <f t="shared" si="27"/>
        <v>ۃ</v>
      </c>
    </row>
    <row r="1732" spans="1:2" x14ac:dyDescent="0.25">
      <c r="A1732">
        <v>1732</v>
      </c>
      <c r="B1732" t="str">
        <f t="shared" si="27"/>
        <v>ۄ</v>
      </c>
    </row>
    <row r="1733" spans="1:2" x14ac:dyDescent="0.25">
      <c r="A1733">
        <v>1733</v>
      </c>
      <c r="B1733" t="str">
        <f t="shared" si="27"/>
        <v>ۅ</v>
      </c>
    </row>
    <row r="1734" spans="1:2" x14ac:dyDescent="0.25">
      <c r="A1734">
        <v>1734</v>
      </c>
      <c r="B1734" t="str">
        <f t="shared" si="27"/>
        <v>ۆ</v>
      </c>
    </row>
    <row r="1735" spans="1:2" x14ac:dyDescent="0.25">
      <c r="A1735">
        <v>1735</v>
      </c>
      <c r="B1735" t="str">
        <f t="shared" si="27"/>
        <v>ۇ</v>
      </c>
    </row>
    <row r="1736" spans="1:2" x14ac:dyDescent="0.25">
      <c r="A1736">
        <v>1736</v>
      </c>
      <c r="B1736" t="str">
        <f t="shared" si="27"/>
        <v>ۈ</v>
      </c>
    </row>
    <row r="1737" spans="1:2" x14ac:dyDescent="0.25">
      <c r="A1737">
        <v>1737</v>
      </c>
      <c r="B1737" t="str">
        <f t="shared" si="27"/>
        <v>ۉ</v>
      </c>
    </row>
    <row r="1738" spans="1:2" x14ac:dyDescent="0.25">
      <c r="A1738">
        <v>1738</v>
      </c>
      <c r="B1738" t="str">
        <f t="shared" si="27"/>
        <v>ۊ</v>
      </c>
    </row>
    <row r="1739" spans="1:2" x14ac:dyDescent="0.25">
      <c r="A1739">
        <v>1739</v>
      </c>
      <c r="B1739" t="str">
        <f t="shared" si="27"/>
        <v>ۋ</v>
      </c>
    </row>
    <row r="1740" spans="1:2" x14ac:dyDescent="0.25">
      <c r="A1740">
        <v>1740</v>
      </c>
      <c r="B1740" t="str">
        <f t="shared" si="27"/>
        <v>ی</v>
      </c>
    </row>
    <row r="1741" spans="1:2" x14ac:dyDescent="0.25">
      <c r="A1741">
        <v>1741</v>
      </c>
      <c r="B1741" t="str">
        <f t="shared" si="27"/>
        <v>ۍ</v>
      </c>
    </row>
    <row r="1742" spans="1:2" x14ac:dyDescent="0.25">
      <c r="A1742">
        <v>1742</v>
      </c>
      <c r="B1742" t="str">
        <f t="shared" si="27"/>
        <v>ێ</v>
      </c>
    </row>
    <row r="1743" spans="1:2" x14ac:dyDescent="0.25">
      <c r="A1743">
        <v>1743</v>
      </c>
      <c r="B1743" t="str">
        <f t="shared" si="27"/>
        <v>ۏ</v>
      </c>
    </row>
    <row r="1744" spans="1:2" x14ac:dyDescent="0.25">
      <c r="A1744">
        <v>1744</v>
      </c>
      <c r="B1744" t="str">
        <f t="shared" si="27"/>
        <v>ې</v>
      </c>
    </row>
    <row r="1745" spans="1:2" x14ac:dyDescent="0.25">
      <c r="A1745">
        <v>1745</v>
      </c>
      <c r="B1745" t="str">
        <f t="shared" si="27"/>
        <v>ۑ</v>
      </c>
    </row>
    <row r="1746" spans="1:2" x14ac:dyDescent="0.25">
      <c r="A1746">
        <v>1746</v>
      </c>
      <c r="B1746" t="str">
        <f t="shared" si="27"/>
        <v>ے</v>
      </c>
    </row>
    <row r="1747" spans="1:2" x14ac:dyDescent="0.25">
      <c r="A1747">
        <v>1747</v>
      </c>
      <c r="B1747" t="str">
        <f t="shared" si="27"/>
        <v>ۓ</v>
      </c>
    </row>
    <row r="1748" spans="1:2" x14ac:dyDescent="0.25">
      <c r="A1748">
        <v>1748</v>
      </c>
      <c r="B1748" t="str">
        <f t="shared" si="27"/>
        <v>۔</v>
      </c>
    </row>
    <row r="1749" spans="1:2" x14ac:dyDescent="0.25">
      <c r="A1749">
        <v>1749</v>
      </c>
      <c r="B1749" t="str">
        <f t="shared" si="27"/>
        <v>ە</v>
      </c>
    </row>
    <row r="1750" spans="1:2" x14ac:dyDescent="0.25">
      <c r="A1750">
        <v>1750</v>
      </c>
      <c r="B1750" t="str">
        <f t="shared" si="27"/>
        <v>ۖ</v>
      </c>
    </row>
    <row r="1751" spans="1:2" x14ac:dyDescent="0.25">
      <c r="A1751">
        <v>1751</v>
      </c>
      <c r="B1751" t="str">
        <f t="shared" si="27"/>
        <v>ۗ</v>
      </c>
    </row>
    <row r="1752" spans="1:2" x14ac:dyDescent="0.25">
      <c r="A1752">
        <v>1752</v>
      </c>
      <c r="B1752" t="str">
        <f t="shared" si="27"/>
        <v>ۘ</v>
      </c>
    </row>
    <row r="1753" spans="1:2" x14ac:dyDescent="0.25">
      <c r="A1753">
        <v>1753</v>
      </c>
      <c r="B1753" t="str">
        <f t="shared" si="27"/>
        <v>ۙ</v>
      </c>
    </row>
    <row r="1754" spans="1:2" x14ac:dyDescent="0.25">
      <c r="A1754">
        <v>1754</v>
      </c>
      <c r="B1754" t="str">
        <f t="shared" si="27"/>
        <v>ۚ</v>
      </c>
    </row>
    <row r="1755" spans="1:2" x14ac:dyDescent="0.25">
      <c r="A1755">
        <v>1755</v>
      </c>
      <c r="B1755" t="str">
        <f t="shared" si="27"/>
        <v>ۛ</v>
      </c>
    </row>
    <row r="1756" spans="1:2" x14ac:dyDescent="0.25">
      <c r="A1756">
        <v>1756</v>
      </c>
      <c r="B1756" t="str">
        <f t="shared" si="27"/>
        <v>ۜ</v>
      </c>
    </row>
    <row r="1757" spans="1:2" x14ac:dyDescent="0.25">
      <c r="A1757">
        <v>1757</v>
      </c>
      <c r="B1757" t="str">
        <f t="shared" si="27"/>
        <v>۝</v>
      </c>
    </row>
    <row r="1758" spans="1:2" x14ac:dyDescent="0.25">
      <c r="A1758">
        <v>1758</v>
      </c>
      <c r="B1758" t="str">
        <f t="shared" si="27"/>
        <v>۞</v>
      </c>
    </row>
    <row r="1759" spans="1:2" x14ac:dyDescent="0.25">
      <c r="A1759">
        <v>1759</v>
      </c>
      <c r="B1759" t="str">
        <f t="shared" si="27"/>
        <v>۟</v>
      </c>
    </row>
    <row r="1760" spans="1:2" x14ac:dyDescent="0.25">
      <c r="A1760">
        <v>1760</v>
      </c>
      <c r="B1760" t="str">
        <f t="shared" si="27"/>
        <v>۠</v>
      </c>
    </row>
    <row r="1761" spans="1:2" x14ac:dyDescent="0.25">
      <c r="A1761">
        <v>1761</v>
      </c>
      <c r="B1761" t="str">
        <f t="shared" si="27"/>
        <v>ۡ</v>
      </c>
    </row>
    <row r="1762" spans="1:2" x14ac:dyDescent="0.25">
      <c r="A1762">
        <v>1762</v>
      </c>
      <c r="B1762" t="str">
        <f t="shared" si="27"/>
        <v>ۢ</v>
      </c>
    </row>
    <row r="1763" spans="1:2" x14ac:dyDescent="0.25">
      <c r="A1763">
        <v>1763</v>
      </c>
      <c r="B1763" t="str">
        <f t="shared" si="27"/>
        <v>ۣ</v>
      </c>
    </row>
    <row r="1764" spans="1:2" x14ac:dyDescent="0.25">
      <c r="A1764">
        <v>1764</v>
      </c>
      <c r="B1764" t="str">
        <f t="shared" si="27"/>
        <v>ۤ</v>
      </c>
    </row>
    <row r="1765" spans="1:2" x14ac:dyDescent="0.25">
      <c r="A1765">
        <v>1765</v>
      </c>
      <c r="B1765" t="str">
        <f t="shared" si="27"/>
        <v>ۥ</v>
      </c>
    </row>
    <row r="1766" spans="1:2" x14ac:dyDescent="0.25">
      <c r="A1766">
        <v>1766</v>
      </c>
      <c r="B1766" t="str">
        <f t="shared" si="27"/>
        <v>ۦ</v>
      </c>
    </row>
    <row r="1767" spans="1:2" x14ac:dyDescent="0.25">
      <c r="A1767">
        <v>1767</v>
      </c>
      <c r="B1767" t="str">
        <f t="shared" si="27"/>
        <v>ۧ</v>
      </c>
    </row>
    <row r="1768" spans="1:2" x14ac:dyDescent="0.25">
      <c r="A1768">
        <v>1768</v>
      </c>
      <c r="B1768" t="str">
        <f t="shared" si="27"/>
        <v>ۨ</v>
      </c>
    </row>
    <row r="1769" spans="1:2" x14ac:dyDescent="0.25">
      <c r="A1769">
        <v>1769</v>
      </c>
      <c r="B1769" t="str">
        <f t="shared" si="27"/>
        <v>۩</v>
      </c>
    </row>
    <row r="1770" spans="1:2" x14ac:dyDescent="0.25">
      <c r="A1770">
        <v>1770</v>
      </c>
      <c r="B1770" t="str">
        <f t="shared" si="27"/>
        <v>۪</v>
      </c>
    </row>
    <row r="1771" spans="1:2" x14ac:dyDescent="0.25">
      <c r="A1771">
        <v>1771</v>
      </c>
      <c r="B1771" t="str">
        <f t="shared" si="27"/>
        <v>۫</v>
      </c>
    </row>
    <row r="1772" spans="1:2" x14ac:dyDescent="0.25">
      <c r="A1772">
        <v>1772</v>
      </c>
      <c r="B1772" t="str">
        <f t="shared" si="27"/>
        <v>۬</v>
      </c>
    </row>
    <row r="1773" spans="1:2" x14ac:dyDescent="0.25">
      <c r="A1773">
        <v>1773</v>
      </c>
      <c r="B1773" t="str">
        <f t="shared" si="27"/>
        <v>ۭ</v>
      </c>
    </row>
    <row r="1774" spans="1:2" x14ac:dyDescent="0.25">
      <c r="A1774">
        <v>1774</v>
      </c>
      <c r="B1774" t="str">
        <f t="shared" si="27"/>
        <v>ۮ</v>
      </c>
    </row>
    <row r="1775" spans="1:2" x14ac:dyDescent="0.25">
      <c r="A1775">
        <v>1775</v>
      </c>
      <c r="B1775" t="str">
        <f t="shared" si="27"/>
        <v>ۯ</v>
      </c>
    </row>
    <row r="1776" spans="1:2" x14ac:dyDescent="0.25">
      <c r="A1776">
        <v>1776</v>
      </c>
      <c r="B1776" t="str">
        <f t="shared" si="27"/>
        <v>۰</v>
      </c>
    </row>
    <row r="1777" spans="1:2" x14ac:dyDescent="0.25">
      <c r="A1777">
        <v>1777</v>
      </c>
      <c r="B1777" t="str">
        <f t="shared" si="27"/>
        <v>۱</v>
      </c>
    </row>
    <row r="1778" spans="1:2" x14ac:dyDescent="0.25">
      <c r="A1778">
        <v>1778</v>
      </c>
      <c r="B1778" t="str">
        <f t="shared" si="27"/>
        <v>۲</v>
      </c>
    </row>
    <row r="1779" spans="1:2" x14ac:dyDescent="0.25">
      <c r="A1779">
        <v>1779</v>
      </c>
      <c r="B1779" t="str">
        <f t="shared" si="27"/>
        <v>۳</v>
      </c>
    </row>
    <row r="1780" spans="1:2" x14ac:dyDescent="0.25">
      <c r="A1780">
        <v>1780</v>
      </c>
      <c r="B1780" t="str">
        <f t="shared" si="27"/>
        <v>۴</v>
      </c>
    </row>
    <row r="1781" spans="1:2" x14ac:dyDescent="0.25">
      <c r="A1781">
        <v>1781</v>
      </c>
      <c r="B1781" t="str">
        <f t="shared" si="27"/>
        <v>۵</v>
      </c>
    </row>
    <row r="1782" spans="1:2" x14ac:dyDescent="0.25">
      <c r="A1782">
        <v>1782</v>
      </c>
      <c r="B1782" t="str">
        <f t="shared" si="27"/>
        <v>۶</v>
      </c>
    </row>
    <row r="1783" spans="1:2" x14ac:dyDescent="0.25">
      <c r="A1783">
        <v>1783</v>
      </c>
      <c r="B1783" t="str">
        <f t="shared" si="27"/>
        <v>۷</v>
      </c>
    </row>
    <row r="1784" spans="1:2" x14ac:dyDescent="0.25">
      <c r="A1784">
        <v>1784</v>
      </c>
      <c r="B1784" t="str">
        <f t="shared" si="27"/>
        <v>۸</v>
      </c>
    </row>
    <row r="1785" spans="1:2" x14ac:dyDescent="0.25">
      <c r="A1785">
        <v>1785</v>
      </c>
      <c r="B1785" t="str">
        <f t="shared" si="27"/>
        <v>۹</v>
      </c>
    </row>
    <row r="1786" spans="1:2" x14ac:dyDescent="0.25">
      <c r="A1786">
        <v>1786</v>
      </c>
      <c r="B1786" t="str">
        <f t="shared" si="27"/>
        <v>ۺ</v>
      </c>
    </row>
    <row r="1787" spans="1:2" x14ac:dyDescent="0.25">
      <c r="A1787">
        <v>1787</v>
      </c>
      <c r="B1787" t="str">
        <f t="shared" si="27"/>
        <v>ۻ</v>
      </c>
    </row>
    <row r="1788" spans="1:2" x14ac:dyDescent="0.25">
      <c r="A1788">
        <v>1788</v>
      </c>
      <c r="B1788" t="str">
        <f t="shared" si="27"/>
        <v>ۼ</v>
      </c>
    </row>
    <row r="1789" spans="1:2" x14ac:dyDescent="0.25">
      <c r="A1789">
        <v>1789</v>
      </c>
      <c r="B1789" t="str">
        <f t="shared" si="27"/>
        <v>۽</v>
      </c>
    </row>
    <row r="1790" spans="1:2" x14ac:dyDescent="0.25">
      <c r="A1790">
        <v>1790</v>
      </c>
      <c r="B1790" t="str">
        <f t="shared" si="27"/>
        <v>۾</v>
      </c>
    </row>
    <row r="1791" spans="1:2" x14ac:dyDescent="0.25">
      <c r="A1791">
        <v>1791</v>
      </c>
      <c r="B1791" t="str">
        <f t="shared" si="27"/>
        <v>ۿ</v>
      </c>
    </row>
    <row r="1792" spans="1:2" x14ac:dyDescent="0.25">
      <c r="A1792">
        <v>1792</v>
      </c>
      <c r="B1792" t="str">
        <f t="shared" si="27"/>
        <v>܀</v>
      </c>
    </row>
    <row r="1793" spans="1:2" x14ac:dyDescent="0.25">
      <c r="A1793">
        <v>1793</v>
      </c>
      <c r="B1793" t="str">
        <f t="shared" si="27"/>
        <v>܁</v>
      </c>
    </row>
    <row r="1794" spans="1:2" x14ac:dyDescent="0.25">
      <c r="A1794">
        <v>1794</v>
      </c>
      <c r="B1794" t="str">
        <f t="shared" ref="B1794:B1857" si="28">_xlfn.UNICHAR(A1794)</f>
        <v>܂</v>
      </c>
    </row>
    <row r="1795" spans="1:2" x14ac:dyDescent="0.25">
      <c r="A1795">
        <v>1795</v>
      </c>
      <c r="B1795" t="str">
        <f t="shared" si="28"/>
        <v>܃</v>
      </c>
    </row>
    <row r="1796" spans="1:2" x14ac:dyDescent="0.25">
      <c r="A1796">
        <v>1796</v>
      </c>
      <c r="B1796" t="str">
        <f t="shared" si="28"/>
        <v>܄</v>
      </c>
    </row>
    <row r="1797" spans="1:2" x14ac:dyDescent="0.25">
      <c r="A1797">
        <v>1797</v>
      </c>
      <c r="B1797" t="str">
        <f t="shared" si="28"/>
        <v>܅</v>
      </c>
    </row>
    <row r="1798" spans="1:2" x14ac:dyDescent="0.25">
      <c r="A1798">
        <v>1798</v>
      </c>
      <c r="B1798" t="str">
        <f t="shared" si="28"/>
        <v>܆</v>
      </c>
    </row>
    <row r="1799" spans="1:2" x14ac:dyDescent="0.25">
      <c r="A1799">
        <v>1799</v>
      </c>
      <c r="B1799" t="str">
        <f t="shared" si="28"/>
        <v>܇</v>
      </c>
    </row>
    <row r="1800" spans="1:2" x14ac:dyDescent="0.25">
      <c r="A1800">
        <v>1800</v>
      </c>
      <c r="B1800" t="str">
        <f t="shared" si="28"/>
        <v>܈</v>
      </c>
    </row>
    <row r="1801" spans="1:2" x14ac:dyDescent="0.25">
      <c r="A1801">
        <v>1801</v>
      </c>
      <c r="B1801" t="str">
        <f t="shared" si="28"/>
        <v>܉</v>
      </c>
    </row>
    <row r="1802" spans="1:2" x14ac:dyDescent="0.25">
      <c r="A1802">
        <v>1802</v>
      </c>
      <c r="B1802" t="str">
        <f t="shared" si="28"/>
        <v>܊</v>
      </c>
    </row>
    <row r="1803" spans="1:2" x14ac:dyDescent="0.25">
      <c r="A1803">
        <v>1803</v>
      </c>
      <c r="B1803" t="str">
        <f t="shared" si="28"/>
        <v>܋</v>
      </c>
    </row>
    <row r="1804" spans="1:2" x14ac:dyDescent="0.25">
      <c r="A1804">
        <v>1804</v>
      </c>
      <c r="B1804" t="str">
        <f t="shared" si="28"/>
        <v>܌</v>
      </c>
    </row>
    <row r="1805" spans="1:2" x14ac:dyDescent="0.25">
      <c r="A1805">
        <v>1805</v>
      </c>
      <c r="B1805" t="str">
        <f t="shared" si="28"/>
        <v>܍</v>
      </c>
    </row>
    <row r="1806" spans="1:2" x14ac:dyDescent="0.25">
      <c r="A1806">
        <v>1806</v>
      </c>
      <c r="B1806" t="str">
        <f t="shared" si="28"/>
        <v>܎</v>
      </c>
    </row>
    <row r="1807" spans="1:2" x14ac:dyDescent="0.25">
      <c r="A1807">
        <v>1807</v>
      </c>
      <c r="B1807" t="str">
        <f t="shared" si="28"/>
        <v>܏</v>
      </c>
    </row>
    <row r="1808" spans="1:2" x14ac:dyDescent="0.25">
      <c r="A1808">
        <v>1808</v>
      </c>
      <c r="B1808" t="str">
        <f t="shared" si="28"/>
        <v>ܐ</v>
      </c>
    </row>
    <row r="1809" spans="1:2" x14ac:dyDescent="0.25">
      <c r="A1809">
        <v>1809</v>
      </c>
      <c r="B1809" t="str">
        <f t="shared" si="28"/>
        <v>ܑ</v>
      </c>
    </row>
    <row r="1810" spans="1:2" x14ac:dyDescent="0.25">
      <c r="A1810">
        <v>1810</v>
      </c>
      <c r="B1810" t="str">
        <f t="shared" si="28"/>
        <v>ܒ</v>
      </c>
    </row>
    <row r="1811" spans="1:2" x14ac:dyDescent="0.25">
      <c r="A1811">
        <v>1811</v>
      </c>
      <c r="B1811" t="str">
        <f t="shared" si="28"/>
        <v>ܓ</v>
      </c>
    </row>
    <row r="1812" spans="1:2" x14ac:dyDescent="0.25">
      <c r="A1812">
        <v>1812</v>
      </c>
      <c r="B1812" t="str">
        <f t="shared" si="28"/>
        <v>ܔ</v>
      </c>
    </row>
    <row r="1813" spans="1:2" x14ac:dyDescent="0.25">
      <c r="A1813">
        <v>1813</v>
      </c>
      <c r="B1813" t="str">
        <f t="shared" si="28"/>
        <v>ܕ</v>
      </c>
    </row>
    <row r="1814" spans="1:2" x14ac:dyDescent="0.25">
      <c r="A1814">
        <v>1814</v>
      </c>
      <c r="B1814" t="str">
        <f t="shared" si="28"/>
        <v>ܖ</v>
      </c>
    </row>
    <row r="1815" spans="1:2" x14ac:dyDescent="0.25">
      <c r="A1815">
        <v>1815</v>
      </c>
      <c r="B1815" t="str">
        <f t="shared" si="28"/>
        <v>ܗ</v>
      </c>
    </row>
    <row r="1816" spans="1:2" x14ac:dyDescent="0.25">
      <c r="A1816">
        <v>1816</v>
      </c>
      <c r="B1816" t="str">
        <f t="shared" si="28"/>
        <v>ܘ</v>
      </c>
    </row>
    <row r="1817" spans="1:2" x14ac:dyDescent="0.25">
      <c r="A1817">
        <v>1817</v>
      </c>
      <c r="B1817" t="str">
        <f t="shared" si="28"/>
        <v>ܙ</v>
      </c>
    </row>
    <row r="1818" spans="1:2" x14ac:dyDescent="0.25">
      <c r="A1818">
        <v>1818</v>
      </c>
      <c r="B1818" t="str">
        <f t="shared" si="28"/>
        <v>ܚ</v>
      </c>
    </row>
    <row r="1819" spans="1:2" x14ac:dyDescent="0.25">
      <c r="A1819">
        <v>1819</v>
      </c>
      <c r="B1819" t="str">
        <f t="shared" si="28"/>
        <v>ܛ</v>
      </c>
    </row>
    <row r="1820" spans="1:2" x14ac:dyDescent="0.25">
      <c r="A1820">
        <v>1820</v>
      </c>
      <c r="B1820" t="str">
        <f t="shared" si="28"/>
        <v>ܜ</v>
      </c>
    </row>
    <row r="1821" spans="1:2" x14ac:dyDescent="0.25">
      <c r="A1821">
        <v>1821</v>
      </c>
      <c r="B1821" t="str">
        <f t="shared" si="28"/>
        <v>ܝ</v>
      </c>
    </row>
    <row r="1822" spans="1:2" x14ac:dyDescent="0.25">
      <c r="A1822">
        <v>1822</v>
      </c>
      <c r="B1822" t="str">
        <f t="shared" si="28"/>
        <v>ܞ</v>
      </c>
    </row>
    <row r="1823" spans="1:2" x14ac:dyDescent="0.25">
      <c r="A1823">
        <v>1823</v>
      </c>
      <c r="B1823" t="str">
        <f t="shared" si="28"/>
        <v>ܟ</v>
      </c>
    </row>
    <row r="1824" spans="1:2" x14ac:dyDescent="0.25">
      <c r="A1824">
        <v>1824</v>
      </c>
      <c r="B1824" t="str">
        <f t="shared" si="28"/>
        <v>ܠ</v>
      </c>
    </row>
    <row r="1825" spans="1:2" x14ac:dyDescent="0.25">
      <c r="A1825">
        <v>1825</v>
      </c>
      <c r="B1825" t="str">
        <f t="shared" si="28"/>
        <v>ܡ</v>
      </c>
    </row>
    <row r="1826" spans="1:2" x14ac:dyDescent="0.25">
      <c r="A1826">
        <v>1826</v>
      </c>
      <c r="B1826" t="str">
        <f t="shared" si="28"/>
        <v>ܢ</v>
      </c>
    </row>
    <row r="1827" spans="1:2" x14ac:dyDescent="0.25">
      <c r="A1827">
        <v>1827</v>
      </c>
      <c r="B1827" t="str">
        <f t="shared" si="28"/>
        <v>ܣ</v>
      </c>
    </row>
    <row r="1828" spans="1:2" x14ac:dyDescent="0.25">
      <c r="A1828">
        <v>1828</v>
      </c>
      <c r="B1828" t="str">
        <f t="shared" si="28"/>
        <v>ܤ</v>
      </c>
    </row>
    <row r="1829" spans="1:2" x14ac:dyDescent="0.25">
      <c r="A1829">
        <v>1829</v>
      </c>
      <c r="B1829" t="str">
        <f t="shared" si="28"/>
        <v>ܥ</v>
      </c>
    </row>
    <row r="1830" spans="1:2" x14ac:dyDescent="0.25">
      <c r="A1830">
        <v>1830</v>
      </c>
      <c r="B1830" t="str">
        <f t="shared" si="28"/>
        <v>ܦ</v>
      </c>
    </row>
    <row r="1831" spans="1:2" x14ac:dyDescent="0.25">
      <c r="A1831">
        <v>1831</v>
      </c>
      <c r="B1831" t="str">
        <f t="shared" si="28"/>
        <v>ܧ</v>
      </c>
    </row>
    <row r="1832" spans="1:2" x14ac:dyDescent="0.25">
      <c r="A1832">
        <v>1832</v>
      </c>
      <c r="B1832" t="str">
        <f t="shared" si="28"/>
        <v>ܨ</v>
      </c>
    </row>
    <row r="1833" spans="1:2" x14ac:dyDescent="0.25">
      <c r="A1833">
        <v>1833</v>
      </c>
      <c r="B1833" t="str">
        <f t="shared" si="28"/>
        <v>ܩ</v>
      </c>
    </row>
    <row r="1834" spans="1:2" x14ac:dyDescent="0.25">
      <c r="A1834">
        <v>1834</v>
      </c>
      <c r="B1834" t="str">
        <f t="shared" si="28"/>
        <v>ܪ</v>
      </c>
    </row>
    <row r="1835" spans="1:2" x14ac:dyDescent="0.25">
      <c r="A1835">
        <v>1835</v>
      </c>
      <c r="B1835" t="str">
        <f t="shared" si="28"/>
        <v>ܫ</v>
      </c>
    </row>
    <row r="1836" spans="1:2" x14ac:dyDescent="0.25">
      <c r="A1836">
        <v>1836</v>
      </c>
      <c r="B1836" t="str">
        <f t="shared" si="28"/>
        <v>ܬ</v>
      </c>
    </row>
    <row r="1837" spans="1:2" x14ac:dyDescent="0.25">
      <c r="A1837">
        <v>1837</v>
      </c>
      <c r="B1837" t="str">
        <f t="shared" si="28"/>
        <v>ܭ</v>
      </c>
    </row>
    <row r="1838" spans="1:2" x14ac:dyDescent="0.25">
      <c r="A1838">
        <v>1838</v>
      </c>
      <c r="B1838" t="str">
        <f t="shared" si="28"/>
        <v>ܮ</v>
      </c>
    </row>
    <row r="1839" spans="1:2" x14ac:dyDescent="0.25">
      <c r="A1839">
        <v>1839</v>
      </c>
      <c r="B1839" t="str">
        <f t="shared" si="28"/>
        <v>ܯ</v>
      </c>
    </row>
    <row r="1840" spans="1:2" x14ac:dyDescent="0.25">
      <c r="A1840">
        <v>1840</v>
      </c>
      <c r="B1840" t="str">
        <f t="shared" si="28"/>
        <v>ܰ</v>
      </c>
    </row>
    <row r="1841" spans="1:2" x14ac:dyDescent="0.25">
      <c r="A1841">
        <v>1841</v>
      </c>
      <c r="B1841" t="str">
        <f t="shared" si="28"/>
        <v>ܱ</v>
      </c>
    </row>
    <row r="1842" spans="1:2" x14ac:dyDescent="0.25">
      <c r="A1842">
        <v>1842</v>
      </c>
      <c r="B1842" t="str">
        <f t="shared" si="28"/>
        <v>ܲ</v>
      </c>
    </row>
    <row r="1843" spans="1:2" x14ac:dyDescent="0.25">
      <c r="A1843">
        <v>1843</v>
      </c>
      <c r="B1843" t="str">
        <f t="shared" si="28"/>
        <v>ܳ</v>
      </c>
    </row>
    <row r="1844" spans="1:2" x14ac:dyDescent="0.25">
      <c r="A1844">
        <v>1844</v>
      </c>
      <c r="B1844" t="str">
        <f t="shared" si="28"/>
        <v>ܴ</v>
      </c>
    </row>
    <row r="1845" spans="1:2" x14ac:dyDescent="0.25">
      <c r="A1845">
        <v>1845</v>
      </c>
      <c r="B1845" t="str">
        <f t="shared" si="28"/>
        <v>ܵ</v>
      </c>
    </row>
    <row r="1846" spans="1:2" x14ac:dyDescent="0.25">
      <c r="A1846">
        <v>1846</v>
      </c>
      <c r="B1846" t="str">
        <f t="shared" si="28"/>
        <v>ܶ</v>
      </c>
    </row>
    <row r="1847" spans="1:2" x14ac:dyDescent="0.25">
      <c r="A1847">
        <v>1847</v>
      </c>
      <c r="B1847" t="str">
        <f t="shared" si="28"/>
        <v>ܷ</v>
      </c>
    </row>
    <row r="1848" spans="1:2" x14ac:dyDescent="0.25">
      <c r="A1848">
        <v>1848</v>
      </c>
      <c r="B1848" t="str">
        <f t="shared" si="28"/>
        <v>ܸ</v>
      </c>
    </row>
    <row r="1849" spans="1:2" x14ac:dyDescent="0.25">
      <c r="A1849">
        <v>1849</v>
      </c>
      <c r="B1849" t="str">
        <f t="shared" si="28"/>
        <v>ܹ</v>
      </c>
    </row>
    <row r="1850" spans="1:2" x14ac:dyDescent="0.25">
      <c r="A1850">
        <v>1850</v>
      </c>
      <c r="B1850" t="str">
        <f t="shared" si="28"/>
        <v>ܺ</v>
      </c>
    </row>
    <row r="1851" spans="1:2" x14ac:dyDescent="0.25">
      <c r="A1851">
        <v>1851</v>
      </c>
      <c r="B1851" t="str">
        <f t="shared" si="28"/>
        <v>ܻ</v>
      </c>
    </row>
    <row r="1852" spans="1:2" x14ac:dyDescent="0.25">
      <c r="A1852">
        <v>1852</v>
      </c>
      <c r="B1852" t="str">
        <f t="shared" si="28"/>
        <v>ܼ</v>
      </c>
    </row>
    <row r="1853" spans="1:2" x14ac:dyDescent="0.25">
      <c r="A1853">
        <v>1853</v>
      </c>
      <c r="B1853" t="str">
        <f t="shared" si="28"/>
        <v>ܽ</v>
      </c>
    </row>
    <row r="1854" spans="1:2" x14ac:dyDescent="0.25">
      <c r="A1854">
        <v>1854</v>
      </c>
      <c r="B1854" t="str">
        <f t="shared" si="28"/>
        <v>ܾ</v>
      </c>
    </row>
    <row r="1855" spans="1:2" x14ac:dyDescent="0.25">
      <c r="A1855">
        <v>1855</v>
      </c>
      <c r="B1855" t="str">
        <f t="shared" si="28"/>
        <v>ܿ</v>
      </c>
    </row>
    <row r="1856" spans="1:2" x14ac:dyDescent="0.25">
      <c r="A1856">
        <v>1856</v>
      </c>
      <c r="B1856" t="str">
        <f t="shared" si="28"/>
        <v>݀</v>
      </c>
    </row>
    <row r="1857" spans="1:2" x14ac:dyDescent="0.25">
      <c r="A1857">
        <v>1857</v>
      </c>
      <c r="B1857" t="str">
        <f t="shared" si="28"/>
        <v>݁</v>
      </c>
    </row>
    <row r="1858" spans="1:2" x14ac:dyDescent="0.25">
      <c r="A1858">
        <v>1858</v>
      </c>
      <c r="B1858" t="str">
        <f t="shared" ref="B1858:B1921" si="29">_xlfn.UNICHAR(A1858)</f>
        <v>݂</v>
      </c>
    </row>
    <row r="1859" spans="1:2" x14ac:dyDescent="0.25">
      <c r="A1859">
        <v>1859</v>
      </c>
      <c r="B1859" t="str">
        <f t="shared" si="29"/>
        <v>݃</v>
      </c>
    </row>
    <row r="1860" spans="1:2" x14ac:dyDescent="0.25">
      <c r="A1860">
        <v>1860</v>
      </c>
      <c r="B1860" t="str">
        <f t="shared" si="29"/>
        <v>݄</v>
      </c>
    </row>
    <row r="1861" spans="1:2" x14ac:dyDescent="0.25">
      <c r="A1861">
        <v>1861</v>
      </c>
      <c r="B1861" t="str">
        <f t="shared" si="29"/>
        <v>݅</v>
      </c>
    </row>
    <row r="1862" spans="1:2" x14ac:dyDescent="0.25">
      <c r="A1862">
        <v>1862</v>
      </c>
      <c r="B1862" t="str">
        <f t="shared" si="29"/>
        <v>݆</v>
      </c>
    </row>
    <row r="1863" spans="1:2" x14ac:dyDescent="0.25">
      <c r="A1863">
        <v>1863</v>
      </c>
      <c r="B1863" t="str">
        <f t="shared" si="29"/>
        <v>݇</v>
      </c>
    </row>
    <row r="1864" spans="1:2" x14ac:dyDescent="0.25">
      <c r="A1864">
        <v>1864</v>
      </c>
      <c r="B1864" t="str">
        <f t="shared" si="29"/>
        <v>݈</v>
      </c>
    </row>
    <row r="1865" spans="1:2" x14ac:dyDescent="0.25">
      <c r="A1865">
        <v>1865</v>
      </c>
      <c r="B1865" t="str">
        <f t="shared" si="29"/>
        <v>݉</v>
      </c>
    </row>
    <row r="1866" spans="1:2" x14ac:dyDescent="0.25">
      <c r="A1866">
        <v>1866</v>
      </c>
      <c r="B1866" t="str">
        <f t="shared" si="29"/>
        <v>݊</v>
      </c>
    </row>
    <row r="1867" spans="1:2" x14ac:dyDescent="0.25">
      <c r="A1867">
        <v>1867</v>
      </c>
      <c r="B1867" t="str">
        <f t="shared" si="29"/>
        <v>݋</v>
      </c>
    </row>
    <row r="1868" spans="1:2" x14ac:dyDescent="0.25">
      <c r="A1868">
        <v>1868</v>
      </c>
      <c r="B1868" t="str">
        <f t="shared" si="29"/>
        <v>݌</v>
      </c>
    </row>
    <row r="1869" spans="1:2" x14ac:dyDescent="0.25">
      <c r="A1869">
        <v>1869</v>
      </c>
      <c r="B1869" t="str">
        <f t="shared" si="29"/>
        <v>ݍ</v>
      </c>
    </row>
    <row r="1870" spans="1:2" x14ac:dyDescent="0.25">
      <c r="A1870">
        <v>1870</v>
      </c>
      <c r="B1870" t="str">
        <f t="shared" si="29"/>
        <v>ݎ</v>
      </c>
    </row>
    <row r="1871" spans="1:2" x14ac:dyDescent="0.25">
      <c r="A1871">
        <v>1871</v>
      </c>
      <c r="B1871" t="str">
        <f t="shared" si="29"/>
        <v>ݏ</v>
      </c>
    </row>
    <row r="1872" spans="1:2" x14ac:dyDescent="0.25">
      <c r="A1872">
        <v>1872</v>
      </c>
      <c r="B1872" t="str">
        <f t="shared" si="29"/>
        <v>ݐ</v>
      </c>
    </row>
    <row r="1873" spans="1:2" x14ac:dyDescent="0.25">
      <c r="A1873">
        <v>1873</v>
      </c>
      <c r="B1873" t="str">
        <f t="shared" si="29"/>
        <v>ݑ</v>
      </c>
    </row>
    <row r="1874" spans="1:2" x14ac:dyDescent="0.25">
      <c r="A1874">
        <v>1874</v>
      </c>
      <c r="B1874" t="str">
        <f t="shared" si="29"/>
        <v>ݒ</v>
      </c>
    </row>
    <row r="1875" spans="1:2" x14ac:dyDescent="0.25">
      <c r="A1875">
        <v>1875</v>
      </c>
      <c r="B1875" t="str">
        <f t="shared" si="29"/>
        <v>ݓ</v>
      </c>
    </row>
    <row r="1876" spans="1:2" x14ac:dyDescent="0.25">
      <c r="A1876">
        <v>1876</v>
      </c>
      <c r="B1876" t="str">
        <f t="shared" si="29"/>
        <v>ݔ</v>
      </c>
    </row>
    <row r="1877" spans="1:2" x14ac:dyDescent="0.25">
      <c r="A1877">
        <v>1877</v>
      </c>
      <c r="B1877" t="str">
        <f t="shared" si="29"/>
        <v>ݕ</v>
      </c>
    </row>
    <row r="1878" spans="1:2" x14ac:dyDescent="0.25">
      <c r="A1878">
        <v>1878</v>
      </c>
      <c r="B1878" t="str">
        <f t="shared" si="29"/>
        <v>ݖ</v>
      </c>
    </row>
    <row r="1879" spans="1:2" x14ac:dyDescent="0.25">
      <c r="A1879">
        <v>1879</v>
      </c>
      <c r="B1879" t="str">
        <f t="shared" si="29"/>
        <v>ݗ</v>
      </c>
    </row>
    <row r="1880" spans="1:2" x14ac:dyDescent="0.25">
      <c r="A1880">
        <v>1880</v>
      </c>
      <c r="B1880" t="str">
        <f t="shared" si="29"/>
        <v>ݘ</v>
      </c>
    </row>
    <row r="1881" spans="1:2" x14ac:dyDescent="0.25">
      <c r="A1881">
        <v>1881</v>
      </c>
      <c r="B1881" t="str">
        <f t="shared" si="29"/>
        <v>ݙ</v>
      </c>
    </row>
    <row r="1882" spans="1:2" x14ac:dyDescent="0.25">
      <c r="A1882">
        <v>1882</v>
      </c>
      <c r="B1882" t="str">
        <f t="shared" si="29"/>
        <v>ݚ</v>
      </c>
    </row>
    <row r="1883" spans="1:2" x14ac:dyDescent="0.25">
      <c r="A1883">
        <v>1883</v>
      </c>
      <c r="B1883" t="str">
        <f t="shared" si="29"/>
        <v>ݛ</v>
      </c>
    </row>
    <row r="1884" spans="1:2" x14ac:dyDescent="0.25">
      <c r="A1884">
        <v>1884</v>
      </c>
      <c r="B1884" t="str">
        <f t="shared" si="29"/>
        <v>ݜ</v>
      </c>
    </row>
    <row r="1885" spans="1:2" x14ac:dyDescent="0.25">
      <c r="A1885">
        <v>1885</v>
      </c>
      <c r="B1885" t="str">
        <f t="shared" si="29"/>
        <v>ݝ</v>
      </c>
    </row>
    <row r="1886" spans="1:2" x14ac:dyDescent="0.25">
      <c r="A1886">
        <v>1886</v>
      </c>
      <c r="B1886" t="str">
        <f t="shared" si="29"/>
        <v>ݞ</v>
      </c>
    </row>
    <row r="1887" spans="1:2" x14ac:dyDescent="0.25">
      <c r="A1887">
        <v>1887</v>
      </c>
      <c r="B1887" t="str">
        <f t="shared" si="29"/>
        <v>ݟ</v>
      </c>
    </row>
    <row r="1888" spans="1:2" x14ac:dyDescent="0.25">
      <c r="A1888">
        <v>1888</v>
      </c>
      <c r="B1888" t="str">
        <f t="shared" si="29"/>
        <v>ݠ</v>
      </c>
    </row>
    <row r="1889" spans="1:2" x14ac:dyDescent="0.25">
      <c r="A1889">
        <v>1889</v>
      </c>
      <c r="B1889" t="str">
        <f t="shared" si="29"/>
        <v>ݡ</v>
      </c>
    </row>
    <row r="1890" spans="1:2" x14ac:dyDescent="0.25">
      <c r="A1890">
        <v>1890</v>
      </c>
      <c r="B1890" t="str">
        <f t="shared" si="29"/>
        <v>ݢ</v>
      </c>
    </row>
    <row r="1891" spans="1:2" x14ac:dyDescent="0.25">
      <c r="A1891">
        <v>1891</v>
      </c>
      <c r="B1891" t="str">
        <f t="shared" si="29"/>
        <v>ݣ</v>
      </c>
    </row>
    <row r="1892" spans="1:2" x14ac:dyDescent="0.25">
      <c r="A1892">
        <v>1892</v>
      </c>
      <c r="B1892" t="str">
        <f t="shared" si="29"/>
        <v>ݤ</v>
      </c>
    </row>
    <row r="1893" spans="1:2" x14ac:dyDescent="0.25">
      <c r="A1893">
        <v>1893</v>
      </c>
      <c r="B1893" t="str">
        <f t="shared" si="29"/>
        <v>ݥ</v>
      </c>
    </row>
    <row r="1894" spans="1:2" x14ac:dyDescent="0.25">
      <c r="A1894">
        <v>1894</v>
      </c>
      <c r="B1894" t="str">
        <f t="shared" si="29"/>
        <v>ݦ</v>
      </c>
    </row>
    <row r="1895" spans="1:2" x14ac:dyDescent="0.25">
      <c r="A1895">
        <v>1895</v>
      </c>
      <c r="B1895" t="str">
        <f t="shared" si="29"/>
        <v>ݧ</v>
      </c>
    </row>
    <row r="1896" spans="1:2" x14ac:dyDescent="0.25">
      <c r="A1896">
        <v>1896</v>
      </c>
      <c r="B1896" t="str">
        <f t="shared" si="29"/>
        <v>ݨ</v>
      </c>
    </row>
    <row r="1897" spans="1:2" x14ac:dyDescent="0.25">
      <c r="A1897">
        <v>1897</v>
      </c>
      <c r="B1897" t="str">
        <f t="shared" si="29"/>
        <v>ݩ</v>
      </c>
    </row>
    <row r="1898" spans="1:2" x14ac:dyDescent="0.25">
      <c r="A1898">
        <v>1898</v>
      </c>
      <c r="B1898" t="str">
        <f t="shared" si="29"/>
        <v>ݪ</v>
      </c>
    </row>
    <row r="1899" spans="1:2" x14ac:dyDescent="0.25">
      <c r="A1899">
        <v>1899</v>
      </c>
      <c r="B1899" t="str">
        <f t="shared" si="29"/>
        <v>ݫ</v>
      </c>
    </row>
    <row r="1900" spans="1:2" x14ac:dyDescent="0.25">
      <c r="A1900">
        <v>1900</v>
      </c>
      <c r="B1900" t="str">
        <f t="shared" si="29"/>
        <v>ݬ</v>
      </c>
    </row>
    <row r="1901" spans="1:2" x14ac:dyDescent="0.25">
      <c r="A1901">
        <v>1901</v>
      </c>
      <c r="B1901" t="str">
        <f t="shared" si="29"/>
        <v>ݭ</v>
      </c>
    </row>
    <row r="1902" spans="1:2" x14ac:dyDescent="0.25">
      <c r="A1902">
        <v>1902</v>
      </c>
      <c r="B1902" t="str">
        <f t="shared" si="29"/>
        <v>ݮ</v>
      </c>
    </row>
    <row r="1903" spans="1:2" x14ac:dyDescent="0.25">
      <c r="A1903">
        <v>1903</v>
      </c>
      <c r="B1903" t="str">
        <f t="shared" si="29"/>
        <v>ݯ</v>
      </c>
    </row>
    <row r="1904" spans="1:2" x14ac:dyDescent="0.25">
      <c r="A1904">
        <v>1904</v>
      </c>
      <c r="B1904" t="str">
        <f t="shared" si="29"/>
        <v>ݰ</v>
      </c>
    </row>
    <row r="1905" spans="1:2" x14ac:dyDescent="0.25">
      <c r="A1905">
        <v>1905</v>
      </c>
      <c r="B1905" t="str">
        <f t="shared" si="29"/>
        <v>ݱ</v>
      </c>
    </row>
    <row r="1906" spans="1:2" x14ac:dyDescent="0.25">
      <c r="A1906">
        <v>1906</v>
      </c>
      <c r="B1906" t="str">
        <f t="shared" si="29"/>
        <v>ݲ</v>
      </c>
    </row>
    <row r="1907" spans="1:2" x14ac:dyDescent="0.25">
      <c r="A1907">
        <v>1907</v>
      </c>
      <c r="B1907" t="str">
        <f t="shared" si="29"/>
        <v>ݳ</v>
      </c>
    </row>
    <row r="1908" spans="1:2" x14ac:dyDescent="0.25">
      <c r="A1908">
        <v>1908</v>
      </c>
      <c r="B1908" t="str">
        <f t="shared" si="29"/>
        <v>ݴ</v>
      </c>
    </row>
    <row r="1909" spans="1:2" x14ac:dyDescent="0.25">
      <c r="A1909">
        <v>1909</v>
      </c>
      <c r="B1909" t="str">
        <f t="shared" si="29"/>
        <v>ݵ</v>
      </c>
    </row>
    <row r="1910" spans="1:2" x14ac:dyDescent="0.25">
      <c r="A1910">
        <v>1910</v>
      </c>
      <c r="B1910" t="str">
        <f t="shared" si="29"/>
        <v>ݶ</v>
      </c>
    </row>
    <row r="1911" spans="1:2" x14ac:dyDescent="0.25">
      <c r="A1911">
        <v>1911</v>
      </c>
      <c r="B1911" t="str">
        <f t="shared" si="29"/>
        <v>ݷ</v>
      </c>
    </row>
    <row r="1912" spans="1:2" x14ac:dyDescent="0.25">
      <c r="A1912">
        <v>1912</v>
      </c>
      <c r="B1912" t="str">
        <f t="shared" si="29"/>
        <v>ݸ</v>
      </c>
    </row>
    <row r="1913" spans="1:2" x14ac:dyDescent="0.25">
      <c r="A1913">
        <v>1913</v>
      </c>
      <c r="B1913" t="str">
        <f t="shared" si="29"/>
        <v>ݹ</v>
      </c>
    </row>
    <row r="1914" spans="1:2" x14ac:dyDescent="0.25">
      <c r="A1914">
        <v>1914</v>
      </c>
      <c r="B1914" t="str">
        <f t="shared" si="29"/>
        <v>ݺ</v>
      </c>
    </row>
    <row r="1915" spans="1:2" x14ac:dyDescent="0.25">
      <c r="A1915">
        <v>1915</v>
      </c>
      <c r="B1915" t="str">
        <f t="shared" si="29"/>
        <v>ݻ</v>
      </c>
    </row>
    <row r="1916" spans="1:2" x14ac:dyDescent="0.25">
      <c r="A1916">
        <v>1916</v>
      </c>
      <c r="B1916" t="str">
        <f t="shared" si="29"/>
        <v>ݼ</v>
      </c>
    </row>
    <row r="1917" spans="1:2" x14ac:dyDescent="0.25">
      <c r="A1917">
        <v>1917</v>
      </c>
      <c r="B1917" t="str">
        <f t="shared" si="29"/>
        <v>ݽ</v>
      </c>
    </row>
    <row r="1918" spans="1:2" x14ac:dyDescent="0.25">
      <c r="A1918">
        <v>1918</v>
      </c>
      <c r="B1918" t="str">
        <f t="shared" si="29"/>
        <v>ݾ</v>
      </c>
    </row>
    <row r="1919" spans="1:2" x14ac:dyDescent="0.25">
      <c r="A1919">
        <v>1919</v>
      </c>
      <c r="B1919" t="str">
        <f t="shared" si="29"/>
        <v>ݿ</v>
      </c>
    </row>
    <row r="1920" spans="1:2" x14ac:dyDescent="0.25">
      <c r="A1920">
        <v>1920</v>
      </c>
      <c r="B1920" t="str">
        <f t="shared" si="29"/>
        <v>ހ</v>
      </c>
    </row>
    <row r="1921" spans="1:2" x14ac:dyDescent="0.25">
      <c r="A1921">
        <v>1921</v>
      </c>
      <c r="B1921" t="str">
        <f t="shared" si="29"/>
        <v>ށ</v>
      </c>
    </row>
    <row r="1922" spans="1:2" x14ac:dyDescent="0.25">
      <c r="A1922">
        <v>1922</v>
      </c>
      <c r="B1922" t="str">
        <f t="shared" ref="B1922:B1985" si="30">_xlfn.UNICHAR(A1922)</f>
        <v>ނ</v>
      </c>
    </row>
    <row r="1923" spans="1:2" x14ac:dyDescent="0.25">
      <c r="A1923">
        <v>1923</v>
      </c>
      <c r="B1923" t="str">
        <f t="shared" si="30"/>
        <v>ރ</v>
      </c>
    </row>
    <row r="1924" spans="1:2" x14ac:dyDescent="0.25">
      <c r="A1924">
        <v>1924</v>
      </c>
      <c r="B1924" t="str">
        <f t="shared" si="30"/>
        <v>ބ</v>
      </c>
    </row>
    <row r="1925" spans="1:2" x14ac:dyDescent="0.25">
      <c r="A1925">
        <v>1925</v>
      </c>
      <c r="B1925" t="str">
        <f t="shared" si="30"/>
        <v>ޅ</v>
      </c>
    </row>
    <row r="1926" spans="1:2" x14ac:dyDescent="0.25">
      <c r="A1926">
        <v>1926</v>
      </c>
      <c r="B1926" t="str">
        <f t="shared" si="30"/>
        <v>ކ</v>
      </c>
    </row>
    <row r="1927" spans="1:2" x14ac:dyDescent="0.25">
      <c r="A1927">
        <v>1927</v>
      </c>
      <c r="B1927" t="str">
        <f t="shared" si="30"/>
        <v>އ</v>
      </c>
    </row>
    <row r="1928" spans="1:2" x14ac:dyDescent="0.25">
      <c r="A1928">
        <v>1928</v>
      </c>
      <c r="B1928" t="str">
        <f t="shared" si="30"/>
        <v>ވ</v>
      </c>
    </row>
    <row r="1929" spans="1:2" x14ac:dyDescent="0.25">
      <c r="A1929">
        <v>1929</v>
      </c>
      <c r="B1929" t="str">
        <f t="shared" si="30"/>
        <v>މ</v>
      </c>
    </row>
    <row r="1930" spans="1:2" x14ac:dyDescent="0.25">
      <c r="A1930">
        <v>1930</v>
      </c>
      <c r="B1930" t="str">
        <f t="shared" si="30"/>
        <v>ފ</v>
      </c>
    </row>
    <row r="1931" spans="1:2" x14ac:dyDescent="0.25">
      <c r="A1931">
        <v>1931</v>
      </c>
      <c r="B1931" t="str">
        <f t="shared" si="30"/>
        <v>ދ</v>
      </c>
    </row>
    <row r="1932" spans="1:2" x14ac:dyDescent="0.25">
      <c r="A1932">
        <v>1932</v>
      </c>
      <c r="B1932" t="str">
        <f t="shared" si="30"/>
        <v>ތ</v>
      </c>
    </row>
    <row r="1933" spans="1:2" x14ac:dyDescent="0.25">
      <c r="A1933">
        <v>1933</v>
      </c>
      <c r="B1933" t="str">
        <f t="shared" si="30"/>
        <v>ލ</v>
      </c>
    </row>
    <row r="1934" spans="1:2" x14ac:dyDescent="0.25">
      <c r="A1934">
        <v>1934</v>
      </c>
      <c r="B1934" t="str">
        <f t="shared" si="30"/>
        <v>ގ</v>
      </c>
    </row>
    <row r="1935" spans="1:2" x14ac:dyDescent="0.25">
      <c r="A1935">
        <v>1935</v>
      </c>
      <c r="B1935" t="str">
        <f t="shared" si="30"/>
        <v>ޏ</v>
      </c>
    </row>
    <row r="1936" spans="1:2" x14ac:dyDescent="0.25">
      <c r="A1936">
        <v>1936</v>
      </c>
      <c r="B1936" t="str">
        <f t="shared" si="30"/>
        <v>ސ</v>
      </c>
    </row>
    <row r="1937" spans="1:2" x14ac:dyDescent="0.25">
      <c r="A1937">
        <v>1937</v>
      </c>
      <c r="B1937" t="str">
        <f t="shared" si="30"/>
        <v>ޑ</v>
      </c>
    </row>
    <row r="1938" spans="1:2" x14ac:dyDescent="0.25">
      <c r="A1938">
        <v>1938</v>
      </c>
      <c r="B1938" t="str">
        <f t="shared" si="30"/>
        <v>ޒ</v>
      </c>
    </row>
    <row r="1939" spans="1:2" x14ac:dyDescent="0.25">
      <c r="A1939">
        <v>1939</v>
      </c>
      <c r="B1939" t="str">
        <f t="shared" si="30"/>
        <v>ޓ</v>
      </c>
    </row>
    <row r="1940" spans="1:2" x14ac:dyDescent="0.25">
      <c r="A1940">
        <v>1940</v>
      </c>
      <c r="B1940" t="str">
        <f t="shared" si="30"/>
        <v>ޔ</v>
      </c>
    </row>
    <row r="1941" spans="1:2" x14ac:dyDescent="0.25">
      <c r="A1941">
        <v>1941</v>
      </c>
      <c r="B1941" t="str">
        <f t="shared" si="30"/>
        <v>ޕ</v>
      </c>
    </row>
    <row r="1942" spans="1:2" x14ac:dyDescent="0.25">
      <c r="A1942">
        <v>1942</v>
      </c>
      <c r="B1942" t="str">
        <f t="shared" si="30"/>
        <v>ޖ</v>
      </c>
    </row>
    <row r="1943" spans="1:2" x14ac:dyDescent="0.25">
      <c r="A1943">
        <v>1943</v>
      </c>
      <c r="B1943" t="str">
        <f t="shared" si="30"/>
        <v>ޗ</v>
      </c>
    </row>
    <row r="1944" spans="1:2" x14ac:dyDescent="0.25">
      <c r="A1944">
        <v>1944</v>
      </c>
      <c r="B1944" t="str">
        <f t="shared" si="30"/>
        <v>ޘ</v>
      </c>
    </row>
    <row r="1945" spans="1:2" x14ac:dyDescent="0.25">
      <c r="A1945">
        <v>1945</v>
      </c>
      <c r="B1945" t="str">
        <f t="shared" si="30"/>
        <v>ޙ</v>
      </c>
    </row>
    <row r="1946" spans="1:2" x14ac:dyDescent="0.25">
      <c r="A1946">
        <v>1946</v>
      </c>
      <c r="B1946" t="str">
        <f t="shared" si="30"/>
        <v>ޚ</v>
      </c>
    </row>
    <row r="1947" spans="1:2" x14ac:dyDescent="0.25">
      <c r="A1947">
        <v>1947</v>
      </c>
      <c r="B1947" t="str">
        <f t="shared" si="30"/>
        <v>ޛ</v>
      </c>
    </row>
    <row r="1948" spans="1:2" x14ac:dyDescent="0.25">
      <c r="A1948">
        <v>1948</v>
      </c>
      <c r="B1948" t="str">
        <f t="shared" si="30"/>
        <v>ޜ</v>
      </c>
    </row>
    <row r="1949" spans="1:2" x14ac:dyDescent="0.25">
      <c r="A1949">
        <v>1949</v>
      </c>
      <c r="B1949" t="str">
        <f t="shared" si="30"/>
        <v>ޝ</v>
      </c>
    </row>
    <row r="1950" spans="1:2" x14ac:dyDescent="0.25">
      <c r="A1950">
        <v>1950</v>
      </c>
      <c r="B1950" t="str">
        <f t="shared" si="30"/>
        <v>ޞ</v>
      </c>
    </row>
    <row r="1951" spans="1:2" x14ac:dyDescent="0.25">
      <c r="A1951">
        <v>1951</v>
      </c>
      <c r="B1951" t="str">
        <f t="shared" si="30"/>
        <v>ޟ</v>
      </c>
    </row>
    <row r="1952" spans="1:2" x14ac:dyDescent="0.25">
      <c r="A1952">
        <v>1952</v>
      </c>
      <c r="B1952" t="str">
        <f t="shared" si="30"/>
        <v>ޠ</v>
      </c>
    </row>
    <row r="1953" spans="1:2" x14ac:dyDescent="0.25">
      <c r="A1953">
        <v>1953</v>
      </c>
      <c r="B1953" t="str">
        <f t="shared" si="30"/>
        <v>ޡ</v>
      </c>
    </row>
    <row r="1954" spans="1:2" x14ac:dyDescent="0.25">
      <c r="A1954">
        <v>1954</v>
      </c>
      <c r="B1954" t="str">
        <f t="shared" si="30"/>
        <v>ޢ</v>
      </c>
    </row>
    <row r="1955" spans="1:2" x14ac:dyDescent="0.25">
      <c r="A1955">
        <v>1955</v>
      </c>
      <c r="B1955" t="str">
        <f t="shared" si="30"/>
        <v>ޣ</v>
      </c>
    </row>
    <row r="1956" spans="1:2" x14ac:dyDescent="0.25">
      <c r="A1956">
        <v>1956</v>
      </c>
      <c r="B1956" t="str">
        <f t="shared" si="30"/>
        <v>ޤ</v>
      </c>
    </row>
    <row r="1957" spans="1:2" x14ac:dyDescent="0.25">
      <c r="A1957">
        <v>1957</v>
      </c>
      <c r="B1957" t="str">
        <f t="shared" si="30"/>
        <v>ޥ</v>
      </c>
    </row>
    <row r="1958" spans="1:2" x14ac:dyDescent="0.25">
      <c r="A1958">
        <v>1958</v>
      </c>
      <c r="B1958" t="str">
        <f t="shared" si="30"/>
        <v>ަ</v>
      </c>
    </row>
    <row r="1959" spans="1:2" x14ac:dyDescent="0.25">
      <c r="A1959">
        <v>1959</v>
      </c>
      <c r="B1959" t="str">
        <f t="shared" si="30"/>
        <v>ާ</v>
      </c>
    </row>
    <row r="1960" spans="1:2" x14ac:dyDescent="0.25">
      <c r="A1960">
        <v>1960</v>
      </c>
      <c r="B1960" t="str">
        <f t="shared" si="30"/>
        <v>ި</v>
      </c>
    </row>
    <row r="1961" spans="1:2" x14ac:dyDescent="0.25">
      <c r="A1961">
        <v>1961</v>
      </c>
      <c r="B1961" t="str">
        <f t="shared" si="30"/>
        <v>ީ</v>
      </c>
    </row>
    <row r="1962" spans="1:2" x14ac:dyDescent="0.25">
      <c r="A1962">
        <v>1962</v>
      </c>
      <c r="B1962" t="str">
        <f t="shared" si="30"/>
        <v>ު</v>
      </c>
    </row>
    <row r="1963" spans="1:2" x14ac:dyDescent="0.25">
      <c r="A1963">
        <v>1963</v>
      </c>
      <c r="B1963" t="str">
        <f t="shared" si="30"/>
        <v>ޫ</v>
      </c>
    </row>
    <row r="1964" spans="1:2" x14ac:dyDescent="0.25">
      <c r="A1964">
        <v>1964</v>
      </c>
      <c r="B1964" t="str">
        <f t="shared" si="30"/>
        <v>ެ</v>
      </c>
    </row>
    <row r="1965" spans="1:2" x14ac:dyDescent="0.25">
      <c r="A1965">
        <v>1965</v>
      </c>
      <c r="B1965" t="str">
        <f t="shared" si="30"/>
        <v>ޭ</v>
      </c>
    </row>
    <row r="1966" spans="1:2" x14ac:dyDescent="0.25">
      <c r="A1966">
        <v>1966</v>
      </c>
      <c r="B1966" t="str">
        <f t="shared" si="30"/>
        <v>ޮ</v>
      </c>
    </row>
    <row r="1967" spans="1:2" x14ac:dyDescent="0.25">
      <c r="A1967">
        <v>1967</v>
      </c>
      <c r="B1967" t="str">
        <f t="shared" si="30"/>
        <v>ޯ</v>
      </c>
    </row>
    <row r="1968" spans="1:2" x14ac:dyDescent="0.25">
      <c r="A1968">
        <v>1968</v>
      </c>
      <c r="B1968" t="str">
        <f t="shared" si="30"/>
        <v>ް</v>
      </c>
    </row>
    <row r="1969" spans="1:2" x14ac:dyDescent="0.25">
      <c r="A1969">
        <v>1969</v>
      </c>
      <c r="B1969" t="str">
        <f t="shared" si="30"/>
        <v>ޱ</v>
      </c>
    </row>
    <row r="1970" spans="1:2" x14ac:dyDescent="0.25">
      <c r="A1970">
        <v>1970</v>
      </c>
      <c r="B1970" t="str">
        <f t="shared" si="30"/>
        <v>޲</v>
      </c>
    </row>
    <row r="1971" spans="1:2" x14ac:dyDescent="0.25">
      <c r="A1971">
        <v>1971</v>
      </c>
      <c r="B1971" t="str">
        <f t="shared" si="30"/>
        <v>޳</v>
      </c>
    </row>
    <row r="1972" spans="1:2" x14ac:dyDescent="0.25">
      <c r="A1972">
        <v>1972</v>
      </c>
      <c r="B1972" t="str">
        <f t="shared" si="30"/>
        <v>޴</v>
      </c>
    </row>
    <row r="1973" spans="1:2" x14ac:dyDescent="0.25">
      <c r="A1973">
        <v>1973</v>
      </c>
      <c r="B1973" t="str">
        <f t="shared" si="30"/>
        <v>޵</v>
      </c>
    </row>
    <row r="1974" spans="1:2" x14ac:dyDescent="0.25">
      <c r="A1974">
        <v>1974</v>
      </c>
      <c r="B1974" t="str">
        <f t="shared" si="30"/>
        <v>޶</v>
      </c>
    </row>
    <row r="1975" spans="1:2" x14ac:dyDescent="0.25">
      <c r="A1975">
        <v>1975</v>
      </c>
      <c r="B1975" t="str">
        <f t="shared" si="30"/>
        <v>޷</v>
      </c>
    </row>
    <row r="1976" spans="1:2" x14ac:dyDescent="0.25">
      <c r="A1976">
        <v>1976</v>
      </c>
      <c r="B1976" t="str">
        <f t="shared" si="30"/>
        <v>޸</v>
      </c>
    </row>
    <row r="1977" spans="1:2" x14ac:dyDescent="0.25">
      <c r="A1977">
        <v>1977</v>
      </c>
      <c r="B1977" t="str">
        <f t="shared" si="30"/>
        <v>޹</v>
      </c>
    </row>
    <row r="1978" spans="1:2" x14ac:dyDescent="0.25">
      <c r="A1978">
        <v>1978</v>
      </c>
      <c r="B1978" t="str">
        <f t="shared" si="30"/>
        <v>޺</v>
      </c>
    </row>
    <row r="1979" spans="1:2" x14ac:dyDescent="0.25">
      <c r="A1979">
        <v>1979</v>
      </c>
      <c r="B1979" t="str">
        <f t="shared" si="30"/>
        <v>޻</v>
      </c>
    </row>
    <row r="1980" spans="1:2" x14ac:dyDescent="0.25">
      <c r="A1980">
        <v>1980</v>
      </c>
      <c r="B1980" t="str">
        <f t="shared" si="30"/>
        <v>޼</v>
      </c>
    </row>
    <row r="1981" spans="1:2" x14ac:dyDescent="0.25">
      <c r="A1981">
        <v>1981</v>
      </c>
      <c r="B1981" t="str">
        <f t="shared" si="30"/>
        <v>޽</v>
      </c>
    </row>
    <row r="1982" spans="1:2" x14ac:dyDescent="0.25">
      <c r="A1982">
        <v>1982</v>
      </c>
      <c r="B1982" t="str">
        <f t="shared" si="30"/>
        <v>޾</v>
      </c>
    </row>
    <row r="1983" spans="1:2" x14ac:dyDescent="0.25">
      <c r="A1983">
        <v>1983</v>
      </c>
      <c r="B1983" t="str">
        <f t="shared" si="30"/>
        <v>޿</v>
      </c>
    </row>
    <row r="1984" spans="1:2" x14ac:dyDescent="0.25">
      <c r="A1984">
        <v>1984</v>
      </c>
      <c r="B1984" t="str">
        <f t="shared" si="30"/>
        <v>߀</v>
      </c>
    </row>
    <row r="1985" spans="1:2" x14ac:dyDescent="0.25">
      <c r="A1985">
        <v>1985</v>
      </c>
      <c r="B1985" t="str">
        <f t="shared" si="30"/>
        <v>߁</v>
      </c>
    </row>
    <row r="1986" spans="1:2" x14ac:dyDescent="0.25">
      <c r="A1986">
        <v>1986</v>
      </c>
      <c r="B1986" t="str">
        <f t="shared" ref="B1986:B2049" si="31">_xlfn.UNICHAR(A1986)</f>
        <v>߂</v>
      </c>
    </row>
    <row r="1987" spans="1:2" x14ac:dyDescent="0.25">
      <c r="A1987">
        <v>1987</v>
      </c>
      <c r="B1987" t="str">
        <f t="shared" si="31"/>
        <v>߃</v>
      </c>
    </row>
    <row r="1988" spans="1:2" x14ac:dyDescent="0.25">
      <c r="A1988">
        <v>1988</v>
      </c>
      <c r="B1988" t="str">
        <f t="shared" si="31"/>
        <v>߄</v>
      </c>
    </row>
    <row r="1989" spans="1:2" x14ac:dyDescent="0.25">
      <c r="A1989">
        <v>1989</v>
      </c>
      <c r="B1989" t="str">
        <f t="shared" si="31"/>
        <v>߅</v>
      </c>
    </row>
    <row r="1990" spans="1:2" x14ac:dyDescent="0.25">
      <c r="A1990">
        <v>1990</v>
      </c>
      <c r="B1990" t="str">
        <f t="shared" si="31"/>
        <v>߆</v>
      </c>
    </row>
    <row r="1991" spans="1:2" x14ac:dyDescent="0.25">
      <c r="A1991">
        <v>1991</v>
      </c>
      <c r="B1991" t="str">
        <f t="shared" si="31"/>
        <v>߇</v>
      </c>
    </row>
    <row r="1992" spans="1:2" x14ac:dyDescent="0.25">
      <c r="A1992">
        <v>1992</v>
      </c>
      <c r="B1992" t="str">
        <f t="shared" si="31"/>
        <v>߈</v>
      </c>
    </row>
    <row r="1993" spans="1:2" x14ac:dyDescent="0.25">
      <c r="A1993">
        <v>1993</v>
      </c>
      <c r="B1993" t="str">
        <f t="shared" si="31"/>
        <v>߉</v>
      </c>
    </row>
    <row r="1994" spans="1:2" x14ac:dyDescent="0.25">
      <c r="A1994">
        <v>1994</v>
      </c>
      <c r="B1994" t="str">
        <f t="shared" si="31"/>
        <v>ߊ</v>
      </c>
    </row>
    <row r="1995" spans="1:2" x14ac:dyDescent="0.25">
      <c r="A1995">
        <v>1995</v>
      </c>
      <c r="B1995" t="str">
        <f t="shared" si="31"/>
        <v>ߋ</v>
      </c>
    </row>
    <row r="1996" spans="1:2" x14ac:dyDescent="0.25">
      <c r="A1996">
        <v>1996</v>
      </c>
      <c r="B1996" t="str">
        <f t="shared" si="31"/>
        <v>ߌ</v>
      </c>
    </row>
    <row r="1997" spans="1:2" x14ac:dyDescent="0.25">
      <c r="A1997">
        <v>1997</v>
      </c>
      <c r="B1997" t="str">
        <f t="shared" si="31"/>
        <v>ߍ</v>
      </c>
    </row>
    <row r="1998" spans="1:2" x14ac:dyDescent="0.25">
      <c r="A1998">
        <v>1998</v>
      </c>
      <c r="B1998" t="str">
        <f t="shared" si="31"/>
        <v>ߎ</v>
      </c>
    </row>
    <row r="1999" spans="1:2" x14ac:dyDescent="0.25">
      <c r="A1999">
        <v>1999</v>
      </c>
      <c r="B1999" t="str">
        <f t="shared" si="31"/>
        <v>ߏ</v>
      </c>
    </row>
    <row r="2000" spans="1:2" x14ac:dyDescent="0.25">
      <c r="A2000">
        <v>2000</v>
      </c>
      <c r="B2000" t="str">
        <f t="shared" si="31"/>
        <v>ߐ</v>
      </c>
    </row>
    <row r="2001" spans="1:2" x14ac:dyDescent="0.25">
      <c r="A2001">
        <v>2001</v>
      </c>
      <c r="B2001" t="str">
        <f t="shared" si="31"/>
        <v>ߑ</v>
      </c>
    </row>
    <row r="2002" spans="1:2" x14ac:dyDescent="0.25">
      <c r="A2002">
        <v>2002</v>
      </c>
      <c r="B2002" t="str">
        <f t="shared" si="31"/>
        <v>ߒ</v>
      </c>
    </row>
    <row r="2003" spans="1:2" x14ac:dyDescent="0.25">
      <c r="A2003">
        <v>2003</v>
      </c>
      <c r="B2003" t="str">
        <f t="shared" si="31"/>
        <v>ߓ</v>
      </c>
    </row>
    <row r="2004" spans="1:2" x14ac:dyDescent="0.25">
      <c r="A2004">
        <v>2004</v>
      </c>
      <c r="B2004" t="str">
        <f t="shared" si="31"/>
        <v>ߔ</v>
      </c>
    </row>
    <row r="2005" spans="1:2" x14ac:dyDescent="0.25">
      <c r="A2005">
        <v>2005</v>
      </c>
      <c r="B2005" t="str">
        <f t="shared" si="31"/>
        <v>ߕ</v>
      </c>
    </row>
    <row r="2006" spans="1:2" x14ac:dyDescent="0.25">
      <c r="A2006">
        <v>2006</v>
      </c>
      <c r="B2006" t="str">
        <f t="shared" si="31"/>
        <v>ߖ</v>
      </c>
    </row>
    <row r="2007" spans="1:2" x14ac:dyDescent="0.25">
      <c r="A2007">
        <v>2007</v>
      </c>
      <c r="B2007" t="str">
        <f t="shared" si="31"/>
        <v>ߗ</v>
      </c>
    </row>
    <row r="2008" spans="1:2" x14ac:dyDescent="0.25">
      <c r="A2008">
        <v>2008</v>
      </c>
      <c r="B2008" t="str">
        <f t="shared" si="31"/>
        <v>ߘ</v>
      </c>
    </row>
    <row r="2009" spans="1:2" x14ac:dyDescent="0.25">
      <c r="A2009">
        <v>2009</v>
      </c>
      <c r="B2009" t="str">
        <f t="shared" si="31"/>
        <v>ߙ</v>
      </c>
    </row>
    <row r="2010" spans="1:2" x14ac:dyDescent="0.25">
      <c r="A2010">
        <v>2010</v>
      </c>
      <c r="B2010" t="str">
        <f t="shared" si="31"/>
        <v>ߚ</v>
      </c>
    </row>
    <row r="2011" spans="1:2" x14ac:dyDescent="0.25">
      <c r="A2011">
        <v>2011</v>
      </c>
      <c r="B2011" t="str">
        <f t="shared" si="31"/>
        <v>ߛ</v>
      </c>
    </row>
    <row r="2012" spans="1:2" x14ac:dyDescent="0.25">
      <c r="A2012">
        <v>2012</v>
      </c>
      <c r="B2012" t="str">
        <f t="shared" si="31"/>
        <v>ߜ</v>
      </c>
    </row>
    <row r="2013" spans="1:2" x14ac:dyDescent="0.25">
      <c r="A2013">
        <v>2013</v>
      </c>
      <c r="B2013" t="str">
        <f t="shared" si="31"/>
        <v>ߝ</v>
      </c>
    </row>
    <row r="2014" spans="1:2" x14ac:dyDescent="0.25">
      <c r="A2014">
        <v>2014</v>
      </c>
      <c r="B2014" t="str">
        <f t="shared" si="31"/>
        <v>ߞ</v>
      </c>
    </row>
    <row r="2015" spans="1:2" x14ac:dyDescent="0.25">
      <c r="A2015">
        <v>2015</v>
      </c>
      <c r="B2015" t="str">
        <f t="shared" si="31"/>
        <v>ߟ</v>
      </c>
    </row>
    <row r="2016" spans="1:2" x14ac:dyDescent="0.25">
      <c r="A2016">
        <v>2016</v>
      </c>
      <c r="B2016" t="str">
        <f t="shared" si="31"/>
        <v>ߠ</v>
      </c>
    </row>
    <row r="2017" spans="1:2" x14ac:dyDescent="0.25">
      <c r="A2017">
        <v>2017</v>
      </c>
      <c r="B2017" t="str">
        <f t="shared" si="31"/>
        <v>ߡ</v>
      </c>
    </row>
    <row r="2018" spans="1:2" x14ac:dyDescent="0.25">
      <c r="A2018">
        <v>2018</v>
      </c>
      <c r="B2018" t="str">
        <f t="shared" si="31"/>
        <v>ߢ</v>
      </c>
    </row>
    <row r="2019" spans="1:2" x14ac:dyDescent="0.25">
      <c r="A2019">
        <v>2019</v>
      </c>
      <c r="B2019" t="str">
        <f t="shared" si="31"/>
        <v>ߣ</v>
      </c>
    </row>
    <row r="2020" spans="1:2" x14ac:dyDescent="0.25">
      <c r="A2020">
        <v>2020</v>
      </c>
      <c r="B2020" t="str">
        <f t="shared" si="31"/>
        <v>ߤ</v>
      </c>
    </row>
    <row r="2021" spans="1:2" x14ac:dyDescent="0.25">
      <c r="A2021">
        <v>2021</v>
      </c>
      <c r="B2021" t="str">
        <f t="shared" si="31"/>
        <v>ߥ</v>
      </c>
    </row>
    <row r="2022" spans="1:2" x14ac:dyDescent="0.25">
      <c r="A2022">
        <v>2022</v>
      </c>
      <c r="B2022" t="str">
        <f t="shared" si="31"/>
        <v>ߦ</v>
      </c>
    </row>
    <row r="2023" spans="1:2" x14ac:dyDescent="0.25">
      <c r="A2023">
        <v>2023</v>
      </c>
      <c r="B2023" t="str">
        <f t="shared" si="31"/>
        <v>ߧ</v>
      </c>
    </row>
    <row r="2024" spans="1:2" x14ac:dyDescent="0.25">
      <c r="A2024">
        <v>2024</v>
      </c>
      <c r="B2024" t="str">
        <f t="shared" si="31"/>
        <v>ߨ</v>
      </c>
    </row>
    <row r="2025" spans="1:2" x14ac:dyDescent="0.25">
      <c r="A2025">
        <v>2025</v>
      </c>
      <c r="B2025" t="str">
        <f t="shared" si="31"/>
        <v>ߩ</v>
      </c>
    </row>
    <row r="2026" spans="1:2" x14ac:dyDescent="0.25">
      <c r="A2026">
        <v>2026</v>
      </c>
      <c r="B2026" t="str">
        <f t="shared" si="31"/>
        <v>ߪ</v>
      </c>
    </row>
    <row r="2027" spans="1:2" x14ac:dyDescent="0.25">
      <c r="A2027">
        <v>2027</v>
      </c>
      <c r="B2027" t="str">
        <f t="shared" si="31"/>
        <v>߫</v>
      </c>
    </row>
    <row r="2028" spans="1:2" x14ac:dyDescent="0.25">
      <c r="A2028">
        <v>2028</v>
      </c>
      <c r="B2028" t="str">
        <f t="shared" si="31"/>
        <v>߬</v>
      </c>
    </row>
    <row r="2029" spans="1:2" x14ac:dyDescent="0.25">
      <c r="A2029">
        <v>2029</v>
      </c>
      <c r="B2029" t="str">
        <f t="shared" si="31"/>
        <v>߭</v>
      </c>
    </row>
    <row r="2030" spans="1:2" x14ac:dyDescent="0.25">
      <c r="A2030">
        <v>2030</v>
      </c>
      <c r="B2030" t="str">
        <f t="shared" si="31"/>
        <v>߮</v>
      </c>
    </row>
    <row r="2031" spans="1:2" x14ac:dyDescent="0.25">
      <c r="A2031">
        <v>2031</v>
      </c>
      <c r="B2031" t="str">
        <f t="shared" si="31"/>
        <v>߯</v>
      </c>
    </row>
    <row r="2032" spans="1:2" x14ac:dyDescent="0.25">
      <c r="A2032">
        <v>2032</v>
      </c>
      <c r="B2032" t="str">
        <f t="shared" si="31"/>
        <v>߰</v>
      </c>
    </row>
    <row r="2033" spans="1:2" x14ac:dyDescent="0.25">
      <c r="A2033">
        <v>2033</v>
      </c>
      <c r="B2033" t="str">
        <f t="shared" si="31"/>
        <v>߱</v>
      </c>
    </row>
    <row r="2034" spans="1:2" x14ac:dyDescent="0.25">
      <c r="A2034">
        <v>2034</v>
      </c>
      <c r="B2034" t="str">
        <f t="shared" si="31"/>
        <v>߲</v>
      </c>
    </row>
    <row r="2035" spans="1:2" x14ac:dyDescent="0.25">
      <c r="A2035">
        <v>2035</v>
      </c>
      <c r="B2035" t="str">
        <f t="shared" si="31"/>
        <v>߳</v>
      </c>
    </row>
    <row r="2036" spans="1:2" x14ac:dyDescent="0.25">
      <c r="A2036">
        <v>2036</v>
      </c>
      <c r="B2036" t="str">
        <f t="shared" si="31"/>
        <v>ߴ</v>
      </c>
    </row>
    <row r="2037" spans="1:2" x14ac:dyDescent="0.25">
      <c r="A2037">
        <v>2037</v>
      </c>
      <c r="B2037" t="str">
        <f t="shared" si="31"/>
        <v>ߵ</v>
      </c>
    </row>
    <row r="2038" spans="1:2" x14ac:dyDescent="0.25">
      <c r="A2038">
        <v>2038</v>
      </c>
      <c r="B2038" t="str">
        <f t="shared" si="31"/>
        <v>߶</v>
      </c>
    </row>
    <row r="2039" spans="1:2" x14ac:dyDescent="0.25">
      <c r="A2039">
        <v>2039</v>
      </c>
      <c r="B2039" t="str">
        <f t="shared" si="31"/>
        <v>߷</v>
      </c>
    </row>
    <row r="2040" spans="1:2" x14ac:dyDescent="0.25">
      <c r="A2040">
        <v>2040</v>
      </c>
      <c r="B2040" t="str">
        <f t="shared" si="31"/>
        <v>߸</v>
      </c>
    </row>
    <row r="2041" spans="1:2" x14ac:dyDescent="0.25">
      <c r="A2041">
        <v>2041</v>
      </c>
      <c r="B2041" t="str">
        <f t="shared" si="31"/>
        <v>߹</v>
      </c>
    </row>
    <row r="2042" spans="1:2" x14ac:dyDescent="0.25">
      <c r="A2042">
        <v>2042</v>
      </c>
      <c r="B2042" t="str">
        <f t="shared" si="31"/>
        <v>ߺ</v>
      </c>
    </row>
    <row r="2043" spans="1:2" x14ac:dyDescent="0.25">
      <c r="A2043">
        <v>2043</v>
      </c>
      <c r="B2043" t="str">
        <f t="shared" si="31"/>
        <v>߻</v>
      </c>
    </row>
    <row r="2044" spans="1:2" x14ac:dyDescent="0.25">
      <c r="A2044">
        <v>2044</v>
      </c>
      <c r="B2044" t="str">
        <f t="shared" si="31"/>
        <v>߼</v>
      </c>
    </row>
    <row r="2045" spans="1:2" x14ac:dyDescent="0.25">
      <c r="A2045">
        <v>2045</v>
      </c>
      <c r="B2045" t="str">
        <f t="shared" si="31"/>
        <v>߽</v>
      </c>
    </row>
    <row r="2046" spans="1:2" x14ac:dyDescent="0.25">
      <c r="A2046">
        <v>2046</v>
      </c>
      <c r="B2046" t="str">
        <f t="shared" si="31"/>
        <v>߾</v>
      </c>
    </row>
    <row r="2047" spans="1:2" x14ac:dyDescent="0.25">
      <c r="A2047">
        <v>2047</v>
      </c>
      <c r="B2047" t="str">
        <f t="shared" si="31"/>
        <v>߿</v>
      </c>
    </row>
    <row r="2048" spans="1:2" x14ac:dyDescent="0.25">
      <c r="A2048">
        <v>2048</v>
      </c>
      <c r="B2048" t="str">
        <f t="shared" si="31"/>
        <v>ࠀ</v>
      </c>
    </row>
    <row r="2049" spans="1:2" x14ac:dyDescent="0.25">
      <c r="A2049">
        <v>2049</v>
      </c>
      <c r="B2049" t="str">
        <f t="shared" si="31"/>
        <v>ࠁ</v>
      </c>
    </row>
    <row r="2050" spans="1:2" x14ac:dyDescent="0.25">
      <c r="A2050">
        <v>2050</v>
      </c>
      <c r="B2050" t="str">
        <f t="shared" ref="B2050:B2113" si="32">_xlfn.UNICHAR(A2050)</f>
        <v>ࠂ</v>
      </c>
    </row>
    <row r="2051" spans="1:2" x14ac:dyDescent="0.25">
      <c r="A2051">
        <v>2051</v>
      </c>
      <c r="B2051" t="str">
        <f t="shared" si="32"/>
        <v>ࠃ</v>
      </c>
    </row>
    <row r="2052" spans="1:2" x14ac:dyDescent="0.25">
      <c r="A2052">
        <v>2052</v>
      </c>
      <c r="B2052" t="str">
        <f t="shared" si="32"/>
        <v>ࠄ</v>
      </c>
    </row>
    <row r="2053" spans="1:2" x14ac:dyDescent="0.25">
      <c r="A2053">
        <v>2053</v>
      </c>
      <c r="B2053" t="str">
        <f t="shared" si="32"/>
        <v>ࠅ</v>
      </c>
    </row>
    <row r="2054" spans="1:2" x14ac:dyDescent="0.25">
      <c r="A2054">
        <v>2054</v>
      </c>
      <c r="B2054" t="str">
        <f t="shared" si="32"/>
        <v>ࠆ</v>
      </c>
    </row>
    <row r="2055" spans="1:2" x14ac:dyDescent="0.25">
      <c r="A2055">
        <v>2055</v>
      </c>
      <c r="B2055" t="str">
        <f t="shared" si="32"/>
        <v>ࠇ</v>
      </c>
    </row>
    <row r="2056" spans="1:2" x14ac:dyDescent="0.25">
      <c r="A2056">
        <v>2056</v>
      </c>
      <c r="B2056" t="str">
        <f t="shared" si="32"/>
        <v>ࠈ</v>
      </c>
    </row>
    <row r="2057" spans="1:2" x14ac:dyDescent="0.25">
      <c r="A2057">
        <v>2057</v>
      </c>
      <c r="B2057" t="str">
        <f t="shared" si="32"/>
        <v>ࠉ</v>
      </c>
    </row>
    <row r="2058" spans="1:2" x14ac:dyDescent="0.25">
      <c r="A2058">
        <v>2058</v>
      </c>
      <c r="B2058" t="str">
        <f t="shared" si="32"/>
        <v>ࠊ</v>
      </c>
    </row>
    <row r="2059" spans="1:2" x14ac:dyDescent="0.25">
      <c r="A2059">
        <v>2059</v>
      </c>
      <c r="B2059" t="str">
        <f t="shared" si="32"/>
        <v>ࠋ</v>
      </c>
    </row>
    <row r="2060" spans="1:2" x14ac:dyDescent="0.25">
      <c r="A2060">
        <v>2060</v>
      </c>
      <c r="B2060" t="str">
        <f t="shared" si="32"/>
        <v>ࠌ</v>
      </c>
    </row>
    <row r="2061" spans="1:2" x14ac:dyDescent="0.25">
      <c r="A2061">
        <v>2061</v>
      </c>
      <c r="B2061" t="str">
        <f t="shared" si="32"/>
        <v>ࠍ</v>
      </c>
    </row>
    <row r="2062" spans="1:2" x14ac:dyDescent="0.25">
      <c r="A2062">
        <v>2062</v>
      </c>
      <c r="B2062" t="str">
        <f t="shared" si="32"/>
        <v>ࠎ</v>
      </c>
    </row>
    <row r="2063" spans="1:2" x14ac:dyDescent="0.25">
      <c r="A2063">
        <v>2063</v>
      </c>
      <c r="B2063" t="str">
        <f t="shared" si="32"/>
        <v>ࠏ</v>
      </c>
    </row>
    <row r="2064" spans="1:2" x14ac:dyDescent="0.25">
      <c r="A2064">
        <v>2064</v>
      </c>
      <c r="B2064" t="str">
        <f t="shared" si="32"/>
        <v>ࠐ</v>
      </c>
    </row>
    <row r="2065" spans="1:2" x14ac:dyDescent="0.25">
      <c r="A2065">
        <v>2065</v>
      </c>
      <c r="B2065" t="str">
        <f t="shared" si="32"/>
        <v>ࠑ</v>
      </c>
    </row>
    <row r="2066" spans="1:2" x14ac:dyDescent="0.25">
      <c r="A2066">
        <v>2066</v>
      </c>
      <c r="B2066" t="str">
        <f t="shared" si="32"/>
        <v>ࠒ</v>
      </c>
    </row>
    <row r="2067" spans="1:2" x14ac:dyDescent="0.25">
      <c r="A2067">
        <v>2067</v>
      </c>
      <c r="B2067" t="str">
        <f t="shared" si="32"/>
        <v>ࠓ</v>
      </c>
    </row>
    <row r="2068" spans="1:2" x14ac:dyDescent="0.25">
      <c r="A2068">
        <v>2068</v>
      </c>
      <c r="B2068" t="str">
        <f t="shared" si="32"/>
        <v>ࠔ</v>
      </c>
    </row>
    <row r="2069" spans="1:2" x14ac:dyDescent="0.25">
      <c r="A2069">
        <v>2069</v>
      </c>
      <c r="B2069" t="str">
        <f t="shared" si="32"/>
        <v>ࠕ</v>
      </c>
    </row>
    <row r="2070" spans="1:2" x14ac:dyDescent="0.25">
      <c r="A2070">
        <v>2070</v>
      </c>
      <c r="B2070" t="str">
        <f t="shared" si="32"/>
        <v>ࠖ</v>
      </c>
    </row>
    <row r="2071" spans="1:2" x14ac:dyDescent="0.25">
      <c r="A2071">
        <v>2071</v>
      </c>
      <c r="B2071" t="str">
        <f t="shared" si="32"/>
        <v>ࠗ</v>
      </c>
    </row>
    <row r="2072" spans="1:2" x14ac:dyDescent="0.25">
      <c r="A2072">
        <v>2072</v>
      </c>
      <c r="B2072" t="str">
        <f t="shared" si="32"/>
        <v>࠘</v>
      </c>
    </row>
    <row r="2073" spans="1:2" x14ac:dyDescent="0.25">
      <c r="A2073">
        <v>2073</v>
      </c>
      <c r="B2073" t="str">
        <f t="shared" si="32"/>
        <v>࠙</v>
      </c>
    </row>
    <row r="2074" spans="1:2" x14ac:dyDescent="0.25">
      <c r="A2074">
        <v>2074</v>
      </c>
      <c r="B2074" t="str">
        <f t="shared" si="32"/>
        <v>ࠚ</v>
      </c>
    </row>
    <row r="2075" spans="1:2" x14ac:dyDescent="0.25">
      <c r="A2075">
        <v>2075</v>
      </c>
      <c r="B2075" t="str">
        <f t="shared" si="32"/>
        <v>ࠛ</v>
      </c>
    </row>
    <row r="2076" spans="1:2" x14ac:dyDescent="0.25">
      <c r="A2076">
        <v>2076</v>
      </c>
      <c r="B2076" t="str">
        <f t="shared" si="32"/>
        <v>ࠜ</v>
      </c>
    </row>
    <row r="2077" spans="1:2" x14ac:dyDescent="0.25">
      <c r="A2077">
        <v>2077</v>
      </c>
      <c r="B2077" t="str">
        <f t="shared" si="32"/>
        <v>ࠝ</v>
      </c>
    </row>
    <row r="2078" spans="1:2" x14ac:dyDescent="0.25">
      <c r="A2078">
        <v>2078</v>
      </c>
      <c r="B2078" t="str">
        <f t="shared" si="32"/>
        <v>ࠞ</v>
      </c>
    </row>
    <row r="2079" spans="1:2" x14ac:dyDescent="0.25">
      <c r="A2079">
        <v>2079</v>
      </c>
      <c r="B2079" t="str">
        <f t="shared" si="32"/>
        <v>ࠟ</v>
      </c>
    </row>
    <row r="2080" spans="1:2" x14ac:dyDescent="0.25">
      <c r="A2080">
        <v>2080</v>
      </c>
      <c r="B2080" t="str">
        <f t="shared" si="32"/>
        <v>ࠠ</v>
      </c>
    </row>
    <row r="2081" spans="1:2" x14ac:dyDescent="0.25">
      <c r="A2081">
        <v>2081</v>
      </c>
      <c r="B2081" t="str">
        <f t="shared" si="32"/>
        <v>ࠡ</v>
      </c>
    </row>
    <row r="2082" spans="1:2" x14ac:dyDescent="0.25">
      <c r="A2082">
        <v>2082</v>
      </c>
      <c r="B2082" t="str">
        <f t="shared" si="32"/>
        <v>ࠢ</v>
      </c>
    </row>
    <row r="2083" spans="1:2" x14ac:dyDescent="0.25">
      <c r="A2083">
        <v>2083</v>
      </c>
      <c r="B2083" t="str">
        <f t="shared" si="32"/>
        <v>ࠣ</v>
      </c>
    </row>
    <row r="2084" spans="1:2" x14ac:dyDescent="0.25">
      <c r="A2084">
        <v>2084</v>
      </c>
      <c r="B2084" t="str">
        <f t="shared" si="32"/>
        <v>ࠤ</v>
      </c>
    </row>
    <row r="2085" spans="1:2" x14ac:dyDescent="0.25">
      <c r="A2085">
        <v>2085</v>
      </c>
      <c r="B2085" t="str">
        <f t="shared" si="32"/>
        <v>ࠥ</v>
      </c>
    </row>
    <row r="2086" spans="1:2" x14ac:dyDescent="0.25">
      <c r="A2086">
        <v>2086</v>
      </c>
      <c r="B2086" t="str">
        <f t="shared" si="32"/>
        <v>ࠦ</v>
      </c>
    </row>
    <row r="2087" spans="1:2" x14ac:dyDescent="0.25">
      <c r="A2087">
        <v>2087</v>
      </c>
      <c r="B2087" t="str">
        <f t="shared" si="32"/>
        <v>ࠧ</v>
      </c>
    </row>
    <row r="2088" spans="1:2" x14ac:dyDescent="0.25">
      <c r="A2088">
        <v>2088</v>
      </c>
      <c r="B2088" t="str">
        <f t="shared" si="32"/>
        <v>ࠨ</v>
      </c>
    </row>
    <row r="2089" spans="1:2" x14ac:dyDescent="0.25">
      <c r="A2089">
        <v>2089</v>
      </c>
      <c r="B2089" t="str">
        <f t="shared" si="32"/>
        <v>ࠩ</v>
      </c>
    </row>
    <row r="2090" spans="1:2" x14ac:dyDescent="0.25">
      <c r="A2090">
        <v>2090</v>
      </c>
      <c r="B2090" t="str">
        <f t="shared" si="32"/>
        <v>ࠪ</v>
      </c>
    </row>
    <row r="2091" spans="1:2" x14ac:dyDescent="0.25">
      <c r="A2091">
        <v>2091</v>
      </c>
      <c r="B2091" t="str">
        <f t="shared" si="32"/>
        <v>ࠫ</v>
      </c>
    </row>
    <row r="2092" spans="1:2" x14ac:dyDescent="0.25">
      <c r="A2092">
        <v>2092</v>
      </c>
      <c r="B2092" t="str">
        <f t="shared" si="32"/>
        <v>ࠬ</v>
      </c>
    </row>
    <row r="2093" spans="1:2" x14ac:dyDescent="0.25">
      <c r="A2093">
        <v>2093</v>
      </c>
      <c r="B2093" t="str">
        <f t="shared" si="32"/>
        <v>࠭</v>
      </c>
    </row>
    <row r="2094" spans="1:2" x14ac:dyDescent="0.25">
      <c r="A2094">
        <v>2094</v>
      </c>
      <c r="B2094" t="str">
        <f t="shared" si="32"/>
        <v>࠮</v>
      </c>
    </row>
    <row r="2095" spans="1:2" x14ac:dyDescent="0.25">
      <c r="A2095">
        <v>2095</v>
      </c>
      <c r="B2095" t="str">
        <f t="shared" si="32"/>
        <v>࠯</v>
      </c>
    </row>
    <row r="2096" spans="1:2" x14ac:dyDescent="0.25">
      <c r="A2096">
        <v>2096</v>
      </c>
      <c r="B2096" t="str">
        <f t="shared" si="32"/>
        <v>࠰</v>
      </c>
    </row>
    <row r="2097" spans="1:2" x14ac:dyDescent="0.25">
      <c r="A2097">
        <v>2097</v>
      </c>
      <c r="B2097" t="str">
        <f t="shared" si="32"/>
        <v>࠱</v>
      </c>
    </row>
    <row r="2098" spans="1:2" x14ac:dyDescent="0.25">
      <c r="A2098">
        <v>2098</v>
      </c>
      <c r="B2098" t="str">
        <f t="shared" si="32"/>
        <v>࠲</v>
      </c>
    </row>
    <row r="2099" spans="1:2" x14ac:dyDescent="0.25">
      <c r="A2099">
        <v>2099</v>
      </c>
      <c r="B2099" t="str">
        <f t="shared" si="32"/>
        <v>࠳</v>
      </c>
    </row>
    <row r="2100" spans="1:2" x14ac:dyDescent="0.25">
      <c r="A2100">
        <v>2100</v>
      </c>
      <c r="B2100" t="str">
        <f t="shared" si="32"/>
        <v>࠴</v>
      </c>
    </row>
    <row r="2101" spans="1:2" x14ac:dyDescent="0.25">
      <c r="A2101">
        <v>2101</v>
      </c>
      <c r="B2101" t="str">
        <f t="shared" si="32"/>
        <v>࠵</v>
      </c>
    </row>
    <row r="2102" spans="1:2" x14ac:dyDescent="0.25">
      <c r="A2102">
        <v>2102</v>
      </c>
      <c r="B2102" t="str">
        <f t="shared" si="32"/>
        <v>࠶</v>
      </c>
    </row>
    <row r="2103" spans="1:2" x14ac:dyDescent="0.25">
      <c r="A2103">
        <v>2103</v>
      </c>
      <c r="B2103" t="str">
        <f t="shared" si="32"/>
        <v>࠷</v>
      </c>
    </row>
    <row r="2104" spans="1:2" x14ac:dyDescent="0.25">
      <c r="A2104">
        <v>2104</v>
      </c>
      <c r="B2104" t="str">
        <f t="shared" si="32"/>
        <v>࠸</v>
      </c>
    </row>
    <row r="2105" spans="1:2" x14ac:dyDescent="0.25">
      <c r="A2105">
        <v>2105</v>
      </c>
      <c r="B2105" t="str">
        <f t="shared" si="32"/>
        <v>࠹</v>
      </c>
    </row>
    <row r="2106" spans="1:2" x14ac:dyDescent="0.25">
      <c r="A2106">
        <v>2106</v>
      </c>
      <c r="B2106" t="str">
        <f t="shared" si="32"/>
        <v>࠺</v>
      </c>
    </row>
    <row r="2107" spans="1:2" x14ac:dyDescent="0.25">
      <c r="A2107">
        <v>2107</v>
      </c>
      <c r="B2107" t="str">
        <f t="shared" si="32"/>
        <v>࠻</v>
      </c>
    </row>
    <row r="2108" spans="1:2" x14ac:dyDescent="0.25">
      <c r="A2108">
        <v>2108</v>
      </c>
      <c r="B2108" t="str">
        <f t="shared" si="32"/>
        <v>࠼</v>
      </c>
    </row>
    <row r="2109" spans="1:2" x14ac:dyDescent="0.25">
      <c r="A2109">
        <v>2109</v>
      </c>
      <c r="B2109" t="str">
        <f t="shared" si="32"/>
        <v>࠽</v>
      </c>
    </row>
    <row r="2110" spans="1:2" x14ac:dyDescent="0.25">
      <c r="A2110">
        <v>2110</v>
      </c>
      <c r="B2110" t="str">
        <f t="shared" si="32"/>
        <v>࠾</v>
      </c>
    </row>
    <row r="2111" spans="1:2" x14ac:dyDescent="0.25">
      <c r="A2111">
        <v>2111</v>
      </c>
      <c r="B2111" t="str">
        <f t="shared" si="32"/>
        <v>࠿</v>
      </c>
    </row>
    <row r="2112" spans="1:2" x14ac:dyDescent="0.25">
      <c r="A2112">
        <v>2112</v>
      </c>
      <c r="B2112" t="str">
        <f t="shared" si="32"/>
        <v>ࡀ</v>
      </c>
    </row>
    <row r="2113" spans="1:2" x14ac:dyDescent="0.25">
      <c r="A2113">
        <v>2113</v>
      </c>
      <c r="B2113" t="str">
        <f t="shared" si="32"/>
        <v>ࡁ</v>
      </c>
    </row>
    <row r="2114" spans="1:2" x14ac:dyDescent="0.25">
      <c r="A2114">
        <v>2114</v>
      </c>
      <c r="B2114" t="str">
        <f t="shared" ref="B2114:B2177" si="33">_xlfn.UNICHAR(A2114)</f>
        <v>ࡂ</v>
      </c>
    </row>
    <row r="2115" spans="1:2" x14ac:dyDescent="0.25">
      <c r="A2115">
        <v>2115</v>
      </c>
      <c r="B2115" t="str">
        <f t="shared" si="33"/>
        <v>ࡃ</v>
      </c>
    </row>
    <row r="2116" spans="1:2" x14ac:dyDescent="0.25">
      <c r="A2116">
        <v>2116</v>
      </c>
      <c r="B2116" t="str">
        <f t="shared" si="33"/>
        <v>ࡄ</v>
      </c>
    </row>
    <row r="2117" spans="1:2" x14ac:dyDescent="0.25">
      <c r="A2117">
        <v>2117</v>
      </c>
      <c r="B2117" t="str">
        <f t="shared" si="33"/>
        <v>ࡅ</v>
      </c>
    </row>
    <row r="2118" spans="1:2" x14ac:dyDescent="0.25">
      <c r="A2118">
        <v>2118</v>
      </c>
      <c r="B2118" t="str">
        <f t="shared" si="33"/>
        <v>ࡆ</v>
      </c>
    </row>
    <row r="2119" spans="1:2" x14ac:dyDescent="0.25">
      <c r="A2119">
        <v>2119</v>
      </c>
      <c r="B2119" t="str">
        <f t="shared" si="33"/>
        <v>ࡇ</v>
      </c>
    </row>
    <row r="2120" spans="1:2" x14ac:dyDescent="0.25">
      <c r="A2120">
        <v>2120</v>
      </c>
      <c r="B2120" t="str">
        <f t="shared" si="33"/>
        <v>ࡈ</v>
      </c>
    </row>
    <row r="2121" spans="1:2" x14ac:dyDescent="0.25">
      <c r="A2121">
        <v>2121</v>
      </c>
      <c r="B2121" t="str">
        <f t="shared" si="33"/>
        <v>ࡉ</v>
      </c>
    </row>
    <row r="2122" spans="1:2" x14ac:dyDescent="0.25">
      <c r="A2122">
        <v>2122</v>
      </c>
      <c r="B2122" t="str">
        <f t="shared" si="33"/>
        <v>ࡊ</v>
      </c>
    </row>
    <row r="2123" spans="1:2" x14ac:dyDescent="0.25">
      <c r="A2123">
        <v>2123</v>
      </c>
      <c r="B2123" t="str">
        <f t="shared" si="33"/>
        <v>ࡋ</v>
      </c>
    </row>
    <row r="2124" spans="1:2" x14ac:dyDescent="0.25">
      <c r="A2124">
        <v>2124</v>
      </c>
      <c r="B2124" t="str">
        <f t="shared" si="33"/>
        <v>ࡌ</v>
      </c>
    </row>
    <row r="2125" spans="1:2" x14ac:dyDescent="0.25">
      <c r="A2125">
        <v>2125</v>
      </c>
      <c r="B2125" t="str">
        <f t="shared" si="33"/>
        <v>ࡍ</v>
      </c>
    </row>
    <row r="2126" spans="1:2" x14ac:dyDescent="0.25">
      <c r="A2126">
        <v>2126</v>
      </c>
      <c r="B2126" t="str">
        <f t="shared" si="33"/>
        <v>ࡎ</v>
      </c>
    </row>
    <row r="2127" spans="1:2" x14ac:dyDescent="0.25">
      <c r="A2127">
        <v>2127</v>
      </c>
      <c r="B2127" t="str">
        <f t="shared" si="33"/>
        <v>ࡏ</v>
      </c>
    </row>
    <row r="2128" spans="1:2" x14ac:dyDescent="0.25">
      <c r="A2128">
        <v>2128</v>
      </c>
      <c r="B2128" t="str">
        <f t="shared" si="33"/>
        <v>ࡐ</v>
      </c>
    </row>
    <row r="2129" spans="1:2" x14ac:dyDescent="0.25">
      <c r="A2129">
        <v>2129</v>
      </c>
      <c r="B2129" t="str">
        <f t="shared" si="33"/>
        <v>ࡑ</v>
      </c>
    </row>
    <row r="2130" spans="1:2" x14ac:dyDescent="0.25">
      <c r="A2130">
        <v>2130</v>
      </c>
      <c r="B2130" t="str">
        <f t="shared" si="33"/>
        <v>ࡒ</v>
      </c>
    </row>
    <row r="2131" spans="1:2" x14ac:dyDescent="0.25">
      <c r="A2131">
        <v>2131</v>
      </c>
      <c r="B2131" t="str">
        <f t="shared" si="33"/>
        <v>ࡓ</v>
      </c>
    </row>
    <row r="2132" spans="1:2" x14ac:dyDescent="0.25">
      <c r="A2132">
        <v>2132</v>
      </c>
      <c r="B2132" t="str">
        <f t="shared" si="33"/>
        <v>ࡔ</v>
      </c>
    </row>
    <row r="2133" spans="1:2" x14ac:dyDescent="0.25">
      <c r="A2133">
        <v>2133</v>
      </c>
      <c r="B2133" t="str">
        <f t="shared" si="33"/>
        <v>ࡕ</v>
      </c>
    </row>
    <row r="2134" spans="1:2" x14ac:dyDescent="0.25">
      <c r="A2134">
        <v>2134</v>
      </c>
      <c r="B2134" t="str">
        <f t="shared" si="33"/>
        <v>ࡖ</v>
      </c>
    </row>
    <row r="2135" spans="1:2" x14ac:dyDescent="0.25">
      <c r="A2135">
        <v>2135</v>
      </c>
      <c r="B2135" t="str">
        <f t="shared" si="33"/>
        <v>ࡗ</v>
      </c>
    </row>
    <row r="2136" spans="1:2" x14ac:dyDescent="0.25">
      <c r="A2136">
        <v>2136</v>
      </c>
      <c r="B2136" t="str">
        <f t="shared" si="33"/>
        <v>ࡘ</v>
      </c>
    </row>
    <row r="2137" spans="1:2" x14ac:dyDescent="0.25">
      <c r="A2137">
        <v>2137</v>
      </c>
      <c r="B2137" t="str">
        <f t="shared" si="33"/>
        <v>࡙</v>
      </c>
    </row>
    <row r="2138" spans="1:2" x14ac:dyDescent="0.25">
      <c r="A2138">
        <v>2138</v>
      </c>
      <c r="B2138" t="str">
        <f t="shared" si="33"/>
        <v>࡚</v>
      </c>
    </row>
    <row r="2139" spans="1:2" x14ac:dyDescent="0.25">
      <c r="A2139">
        <v>2139</v>
      </c>
      <c r="B2139" t="str">
        <f t="shared" si="33"/>
        <v>࡛</v>
      </c>
    </row>
    <row r="2140" spans="1:2" x14ac:dyDescent="0.25">
      <c r="A2140">
        <v>2140</v>
      </c>
      <c r="B2140" t="str">
        <f t="shared" si="33"/>
        <v>࡜</v>
      </c>
    </row>
    <row r="2141" spans="1:2" x14ac:dyDescent="0.25">
      <c r="A2141">
        <v>2141</v>
      </c>
      <c r="B2141" t="str">
        <f t="shared" si="33"/>
        <v>࡝</v>
      </c>
    </row>
    <row r="2142" spans="1:2" x14ac:dyDescent="0.25">
      <c r="A2142">
        <v>2142</v>
      </c>
      <c r="B2142" t="str">
        <f t="shared" si="33"/>
        <v>࡞</v>
      </c>
    </row>
    <row r="2143" spans="1:2" x14ac:dyDescent="0.25">
      <c r="A2143">
        <v>2143</v>
      </c>
      <c r="B2143" t="str">
        <f t="shared" si="33"/>
        <v>࡟</v>
      </c>
    </row>
    <row r="2144" spans="1:2" x14ac:dyDescent="0.25">
      <c r="A2144">
        <v>2144</v>
      </c>
      <c r="B2144" t="str">
        <f t="shared" si="33"/>
        <v>ࡠ</v>
      </c>
    </row>
    <row r="2145" spans="1:2" x14ac:dyDescent="0.25">
      <c r="A2145">
        <v>2145</v>
      </c>
      <c r="B2145" t="str">
        <f t="shared" si="33"/>
        <v>ࡡ</v>
      </c>
    </row>
    <row r="2146" spans="1:2" x14ac:dyDescent="0.25">
      <c r="A2146">
        <v>2146</v>
      </c>
      <c r="B2146" t="str">
        <f t="shared" si="33"/>
        <v>ࡢ</v>
      </c>
    </row>
    <row r="2147" spans="1:2" x14ac:dyDescent="0.25">
      <c r="A2147">
        <v>2147</v>
      </c>
      <c r="B2147" t="str">
        <f t="shared" si="33"/>
        <v>ࡣ</v>
      </c>
    </row>
    <row r="2148" spans="1:2" x14ac:dyDescent="0.25">
      <c r="A2148">
        <v>2148</v>
      </c>
      <c r="B2148" t="str">
        <f t="shared" si="33"/>
        <v>ࡤ</v>
      </c>
    </row>
    <row r="2149" spans="1:2" x14ac:dyDescent="0.25">
      <c r="A2149">
        <v>2149</v>
      </c>
      <c r="B2149" t="str">
        <f t="shared" si="33"/>
        <v>ࡥ</v>
      </c>
    </row>
    <row r="2150" spans="1:2" x14ac:dyDescent="0.25">
      <c r="A2150">
        <v>2150</v>
      </c>
      <c r="B2150" t="str">
        <f t="shared" si="33"/>
        <v>ࡦ</v>
      </c>
    </row>
    <row r="2151" spans="1:2" x14ac:dyDescent="0.25">
      <c r="A2151">
        <v>2151</v>
      </c>
      <c r="B2151" t="str">
        <f t="shared" si="33"/>
        <v>ࡧ</v>
      </c>
    </row>
    <row r="2152" spans="1:2" x14ac:dyDescent="0.25">
      <c r="A2152">
        <v>2152</v>
      </c>
      <c r="B2152" t="str">
        <f t="shared" si="33"/>
        <v>ࡨ</v>
      </c>
    </row>
    <row r="2153" spans="1:2" x14ac:dyDescent="0.25">
      <c r="A2153">
        <v>2153</v>
      </c>
      <c r="B2153" t="str">
        <f t="shared" si="33"/>
        <v>ࡩ</v>
      </c>
    </row>
    <row r="2154" spans="1:2" x14ac:dyDescent="0.25">
      <c r="A2154">
        <v>2154</v>
      </c>
      <c r="B2154" t="str">
        <f t="shared" si="33"/>
        <v>ࡪ</v>
      </c>
    </row>
    <row r="2155" spans="1:2" x14ac:dyDescent="0.25">
      <c r="A2155">
        <v>2155</v>
      </c>
      <c r="B2155" t="str">
        <f t="shared" si="33"/>
        <v>࡫</v>
      </c>
    </row>
    <row r="2156" spans="1:2" x14ac:dyDescent="0.25">
      <c r="A2156">
        <v>2156</v>
      </c>
      <c r="B2156" t="str">
        <f t="shared" si="33"/>
        <v>࡬</v>
      </c>
    </row>
    <row r="2157" spans="1:2" x14ac:dyDescent="0.25">
      <c r="A2157">
        <v>2157</v>
      </c>
      <c r="B2157" t="str">
        <f t="shared" si="33"/>
        <v>࡭</v>
      </c>
    </row>
    <row r="2158" spans="1:2" x14ac:dyDescent="0.25">
      <c r="A2158">
        <v>2158</v>
      </c>
      <c r="B2158" t="str">
        <f t="shared" si="33"/>
        <v>࡮</v>
      </c>
    </row>
    <row r="2159" spans="1:2" x14ac:dyDescent="0.25">
      <c r="A2159">
        <v>2159</v>
      </c>
      <c r="B2159" t="str">
        <f t="shared" si="33"/>
        <v>࡯</v>
      </c>
    </row>
    <row r="2160" spans="1:2" x14ac:dyDescent="0.25">
      <c r="A2160">
        <v>2160</v>
      </c>
      <c r="B2160" t="str">
        <f t="shared" si="33"/>
        <v>ࡰ</v>
      </c>
    </row>
    <row r="2161" spans="1:2" x14ac:dyDescent="0.25">
      <c r="A2161">
        <v>2161</v>
      </c>
      <c r="B2161" t="str">
        <f t="shared" si="33"/>
        <v>ࡱ</v>
      </c>
    </row>
    <row r="2162" spans="1:2" x14ac:dyDescent="0.25">
      <c r="A2162">
        <v>2162</v>
      </c>
      <c r="B2162" t="str">
        <f t="shared" si="33"/>
        <v>ࡲ</v>
      </c>
    </row>
    <row r="2163" spans="1:2" x14ac:dyDescent="0.25">
      <c r="A2163">
        <v>2163</v>
      </c>
      <c r="B2163" t="str">
        <f t="shared" si="33"/>
        <v>ࡳ</v>
      </c>
    </row>
    <row r="2164" spans="1:2" x14ac:dyDescent="0.25">
      <c r="A2164">
        <v>2164</v>
      </c>
      <c r="B2164" t="str">
        <f t="shared" si="33"/>
        <v>ࡴ</v>
      </c>
    </row>
    <row r="2165" spans="1:2" x14ac:dyDescent="0.25">
      <c r="A2165">
        <v>2165</v>
      </c>
      <c r="B2165" t="str">
        <f t="shared" si="33"/>
        <v>ࡵ</v>
      </c>
    </row>
    <row r="2166" spans="1:2" x14ac:dyDescent="0.25">
      <c r="A2166">
        <v>2166</v>
      </c>
      <c r="B2166" t="str">
        <f t="shared" si="33"/>
        <v>ࡶ</v>
      </c>
    </row>
    <row r="2167" spans="1:2" x14ac:dyDescent="0.25">
      <c r="A2167">
        <v>2167</v>
      </c>
      <c r="B2167" t="str">
        <f t="shared" si="33"/>
        <v>ࡷ</v>
      </c>
    </row>
    <row r="2168" spans="1:2" x14ac:dyDescent="0.25">
      <c r="A2168">
        <v>2168</v>
      </c>
      <c r="B2168" t="str">
        <f t="shared" si="33"/>
        <v>ࡸ</v>
      </c>
    </row>
    <row r="2169" spans="1:2" x14ac:dyDescent="0.25">
      <c r="A2169">
        <v>2169</v>
      </c>
      <c r="B2169" t="str">
        <f t="shared" si="33"/>
        <v>ࡹ</v>
      </c>
    </row>
    <row r="2170" spans="1:2" x14ac:dyDescent="0.25">
      <c r="A2170">
        <v>2170</v>
      </c>
      <c r="B2170" t="str">
        <f t="shared" si="33"/>
        <v>ࡺ</v>
      </c>
    </row>
    <row r="2171" spans="1:2" x14ac:dyDescent="0.25">
      <c r="A2171">
        <v>2171</v>
      </c>
      <c r="B2171" t="str">
        <f t="shared" si="33"/>
        <v>ࡻ</v>
      </c>
    </row>
    <row r="2172" spans="1:2" x14ac:dyDescent="0.25">
      <c r="A2172">
        <v>2172</v>
      </c>
      <c r="B2172" t="str">
        <f t="shared" si="33"/>
        <v>ࡼ</v>
      </c>
    </row>
    <row r="2173" spans="1:2" x14ac:dyDescent="0.25">
      <c r="A2173">
        <v>2173</v>
      </c>
      <c r="B2173" t="str">
        <f t="shared" si="33"/>
        <v>ࡽ</v>
      </c>
    </row>
    <row r="2174" spans="1:2" x14ac:dyDescent="0.25">
      <c r="A2174">
        <v>2174</v>
      </c>
      <c r="B2174" t="str">
        <f t="shared" si="33"/>
        <v>ࡾ</v>
      </c>
    </row>
    <row r="2175" spans="1:2" x14ac:dyDescent="0.25">
      <c r="A2175">
        <v>2175</v>
      </c>
      <c r="B2175" t="str">
        <f t="shared" si="33"/>
        <v>ࡿ</v>
      </c>
    </row>
    <row r="2176" spans="1:2" x14ac:dyDescent="0.25">
      <c r="A2176">
        <v>2176</v>
      </c>
      <c r="B2176" t="str">
        <f t="shared" si="33"/>
        <v>ࢀ</v>
      </c>
    </row>
    <row r="2177" spans="1:2" x14ac:dyDescent="0.25">
      <c r="A2177">
        <v>2177</v>
      </c>
      <c r="B2177" t="str">
        <f t="shared" si="33"/>
        <v>ࢁ</v>
      </c>
    </row>
    <row r="2178" spans="1:2" x14ac:dyDescent="0.25">
      <c r="A2178">
        <v>2178</v>
      </c>
      <c r="B2178" t="str">
        <f t="shared" ref="B2178:B2241" si="34">_xlfn.UNICHAR(A2178)</f>
        <v>ࢂ</v>
      </c>
    </row>
    <row r="2179" spans="1:2" x14ac:dyDescent="0.25">
      <c r="A2179">
        <v>2179</v>
      </c>
      <c r="B2179" t="str">
        <f t="shared" si="34"/>
        <v>ࢃ</v>
      </c>
    </row>
    <row r="2180" spans="1:2" x14ac:dyDescent="0.25">
      <c r="A2180">
        <v>2180</v>
      </c>
      <c r="B2180" t="str">
        <f t="shared" si="34"/>
        <v>ࢄ</v>
      </c>
    </row>
    <row r="2181" spans="1:2" x14ac:dyDescent="0.25">
      <c r="A2181">
        <v>2181</v>
      </c>
      <c r="B2181" t="str">
        <f t="shared" si="34"/>
        <v>ࢅ</v>
      </c>
    </row>
    <row r="2182" spans="1:2" x14ac:dyDescent="0.25">
      <c r="A2182">
        <v>2182</v>
      </c>
      <c r="B2182" t="str">
        <f t="shared" si="34"/>
        <v>ࢆ</v>
      </c>
    </row>
    <row r="2183" spans="1:2" x14ac:dyDescent="0.25">
      <c r="A2183">
        <v>2183</v>
      </c>
      <c r="B2183" t="str">
        <f t="shared" si="34"/>
        <v>ࢇ</v>
      </c>
    </row>
    <row r="2184" spans="1:2" x14ac:dyDescent="0.25">
      <c r="A2184">
        <v>2184</v>
      </c>
      <c r="B2184" t="str">
        <f t="shared" si="34"/>
        <v>࢈</v>
      </c>
    </row>
    <row r="2185" spans="1:2" x14ac:dyDescent="0.25">
      <c r="A2185">
        <v>2185</v>
      </c>
      <c r="B2185" t="str">
        <f t="shared" si="34"/>
        <v>ࢉ</v>
      </c>
    </row>
    <row r="2186" spans="1:2" x14ac:dyDescent="0.25">
      <c r="A2186">
        <v>2186</v>
      </c>
      <c r="B2186" t="str">
        <f t="shared" si="34"/>
        <v>ࢊ</v>
      </c>
    </row>
    <row r="2187" spans="1:2" x14ac:dyDescent="0.25">
      <c r="A2187">
        <v>2187</v>
      </c>
      <c r="B2187" t="str">
        <f t="shared" si="34"/>
        <v>ࢋ</v>
      </c>
    </row>
    <row r="2188" spans="1:2" x14ac:dyDescent="0.25">
      <c r="A2188">
        <v>2188</v>
      </c>
      <c r="B2188" t="str">
        <f t="shared" si="34"/>
        <v>ࢌ</v>
      </c>
    </row>
    <row r="2189" spans="1:2" x14ac:dyDescent="0.25">
      <c r="A2189">
        <v>2189</v>
      </c>
      <c r="B2189" t="str">
        <f t="shared" si="34"/>
        <v>ࢍ</v>
      </c>
    </row>
    <row r="2190" spans="1:2" x14ac:dyDescent="0.25">
      <c r="A2190">
        <v>2190</v>
      </c>
      <c r="B2190" t="str">
        <f t="shared" si="34"/>
        <v>ࢎ</v>
      </c>
    </row>
    <row r="2191" spans="1:2" x14ac:dyDescent="0.25">
      <c r="A2191">
        <v>2191</v>
      </c>
      <c r="B2191" t="str">
        <f t="shared" si="34"/>
        <v>࢏</v>
      </c>
    </row>
    <row r="2192" spans="1:2" x14ac:dyDescent="0.25">
      <c r="A2192">
        <v>2192</v>
      </c>
      <c r="B2192" t="str">
        <f t="shared" si="34"/>
        <v>࢐</v>
      </c>
    </row>
    <row r="2193" spans="1:2" x14ac:dyDescent="0.25">
      <c r="A2193">
        <v>2193</v>
      </c>
      <c r="B2193" t="str">
        <f t="shared" si="34"/>
        <v>࢑</v>
      </c>
    </row>
    <row r="2194" spans="1:2" x14ac:dyDescent="0.25">
      <c r="A2194">
        <v>2194</v>
      </c>
      <c r="B2194" t="str">
        <f t="shared" si="34"/>
        <v>࢒</v>
      </c>
    </row>
    <row r="2195" spans="1:2" x14ac:dyDescent="0.25">
      <c r="A2195">
        <v>2195</v>
      </c>
      <c r="B2195" t="str">
        <f t="shared" si="34"/>
        <v>࢓</v>
      </c>
    </row>
    <row r="2196" spans="1:2" x14ac:dyDescent="0.25">
      <c r="A2196">
        <v>2196</v>
      </c>
      <c r="B2196" t="str">
        <f t="shared" si="34"/>
        <v>࢔</v>
      </c>
    </row>
    <row r="2197" spans="1:2" x14ac:dyDescent="0.25">
      <c r="A2197">
        <v>2197</v>
      </c>
      <c r="B2197" t="str">
        <f t="shared" si="34"/>
        <v>࢕</v>
      </c>
    </row>
    <row r="2198" spans="1:2" x14ac:dyDescent="0.25">
      <c r="A2198">
        <v>2198</v>
      </c>
      <c r="B2198" t="str">
        <f t="shared" si="34"/>
        <v>࢖</v>
      </c>
    </row>
    <row r="2199" spans="1:2" x14ac:dyDescent="0.25">
      <c r="A2199">
        <v>2199</v>
      </c>
      <c r="B2199" t="str">
        <f t="shared" si="34"/>
        <v>ࢗ</v>
      </c>
    </row>
    <row r="2200" spans="1:2" x14ac:dyDescent="0.25">
      <c r="A2200">
        <v>2200</v>
      </c>
      <c r="B2200" t="str">
        <f t="shared" si="34"/>
        <v>࢘</v>
      </c>
    </row>
    <row r="2201" spans="1:2" x14ac:dyDescent="0.25">
      <c r="A2201">
        <v>2201</v>
      </c>
      <c r="B2201" t="str">
        <f t="shared" si="34"/>
        <v>࢙</v>
      </c>
    </row>
    <row r="2202" spans="1:2" x14ac:dyDescent="0.25">
      <c r="A2202">
        <v>2202</v>
      </c>
      <c r="B2202" t="str">
        <f t="shared" si="34"/>
        <v>࢚</v>
      </c>
    </row>
    <row r="2203" spans="1:2" x14ac:dyDescent="0.25">
      <c r="A2203">
        <v>2203</v>
      </c>
      <c r="B2203" t="str">
        <f t="shared" si="34"/>
        <v>࢛</v>
      </c>
    </row>
    <row r="2204" spans="1:2" x14ac:dyDescent="0.25">
      <c r="A2204">
        <v>2204</v>
      </c>
      <c r="B2204" t="str">
        <f t="shared" si="34"/>
        <v>࢜</v>
      </c>
    </row>
    <row r="2205" spans="1:2" x14ac:dyDescent="0.25">
      <c r="A2205">
        <v>2205</v>
      </c>
      <c r="B2205" t="str">
        <f t="shared" si="34"/>
        <v>࢝</v>
      </c>
    </row>
    <row r="2206" spans="1:2" x14ac:dyDescent="0.25">
      <c r="A2206">
        <v>2206</v>
      </c>
      <c r="B2206" t="str">
        <f t="shared" si="34"/>
        <v>࢞</v>
      </c>
    </row>
    <row r="2207" spans="1:2" x14ac:dyDescent="0.25">
      <c r="A2207">
        <v>2207</v>
      </c>
      <c r="B2207" t="str">
        <f t="shared" si="34"/>
        <v>࢟</v>
      </c>
    </row>
    <row r="2208" spans="1:2" x14ac:dyDescent="0.25">
      <c r="A2208">
        <v>2208</v>
      </c>
      <c r="B2208" t="str">
        <f t="shared" si="34"/>
        <v>ࢠ</v>
      </c>
    </row>
    <row r="2209" spans="1:2" x14ac:dyDescent="0.25">
      <c r="A2209">
        <v>2209</v>
      </c>
      <c r="B2209" t="str">
        <f t="shared" si="34"/>
        <v>ࢡ</v>
      </c>
    </row>
    <row r="2210" spans="1:2" x14ac:dyDescent="0.25">
      <c r="A2210">
        <v>2210</v>
      </c>
      <c r="B2210" t="str">
        <f t="shared" si="34"/>
        <v>ࢢ</v>
      </c>
    </row>
    <row r="2211" spans="1:2" x14ac:dyDescent="0.25">
      <c r="A2211">
        <v>2211</v>
      </c>
      <c r="B2211" t="str">
        <f t="shared" si="34"/>
        <v>ࢣ</v>
      </c>
    </row>
    <row r="2212" spans="1:2" x14ac:dyDescent="0.25">
      <c r="A2212">
        <v>2212</v>
      </c>
      <c r="B2212" t="str">
        <f t="shared" si="34"/>
        <v>ࢤ</v>
      </c>
    </row>
    <row r="2213" spans="1:2" x14ac:dyDescent="0.25">
      <c r="A2213">
        <v>2213</v>
      </c>
      <c r="B2213" t="str">
        <f t="shared" si="34"/>
        <v>ࢥ</v>
      </c>
    </row>
    <row r="2214" spans="1:2" x14ac:dyDescent="0.25">
      <c r="A2214">
        <v>2214</v>
      </c>
      <c r="B2214" t="str">
        <f t="shared" si="34"/>
        <v>ࢦ</v>
      </c>
    </row>
    <row r="2215" spans="1:2" x14ac:dyDescent="0.25">
      <c r="A2215">
        <v>2215</v>
      </c>
      <c r="B2215" t="str">
        <f t="shared" si="34"/>
        <v>ࢧ</v>
      </c>
    </row>
    <row r="2216" spans="1:2" x14ac:dyDescent="0.25">
      <c r="A2216">
        <v>2216</v>
      </c>
      <c r="B2216" t="str">
        <f t="shared" si="34"/>
        <v>ࢨ</v>
      </c>
    </row>
    <row r="2217" spans="1:2" x14ac:dyDescent="0.25">
      <c r="A2217">
        <v>2217</v>
      </c>
      <c r="B2217" t="str">
        <f t="shared" si="34"/>
        <v>ࢩ</v>
      </c>
    </row>
    <row r="2218" spans="1:2" x14ac:dyDescent="0.25">
      <c r="A2218">
        <v>2218</v>
      </c>
      <c r="B2218" t="str">
        <f t="shared" si="34"/>
        <v>ࢪ</v>
      </c>
    </row>
    <row r="2219" spans="1:2" x14ac:dyDescent="0.25">
      <c r="A2219">
        <v>2219</v>
      </c>
      <c r="B2219" t="str">
        <f t="shared" si="34"/>
        <v>ࢫ</v>
      </c>
    </row>
    <row r="2220" spans="1:2" x14ac:dyDescent="0.25">
      <c r="A2220">
        <v>2220</v>
      </c>
      <c r="B2220" t="str">
        <f t="shared" si="34"/>
        <v>ࢬ</v>
      </c>
    </row>
    <row r="2221" spans="1:2" x14ac:dyDescent="0.25">
      <c r="A2221">
        <v>2221</v>
      </c>
      <c r="B2221" t="str">
        <f t="shared" si="34"/>
        <v>ࢭ</v>
      </c>
    </row>
    <row r="2222" spans="1:2" x14ac:dyDescent="0.25">
      <c r="A2222">
        <v>2222</v>
      </c>
      <c r="B2222" t="str">
        <f t="shared" si="34"/>
        <v>ࢮ</v>
      </c>
    </row>
    <row r="2223" spans="1:2" x14ac:dyDescent="0.25">
      <c r="A2223">
        <v>2223</v>
      </c>
      <c r="B2223" t="str">
        <f t="shared" si="34"/>
        <v>ࢯ</v>
      </c>
    </row>
    <row r="2224" spans="1:2" x14ac:dyDescent="0.25">
      <c r="A2224">
        <v>2224</v>
      </c>
      <c r="B2224" t="str">
        <f t="shared" si="34"/>
        <v>ࢰ</v>
      </c>
    </row>
    <row r="2225" spans="1:2" x14ac:dyDescent="0.25">
      <c r="A2225">
        <v>2225</v>
      </c>
      <c r="B2225" t="str">
        <f t="shared" si="34"/>
        <v>ࢱ</v>
      </c>
    </row>
    <row r="2226" spans="1:2" x14ac:dyDescent="0.25">
      <c r="A2226">
        <v>2226</v>
      </c>
      <c r="B2226" t="str">
        <f t="shared" si="34"/>
        <v>ࢲ</v>
      </c>
    </row>
    <row r="2227" spans="1:2" x14ac:dyDescent="0.25">
      <c r="A2227">
        <v>2227</v>
      </c>
      <c r="B2227" t="str">
        <f t="shared" si="34"/>
        <v>ࢳ</v>
      </c>
    </row>
    <row r="2228" spans="1:2" x14ac:dyDescent="0.25">
      <c r="A2228">
        <v>2228</v>
      </c>
      <c r="B2228" t="str">
        <f t="shared" si="34"/>
        <v>ࢴ</v>
      </c>
    </row>
    <row r="2229" spans="1:2" x14ac:dyDescent="0.25">
      <c r="A2229">
        <v>2229</v>
      </c>
      <c r="B2229" t="str">
        <f t="shared" si="34"/>
        <v>ࢵ</v>
      </c>
    </row>
    <row r="2230" spans="1:2" x14ac:dyDescent="0.25">
      <c r="A2230">
        <v>2230</v>
      </c>
      <c r="B2230" t="str">
        <f t="shared" si="34"/>
        <v>ࢶ</v>
      </c>
    </row>
    <row r="2231" spans="1:2" x14ac:dyDescent="0.25">
      <c r="A2231">
        <v>2231</v>
      </c>
      <c r="B2231" t="str">
        <f t="shared" si="34"/>
        <v>ࢷ</v>
      </c>
    </row>
    <row r="2232" spans="1:2" x14ac:dyDescent="0.25">
      <c r="A2232">
        <v>2232</v>
      </c>
      <c r="B2232" t="str">
        <f t="shared" si="34"/>
        <v>ࢸ</v>
      </c>
    </row>
    <row r="2233" spans="1:2" x14ac:dyDescent="0.25">
      <c r="A2233">
        <v>2233</v>
      </c>
      <c r="B2233" t="str">
        <f t="shared" si="34"/>
        <v>ࢹ</v>
      </c>
    </row>
    <row r="2234" spans="1:2" x14ac:dyDescent="0.25">
      <c r="A2234">
        <v>2234</v>
      </c>
      <c r="B2234" t="str">
        <f t="shared" si="34"/>
        <v>ࢺ</v>
      </c>
    </row>
    <row r="2235" spans="1:2" x14ac:dyDescent="0.25">
      <c r="A2235">
        <v>2235</v>
      </c>
      <c r="B2235" t="str">
        <f t="shared" si="34"/>
        <v>ࢻ</v>
      </c>
    </row>
    <row r="2236" spans="1:2" x14ac:dyDescent="0.25">
      <c r="A2236">
        <v>2236</v>
      </c>
      <c r="B2236" t="str">
        <f t="shared" si="34"/>
        <v>ࢼ</v>
      </c>
    </row>
    <row r="2237" spans="1:2" x14ac:dyDescent="0.25">
      <c r="A2237">
        <v>2237</v>
      </c>
      <c r="B2237" t="str">
        <f t="shared" si="34"/>
        <v>ࢽ</v>
      </c>
    </row>
    <row r="2238" spans="1:2" x14ac:dyDescent="0.25">
      <c r="A2238">
        <v>2238</v>
      </c>
      <c r="B2238" t="str">
        <f t="shared" si="34"/>
        <v>ࢾ</v>
      </c>
    </row>
    <row r="2239" spans="1:2" x14ac:dyDescent="0.25">
      <c r="A2239">
        <v>2239</v>
      </c>
      <c r="B2239" t="str">
        <f t="shared" si="34"/>
        <v>ࢿ</v>
      </c>
    </row>
    <row r="2240" spans="1:2" x14ac:dyDescent="0.25">
      <c r="A2240">
        <v>2240</v>
      </c>
      <c r="B2240" t="str">
        <f t="shared" si="34"/>
        <v>ࣀ</v>
      </c>
    </row>
    <row r="2241" spans="1:2" x14ac:dyDescent="0.25">
      <c r="A2241">
        <v>2241</v>
      </c>
      <c r="B2241" t="str">
        <f t="shared" si="34"/>
        <v>ࣁ</v>
      </c>
    </row>
    <row r="2242" spans="1:2" x14ac:dyDescent="0.25">
      <c r="A2242">
        <v>2242</v>
      </c>
      <c r="B2242" t="str">
        <f t="shared" ref="B2242:B2305" si="35">_xlfn.UNICHAR(A2242)</f>
        <v>ࣂ</v>
      </c>
    </row>
    <row r="2243" spans="1:2" x14ac:dyDescent="0.25">
      <c r="A2243">
        <v>2243</v>
      </c>
      <c r="B2243" t="str">
        <f t="shared" si="35"/>
        <v>ࣃ</v>
      </c>
    </row>
    <row r="2244" spans="1:2" x14ac:dyDescent="0.25">
      <c r="A2244">
        <v>2244</v>
      </c>
      <c r="B2244" t="str">
        <f t="shared" si="35"/>
        <v>ࣄ</v>
      </c>
    </row>
    <row r="2245" spans="1:2" x14ac:dyDescent="0.25">
      <c r="A2245">
        <v>2245</v>
      </c>
      <c r="B2245" t="str">
        <f t="shared" si="35"/>
        <v>ࣅ</v>
      </c>
    </row>
    <row r="2246" spans="1:2" x14ac:dyDescent="0.25">
      <c r="A2246">
        <v>2246</v>
      </c>
      <c r="B2246" t="str">
        <f t="shared" si="35"/>
        <v>ࣆ</v>
      </c>
    </row>
    <row r="2247" spans="1:2" x14ac:dyDescent="0.25">
      <c r="A2247">
        <v>2247</v>
      </c>
      <c r="B2247" t="str">
        <f t="shared" si="35"/>
        <v>ࣇ</v>
      </c>
    </row>
    <row r="2248" spans="1:2" x14ac:dyDescent="0.25">
      <c r="A2248">
        <v>2248</v>
      </c>
      <c r="B2248" t="str">
        <f t="shared" si="35"/>
        <v>ࣈ</v>
      </c>
    </row>
    <row r="2249" spans="1:2" x14ac:dyDescent="0.25">
      <c r="A2249">
        <v>2249</v>
      </c>
      <c r="B2249" t="str">
        <f t="shared" si="35"/>
        <v>ࣉ</v>
      </c>
    </row>
    <row r="2250" spans="1:2" x14ac:dyDescent="0.25">
      <c r="A2250">
        <v>2250</v>
      </c>
      <c r="B2250" t="str">
        <f t="shared" si="35"/>
        <v>࣊</v>
      </c>
    </row>
    <row r="2251" spans="1:2" x14ac:dyDescent="0.25">
      <c r="A2251">
        <v>2251</v>
      </c>
      <c r="B2251" t="str">
        <f t="shared" si="35"/>
        <v>࣋</v>
      </c>
    </row>
    <row r="2252" spans="1:2" x14ac:dyDescent="0.25">
      <c r="A2252">
        <v>2252</v>
      </c>
      <c r="B2252" t="str">
        <f t="shared" si="35"/>
        <v>࣌</v>
      </c>
    </row>
    <row r="2253" spans="1:2" x14ac:dyDescent="0.25">
      <c r="A2253">
        <v>2253</v>
      </c>
      <c r="B2253" t="str">
        <f t="shared" si="35"/>
        <v>࣍</v>
      </c>
    </row>
    <row r="2254" spans="1:2" x14ac:dyDescent="0.25">
      <c r="A2254">
        <v>2254</v>
      </c>
      <c r="B2254" t="str">
        <f t="shared" si="35"/>
        <v>࣎</v>
      </c>
    </row>
    <row r="2255" spans="1:2" x14ac:dyDescent="0.25">
      <c r="A2255">
        <v>2255</v>
      </c>
      <c r="B2255" t="str">
        <f t="shared" si="35"/>
        <v>࣏</v>
      </c>
    </row>
    <row r="2256" spans="1:2" x14ac:dyDescent="0.25">
      <c r="A2256">
        <v>2256</v>
      </c>
      <c r="B2256" t="str">
        <f t="shared" si="35"/>
        <v>࣐</v>
      </c>
    </row>
    <row r="2257" spans="1:2" x14ac:dyDescent="0.25">
      <c r="A2257">
        <v>2257</v>
      </c>
      <c r="B2257" t="str">
        <f t="shared" si="35"/>
        <v>࣑</v>
      </c>
    </row>
    <row r="2258" spans="1:2" x14ac:dyDescent="0.25">
      <c r="A2258">
        <v>2258</v>
      </c>
      <c r="B2258" t="str">
        <f t="shared" si="35"/>
        <v>࣒</v>
      </c>
    </row>
    <row r="2259" spans="1:2" x14ac:dyDescent="0.25">
      <c r="A2259">
        <v>2259</v>
      </c>
      <c r="B2259" t="str">
        <f t="shared" si="35"/>
        <v>࣓</v>
      </c>
    </row>
    <row r="2260" spans="1:2" x14ac:dyDescent="0.25">
      <c r="A2260">
        <v>2260</v>
      </c>
      <c r="B2260" t="str">
        <f t="shared" si="35"/>
        <v>ࣔ</v>
      </c>
    </row>
    <row r="2261" spans="1:2" x14ac:dyDescent="0.25">
      <c r="A2261">
        <v>2261</v>
      </c>
      <c r="B2261" t="str">
        <f t="shared" si="35"/>
        <v>ࣕ</v>
      </c>
    </row>
    <row r="2262" spans="1:2" x14ac:dyDescent="0.25">
      <c r="A2262">
        <v>2262</v>
      </c>
      <c r="B2262" t="str">
        <f t="shared" si="35"/>
        <v>ࣖ</v>
      </c>
    </row>
    <row r="2263" spans="1:2" x14ac:dyDescent="0.25">
      <c r="A2263">
        <v>2263</v>
      </c>
      <c r="B2263" t="str">
        <f t="shared" si="35"/>
        <v>ࣗ</v>
      </c>
    </row>
    <row r="2264" spans="1:2" x14ac:dyDescent="0.25">
      <c r="A2264">
        <v>2264</v>
      </c>
      <c r="B2264" t="str">
        <f t="shared" si="35"/>
        <v>ࣘ</v>
      </c>
    </row>
    <row r="2265" spans="1:2" x14ac:dyDescent="0.25">
      <c r="A2265">
        <v>2265</v>
      </c>
      <c r="B2265" t="str">
        <f t="shared" si="35"/>
        <v>ࣙ</v>
      </c>
    </row>
    <row r="2266" spans="1:2" x14ac:dyDescent="0.25">
      <c r="A2266">
        <v>2266</v>
      </c>
      <c r="B2266" t="str">
        <f t="shared" si="35"/>
        <v>ࣚ</v>
      </c>
    </row>
    <row r="2267" spans="1:2" x14ac:dyDescent="0.25">
      <c r="A2267">
        <v>2267</v>
      </c>
      <c r="B2267" t="str">
        <f t="shared" si="35"/>
        <v>ࣛ</v>
      </c>
    </row>
    <row r="2268" spans="1:2" x14ac:dyDescent="0.25">
      <c r="A2268">
        <v>2268</v>
      </c>
      <c r="B2268" t="str">
        <f t="shared" si="35"/>
        <v>ࣜ</v>
      </c>
    </row>
    <row r="2269" spans="1:2" x14ac:dyDescent="0.25">
      <c r="A2269">
        <v>2269</v>
      </c>
      <c r="B2269" t="str">
        <f t="shared" si="35"/>
        <v>ࣝ</v>
      </c>
    </row>
    <row r="2270" spans="1:2" x14ac:dyDescent="0.25">
      <c r="A2270">
        <v>2270</v>
      </c>
      <c r="B2270" t="str">
        <f t="shared" si="35"/>
        <v>ࣞ</v>
      </c>
    </row>
    <row r="2271" spans="1:2" x14ac:dyDescent="0.25">
      <c r="A2271">
        <v>2271</v>
      </c>
      <c r="B2271" t="str">
        <f t="shared" si="35"/>
        <v>ࣟ</v>
      </c>
    </row>
    <row r="2272" spans="1:2" x14ac:dyDescent="0.25">
      <c r="A2272">
        <v>2272</v>
      </c>
      <c r="B2272" t="str">
        <f t="shared" si="35"/>
        <v>࣠</v>
      </c>
    </row>
    <row r="2273" spans="1:2" x14ac:dyDescent="0.25">
      <c r="A2273">
        <v>2273</v>
      </c>
      <c r="B2273" t="str">
        <f t="shared" si="35"/>
        <v>࣡</v>
      </c>
    </row>
    <row r="2274" spans="1:2" x14ac:dyDescent="0.25">
      <c r="A2274">
        <v>2274</v>
      </c>
      <c r="B2274" t="str">
        <f t="shared" si="35"/>
        <v>࣢</v>
      </c>
    </row>
    <row r="2275" spans="1:2" x14ac:dyDescent="0.25">
      <c r="A2275">
        <v>2275</v>
      </c>
      <c r="B2275" t="str">
        <f t="shared" si="35"/>
        <v>ࣣ</v>
      </c>
    </row>
    <row r="2276" spans="1:2" x14ac:dyDescent="0.25">
      <c r="A2276">
        <v>2276</v>
      </c>
      <c r="B2276" t="str">
        <f t="shared" si="35"/>
        <v>ࣤ</v>
      </c>
    </row>
    <row r="2277" spans="1:2" x14ac:dyDescent="0.25">
      <c r="A2277">
        <v>2277</v>
      </c>
      <c r="B2277" t="str">
        <f t="shared" si="35"/>
        <v>ࣥ</v>
      </c>
    </row>
    <row r="2278" spans="1:2" x14ac:dyDescent="0.25">
      <c r="A2278">
        <v>2278</v>
      </c>
      <c r="B2278" t="str">
        <f t="shared" si="35"/>
        <v>ࣦ</v>
      </c>
    </row>
    <row r="2279" spans="1:2" x14ac:dyDescent="0.25">
      <c r="A2279">
        <v>2279</v>
      </c>
      <c r="B2279" t="str">
        <f t="shared" si="35"/>
        <v>ࣧ</v>
      </c>
    </row>
    <row r="2280" spans="1:2" x14ac:dyDescent="0.25">
      <c r="A2280">
        <v>2280</v>
      </c>
      <c r="B2280" t="str">
        <f t="shared" si="35"/>
        <v>ࣨ</v>
      </c>
    </row>
    <row r="2281" spans="1:2" x14ac:dyDescent="0.25">
      <c r="A2281">
        <v>2281</v>
      </c>
      <c r="B2281" t="str">
        <f t="shared" si="35"/>
        <v>ࣩ</v>
      </c>
    </row>
    <row r="2282" spans="1:2" x14ac:dyDescent="0.25">
      <c r="A2282">
        <v>2282</v>
      </c>
      <c r="B2282" t="str">
        <f t="shared" si="35"/>
        <v>࣪</v>
      </c>
    </row>
    <row r="2283" spans="1:2" x14ac:dyDescent="0.25">
      <c r="A2283">
        <v>2283</v>
      </c>
      <c r="B2283" t="str">
        <f t="shared" si="35"/>
        <v>࣫</v>
      </c>
    </row>
    <row r="2284" spans="1:2" x14ac:dyDescent="0.25">
      <c r="A2284">
        <v>2284</v>
      </c>
      <c r="B2284" t="str">
        <f t="shared" si="35"/>
        <v>࣬</v>
      </c>
    </row>
    <row r="2285" spans="1:2" x14ac:dyDescent="0.25">
      <c r="A2285">
        <v>2285</v>
      </c>
      <c r="B2285" t="str">
        <f t="shared" si="35"/>
        <v>࣭</v>
      </c>
    </row>
    <row r="2286" spans="1:2" x14ac:dyDescent="0.25">
      <c r="A2286">
        <v>2286</v>
      </c>
      <c r="B2286" t="str">
        <f t="shared" si="35"/>
        <v>࣮</v>
      </c>
    </row>
    <row r="2287" spans="1:2" x14ac:dyDescent="0.25">
      <c r="A2287">
        <v>2287</v>
      </c>
      <c r="B2287" t="str">
        <f t="shared" si="35"/>
        <v>࣯</v>
      </c>
    </row>
    <row r="2288" spans="1:2" x14ac:dyDescent="0.25">
      <c r="A2288">
        <v>2288</v>
      </c>
      <c r="B2288" t="str">
        <f t="shared" si="35"/>
        <v>ࣰ</v>
      </c>
    </row>
    <row r="2289" spans="1:2" x14ac:dyDescent="0.25">
      <c r="A2289">
        <v>2289</v>
      </c>
      <c r="B2289" t="str">
        <f t="shared" si="35"/>
        <v>ࣱ</v>
      </c>
    </row>
    <row r="2290" spans="1:2" x14ac:dyDescent="0.25">
      <c r="A2290">
        <v>2290</v>
      </c>
      <c r="B2290" t="str">
        <f t="shared" si="35"/>
        <v>ࣲ</v>
      </c>
    </row>
    <row r="2291" spans="1:2" x14ac:dyDescent="0.25">
      <c r="A2291">
        <v>2291</v>
      </c>
      <c r="B2291" t="str">
        <f t="shared" si="35"/>
        <v>ࣳ</v>
      </c>
    </row>
    <row r="2292" spans="1:2" x14ac:dyDescent="0.25">
      <c r="A2292">
        <v>2292</v>
      </c>
      <c r="B2292" t="str">
        <f t="shared" si="35"/>
        <v>ࣴ</v>
      </c>
    </row>
    <row r="2293" spans="1:2" x14ac:dyDescent="0.25">
      <c r="A2293">
        <v>2293</v>
      </c>
      <c r="B2293" t="str">
        <f t="shared" si="35"/>
        <v>ࣵ</v>
      </c>
    </row>
    <row r="2294" spans="1:2" x14ac:dyDescent="0.25">
      <c r="A2294">
        <v>2294</v>
      </c>
      <c r="B2294" t="str">
        <f t="shared" si="35"/>
        <v>ࣶ</v>
      </c>
    </row>
    <row r="2295" spans="1:2" x14ac:dyDescent="0.25">
      <c r="A2295">
        <v>2295</v>
      </c>
      <c r="B2295" t="str">
        <f t="shared" si="35"/>
        <v>ࣷ</v>
      </c>
    </row>
    <row r="2296" spans="1:2" x14ac:dyDescent="0.25">
      <c r="A2296">
        <v>2296</v>
      </c>
      <c r="B2296" t="str">
        <f t="shared" si="35"/>
        <v>ࣸ</v>
      </c>
    </row>
    <row r="2297" spans="1:2" x14ac:dyDescent="0.25">
      <c r="A2297">
        <v>2297</v>
      </c>
      <c r="B2297" t="str">
        <f t="shared" si="35"/>
        <v>ࣹ</v>
      </c>
    </row>
    <row r="2298" spans="1:2" x14ac:dyDescent="0.25">
      <c r="A2298">
        <v>2298</v>
      </c>
      <c r="B2298" t="str">
        <f t="shared" si="35"/>
        <v>ࣺ</v>
      </c>
    </row>
    <row r="2299" spans="1:2" x14ac:dyDescent="0.25">
      <c r="A2299">
        <v>2299</v>
      </c>
      <c r="B2299" t="str">
        <f t="shared" si="35"/>
        <v>ࣻ</v>
      </c>
    </row>
    <row r="2300" spans="1:2" x14ac:dyDescent="0.25">
      <c r="A2300">
        <v>2300</v>
      </c>
      <c r="B2300" t="str">
        <f t="shared" si="35"/>
        <v>ࣼ</v>
      </c>
    </row>
    <row r="2301" spans="1:2" x14ac:dyDescent="0.25">
      <c r="A2301">
        <v>2301</v>
      </c>
      <c r="B2301" t="str">
        <f t="shared" si="35"/>
        <v>ࣽ</v>
      </c>
    </row>
    <row r="2302" spans="1:2" x14ac:dyDescent="0.25">
      <c r="A2302">
        <v>2302</v>
      </c>
      <c r="B2302" t="str">
        <f t="shared" si="35"/>
        <v>ࣾ</v>
      </c>
    </row>
    <row r="2303" spans="1:2" x14ac:dyDescent="0.25">
      <c r="A2303">
        <v>2303</v>
      </c>
      <c r="B2303" t="str">
        <f t="shared" si="35"/>
        <v>ࣿ</v>
      </c>
    </row>
    <row r="2304" spans="1:2" x14ac:dyDescent="0.25">
      <c r="A2304">
        <v>2304</v>
      </c>
      <c r="B2304" t="str">
        <f t="shared" si="35"/>
        <v>ऀ</v>
      </c>
    </row>
    <row r="2305" spans="1:2" x14ac:dyDescent="0.25">
      <c r="A2305">
        <v>2305</v>
      </c>
      <c r="B2305" t="str">
        <f t="shared" si="35"/>
        <v>ँ</v>
      </c>
    </row>
    <row r="2306" spans="1:2" x14ac:dyDescent="0.25">
      <c r="A2306">
        <v>2306</v>
      </c>
      <c r="B2306" t="str">
        <f t="shared" ref="B2306:B2369" si="36">_xlfn.UNICHAR(A2306)</f>
        <v>ं</v>
      </c>
    </row>
    <row r="2307" spans="1:2" x14ac:dyDescent="0.25">
      <c r="A2307">
        <v>2307</v>
      </c>
      <c r="B2307" t="str">
        <f t="shared" si="36"/>
        <v>ः</v>
      </c>
    </row>
    <row r="2308" spans="1:2" x14ac:dyDescent="0.25">
      <c r="A2308">
        <v>2308</v>
      </c>
      <c r="B2308" t="str">
        <f t="shared" si="36"/>
        <v>ऄ</v>
      </c>
    </row>
    <row r="2309" spans="1:2" x14ac:dyDescent="0.25">
      <c r="A2309">
        <v>2309</v>
      </c>
      <c r="B2309" t="str">
        <f t="shared" si="36"/>
        <v>अ</v>
      </c>
    </row>
    <row r="2310" spans="1:2" x14ac:dyDescent="0.25">
      <c r="A2310">
        <v>2310</v>
      </c>
      <c r="B2310" t="str">
        <f t="shared" si="36"/>
        <v>आ</v>
      </c>
    </row>
    <row r="2311" spans="1:2" x14ac:dyDescent="0.25">
      <c r="A2311">
        <v>2311</v>
      </c>
      <c r="B2311" t="str">
        <f t="shared" si="36"/>
        <v>इ</v>
      </c>
    </row>
    <row r="2312" spans="1:2" x14ac:dyDescent="0.25">
      <c r="A2312">
        <v>2312</v>
      </c>
      <c r="B2312" t="str">
        <f t="shared" si="36"/>
        <v>ई</v>
      </c>
    </row>
    <row r="2313" spans="1:2" x14ac:dyDescent="0.25">
      <c r="A2313">
        <v>2313</v>
      </c>
      <c r="B2313" t="str">
        <f t="shared" si="36"/>
        <v>उ</v>
      </c>
    </row>
    <row r="2314" spans="1:2" x14ac:dyDescent="0.25">
      <c r="A2314">
        <v>2314</v>
      </c>
      <c r="B2314" t="str">
        <f t="shared" si="36"/>
        <v>ऊ</v>
      </c>
    </row>
    <row r="2315" spans="1:2" x14ac:dyDescent="0.25">
      <c r="A2315">
        <v>2315</v>
      </c>
      <c r="B2315" t="str">
        <f t="shared" si="36"/>
        <v>ऋ</v>
      </c>
    </row>
    <row r="2316" spans="1:2" x14ac:dyDescent="0.25">
      <c r="A2316">
        <v>2316</v>
      </c>
      <c r="B2316" t="str">
        <f t="shared" si="36"/>
        <v>ऌ</v>
      </c>
    </row>
    <row r="2317" spans="1:2" x14ac:dyDescent="0.25">
      <c r="A2317">
        <v>2317</v>
      </c>
      <c r="B2317" t="str">
        <f t="shared" si="36"/>
        <v>ऍ</v>
      </c>
    </row>
    <row r="2318" spans="1:2" x14ac:dyDescent="0.25">
      <c r="A2318">
        <v>2318</v>
      </c>
      <c r="B2318" t="str">
        <f t="shared" si="36"/>
        <v>ऎ</v>
      </c>
    </row>
    <row r="2319" spans="1:2" x14ac:dyDescent="0.25">
      <c r="A2319">
        <v>2319</v>
      </c>
      <c r="B2319" t="str">
        <f t="shared" si="36"/>
        <v>ए</v>
      </c>
    </row>
    <row r="2320" spans="1:2" x14ac:dyDescent="0.25">
      <c r="A2320">
        <v>2320</v>
      </c>
      <c r="B2320" t="str">
        <f t="shared" si="36"/>
        <v>ऐ</v>
      </c>
    </row>
    <row r="2321" spans="1:2" x14ac:dyDescent="0.25">
      <c r="A2321">
        <v>2321</v>
      </c>
      <c r="B2321" t="str">
        <f t="shared" si="36"/>
        <v>ऑ</v>
      </c>
    </row>
    <row r="2322" spans="1:2" x14ac:dyDescent="0.25">
      <c r="A2322">
        <v>2322</v>
      </c>
      <c r="B2322" t="str">
        <f t="shared" si="36"/>
        <v>ऒ</v>
      </c>
    </row>
    <row r="2323" spans="1:2" x14ac:dyDescent="0.25">
      <c r="A2323">
        <v>2323</v>
      </c>
      <c r="B2323" t="str">
        <f t="shared" si="36"/>
        <v>ओ</v>
      </c>
    </row>
    <row r="2324" spans="1:2" x14ac:dyDescent="0.25">
      <c r="A2324">
        <v>2324</v>
      </c>
      <c r="B2324" t="str">
        <f t="shared" si="36"/>
        <v>औ</v>
      </c>
    </row>
    <row r="2325" spans="1:2" x14ac:dyDescent="0.25">
      <c r="A2325">
        <v>2325</v>
      </c>
      <c r="B2325" t="str">
        <f t="shared" si="36"/>
        <v>क</v>
      </c>
    </row>
    <row r="2326" spans="1:2" x14ac:dyDescent="0.25">
      <c r="A2326">
        <v>2326</v>
      </c>
      <c r="B2326" t="str">
        <f t="shared" si="36"/>
        <v>ख</v>
      </c>
    </row>
    <row r="2327" spans="1:2" x14ac:dyDescent="0.25">
      <c r="A2327">
        <v>2327</v>
      </c>
      <c r="B2327" t="str">
        <f t="shared" si="36"/>
        <v>ग</v>
      </c>
    </row>
    <row r="2328" spans="1:2" x14ac:dyDescent="0.25">
      <c r="A2328">
        <v>2328</v>
      </c>
      <c r="B2328" t="str">
        <f t="shared" si="36"/>
        <v>घ</v>
      </c>
    </row>
    <row r="2329" spans="1:2" x14ac:dyDescent="0.25">
      <c r="A2329">
        <v>2329</v>
      </c>
      <c r="B2329" t="str">
        <f t="shared" si="36"/>
        <v>ङ</v>
      </c>
    </row>
    <row r="2330" spans="1:2" x14ac:dyDescent="0.25">
      <c r="A2330">
        <v>2330</v>
      </c>
      <c r="B2330" t="str">
        <f t="shared" si="36"/>
        <v>च</v>
      </c>
    </row>
    <row r="2331" spans="1:2" x14ac:dyDescent="0.25">
      <c r="A2331">
        <v>2331</v>
      </c>
      <c r="B2331" t="str">
        <f t="shared" si="36"/>
        <v>छ</v>
      </c>
    </row>
    <row r="2332" spans="1:2" x14ac:dyDescent="0.25">
      <c r="A2332">
        <v>2332</v>
      </c>
      <c r="B2332" t="str">
        <f t="shared" si="36"/>
        <v>ज</v>
      </c>
    </row>
    <row r="2333" spans="1:2" x14ac:dyDescent="0.25">
      <c r="A2333">
        <v>2333</v>
      </c>
      <c r="B2333" t="str">
        <f t="shared" si="36"/>
        <v>झ</v>
      </c>
    </row>
    <row r="2334" spans="1:2" x14ac:dyDescent="0.25">
      <c r="A2334">
        <v>2334</v>
      </c>
      <c r="B2334" t="str">
        <f t="shared" si="36"/>
        <v>ञ</v>
      </c>
    </row>
    <row r="2335" spans="1:2" x14ac:dyDescent="0.25">
      <c r="A2335">
        <v>2335</v>
      </c>
      <c r="B2335" t="str">
        <f t="shared" si="36"/>
        <v>ट</v>
      </c>
    </row>
    <row r="2336" spans="1:2" x14ac:dyDescent="0.25">
      <c r="A2336">
        <v>2336</v>
      </c>
      <c r="B2336" t="str">
        <f t="shared" si="36"/>
        <v>ठ</v>
      </c>
    </row>
    <row r="2337" spans="1:2" x14ac:dyDescent="0.25">
      <c r="A2337">
        <v>2337</v>
      </c>
      <c r="B2337" t="str">
        <f t="shared" si="36"/>
        <v>ड</v>
      </c>
    </row>
    <row r="2338" spans="1:2" x14ac:dyDescent="0.25">
      <c r="A2338">
        <v>2338</v>
      </c>
      <c r="B2338" t="str">
        <f t="shared" si="36"/>
        <v>ढ</v>
      </c>
    </row>
    <row r="2339" spans="1:2" x14ac:dyDescent="0.25">
      <c r="A2339">
        <v>2339</v>
      </c>
      <c r="B2339" t="str">
        <f t="shared" si="36"/>
        <v>ण</v>
      </c>
    </row>
    <row r="2340" spans="1:2" x14ac:dyDescent="0.25">
      <c r="A2340">
        <v>2340</v>
      </c>
      <c r="B2340" t="str">
        <f t="shared" si="36"/>
        <v>त</v>
      </c>
    </row>
    <row r="2341" spans="1:2" x14ac:dyDescent="0.25">
      <c r="A2341">
        <v>2341</v>
      </c>
      <c r="B2341" t="str">
        <f t="shared" si="36"/>
        <v>थ</v>
      </c>
    </row>
    <row r="2342" spans="1:2" x14ac:dyDescent="0.25">
      <c r="A2342">
        <v>2342</v>
      </c>
      <c r="B2342" t="str">
        <f t="shared" si="36"/>
        <v>द</v>
      </c>
    </row>
    <row r="2343" spans="1:2" x14ac:dyDescent="0.25">
      <c r="A2343">
        <v>2343</v>
      </c>
      <c r="B2343" t="str">
        <f t="shared" si="36"/>
        <v>ध</v>
      </c>
    </row>
    <row r="2344" spans="1:2" x14ac:dyDescent="0.25">
      <c r="A2344">
        <v>2344</v>
      </c>
      <c r="B2344" t="str">
        <f t="shared" si="36"/>
        <v>न</v>
      </c>
    </row>
    <row r="2345" spans="1:2" x14ac:dyDescent="0.25">
      <c r="A2345">
        <v>2345</v>
      </c>
      <c r="B2345" t="str">
        <f t="shared" si="36"/>
        <v>ऩ</v>
      </c>
    </row>
    <row r="2346" spans="1:2" x14ac:dyDescent="0.25">
      <c r="A2346">
        <v>2346</v>
      </c>
      <c r="B2346" t="str">
        <f t="shared" si="36"/>
        <v>प</v>
      </c>
    </row>
    <row r="2347" spans="1:2" x14ac:dyDescent="0.25">
      <c r="A2347">
        <v>2347</v>
      </c>
      <c r="B2347" t="str">
        <f t="shared" si="36"/>
        <v>फ</v>
      </c>
    </row>
    <row r="2348" spans="1:2" x14ac:dyDescent="0.25">
      <c r="A2348">
        <v>2348</v>
      </c>
      <c r="B2348" t="str">
        <f t="shared" si="36"/>
        <v>ब</v>
      </c>
    </row>
    <row r="2349" spans="1:2" x14ac:dyDescent="0.25">
      <c r="A2349">
        <v>2349</v>
      </c>
      <c r="B2349" t="str">
        <f t="shared" si="36"/>
        <v>भ</v>
      </c>
    </row>
    <row r="2350" spans="1:2" x14ac:dyDescent="0.25">
      <c r="A2350">
        <v>2350</v>
      </c>
      <c r="B2350" t="str">
        <f t="shared" si="36"/>
        <v>म</v>
      </c>
    </row>
    <row r="2351" spans="1:2" x14ac:dyDescent="0.25">
      <c r="A2351">
        <v>2351</v>
      </c>
      <c r="B2351" t="str">
        <f t="shared" si="36"/>
        <v>य</v>
      </c>
    </row>
    <row r="2352" spans="1:2" x14ac:dyDescent="0.25">
      <c r="A2352">
        <v>2352</v>
      </c>
      <c r="B2352" t="str">
        <f t="shared" si="36"/>
        <v>र</v>
      </c>
    </row>
    <row r="2353" spans="1:2" x14ac:dyDescent="0.25">
      <c r="A2353">
        <v>2353</v>
      </c>
      <c r="B2353" t="str">
        <f t="shared" si="36"/>
        <v>ऱ</v>
      </c>
    </row>
    <row r="2354" spans="1:2" x14ac:dyDescent="0.25">
      <c r="A2354">
        <v>2354</v>
      </c>
      <c r="B2354" t="str">
        <f t="shared" si="36"/>
        <v>ल</v>
      </c>
    </row>
    <row r="2355" spans="1:2" x14ac:dyDescent="0.25">
      <c r="A2355">
        <v>2355</v>
      </c>
      <c r="B2355" t="str">
        <f t="shared" si="36"/>
        <v>ळ</v>
      </c>
    </row>
    <row r="2356" spans="1:2" x14ac:dyDescent="0.25">
      <c r="A2356">
        <v>2356</v>
      </c>
      <c r="B2356" t="str">
        <f t="shared" si="36"/>
        <v>ऴ</v>
      </c>
    </row>
    <row r="2357" spans="1:2" x14ac:dyDescent="0.25">
      <c r="A2357">
        <v>2357</v>
      </c>
      <c r="B2357" t="str">
        <f t="shared" si="36"/>
        <v>व</v>
      </c>
    </row>
    <row r="2358" spans="1:2" x14ac:dyDescent="0.25">
      <c r="A2358">
        <v>2358</v>
      </c>
      <c r="B2358" t="str">
        <f t="shared" si="36"/>
        <v>श</v>
      </c>
    </row>
    <row r="2359" spans="1:2" x14ac:dyDescent="0.25">
      <c r="A2359">
        <v>2359</v>
      </c>
      <c r="B2359" t="str">
        <f t="shared" si="36"/>
        <v>ष</v>
      </c>
    </row>
    <row r="2360" spans="1:2" x14ac:dyDescent="0.25">
      <c r="A2360">
        <v>2360</v>
      </c>
      <c r="B2360" t="str">
        <f t="shared" si="36"/>
        <v>स</v>
      </c>
    </row>
    <row r="2361" spans="1:2" x14ac:dyDescent="0.25">
      <c r="A2361">
        <v>2361</v>
      </c>
      <c r="B2361" t="str">
        <f t="shared" si="36"/>
        <v>ह</v>
      </c>
    </row>
    <row r="2362" spans="1:2" x14ac:dyDescent="0.25">
      <c r="A2362">
        <v>2362</v>
      </c>
      <c r="B2362" t="str">
        <f t="shared" si="36"/>
        <v>ऺ</v>
      </c>
    </row>
    <row r="2363" spans="1:2" x14ac:dyDescent="0.25">
      <c r="A2363">
        <v>2363</v>
      </c>
      <c r="B2363" t="str">
        <f t="shared" si="36"/>
        <v>ऻ</v>
      </c>
    </row>
    <row r="2364" spans="1:2" x14ac:dyDescent="0.25">
      <c r="A2364">
        <v>2364</v>
      </c>
      <c r="B2364" t="str">
        <f t="shared" si="36"/>
        <v>़</v>
      </c>
    </row>
    <row r="2365" spans="1:2" x14ac:dyDescent="0.25">
      <c r="A2365">
        <v>2365</v>
      </c>
      <c r="B2365" t="str">
        <f t="shared" si="36"/>
        <v>ऽ</v>
      </c>
    </row>
    <row r="2366" spans="1:2" x14ac:dyDescent="0.25">
      <c r="A2366">
        <v>2366</v>
      </c>
      <c r="B2366" t="str">
        <f t="shared" si="36"/>
        <v>ा</v>
      </c>
    </row>
    <row r="2367" spans="1:2" x14ac:dyDescent="0.25">
      <c r="A2367">
        <v>2367</v>
      </c>
      <c r="B2367" t="str">
        <f t="shared" si="36"/>
        <v>ि</v>
      </c>
    </row>
    <row r="2368" spans="1:2" x14ac:dyDescent="0.25">
      <c r="A2368">
        <v>2368</v>
      </c>
      <c r="B2368" t="str">
        <f t="shared" si="36"/>
        <v>ी</v>
      </c>
    </row>
    <row r="2369" spans="1:2" x14ac:dyDescent="0.25">
      <c r="A2369">
        <v>2369</v>
      </c>
      <c r="B2369" t="str">
        <f t="shared" si="36"/>
        <v>ु</v>
      </c>
    </row>
    <row r="2370" spans="1:2" x14ac:dyDescent="0.25">
      <c r="A2370">
        <v>2370</v>
      </c>
      <c r="B2370" t="str">
        <f t="shared" ref="B2370:B2433" si="37">_xlfn.UNICHAR(A2370)</f>
        <v>ू</v>
      </c>
    </row>
    <row r="2371" spans="1:2" x14ac:dyDescent="0.25">
      <c r="A2371">
        <v>2371</v>
      </c>
      <c r="B2371" t="str">
        <f t="shared" si="37"/>
        <v>ृ</v>
      </c>
    </row>
    <row r="2372" spans="1:2" x14ac:dyDescent="0.25">
      <c r="A2372">
        <v>2372</v>
      </c>
      <c r="B2372" t="str">
        <f t="shared" si="37"/>
        <v>ॄ</v>
      </c>
    </row>
    <row r="2373" spans="1:2" x14ac:dyDescent="0.25">
      <c r="A2373">
        <v>2373</v>
      </c>
      <c r="B2373" t="str">
        <f t="shared" si="37"/>
        <v>ॅ</v>
      </c>
    </row>
    <row r="2374" spans="1:2" x14ac:dyDescent="0.25">
      <c r="A2374">
        <v>2374</v>
      </c>
      <c r="B2374" t="str">
        <f t="shared" si="37"/>
        <v>ॆ</v>
      </c>
    </row>
    <row r="2375" spans="1:2" x14ac:dyDescent="0.25">
      <c r="A2375">
        <v>2375</v>
      </c>
      <c r="B2375" t="str">
        <f t="shared" si="37"/>
        <v>े</v>
      </c>
    </row>
    <row r="2376" spans="1:2" x14ac:dyDescent="0.25">
      <c r="A2376">
        <v>2376</v>
      </c>
      <c r="B2376" t="str">
        <f t="shared" si="37"/>
        <v>ै</v>
      </c>
    </row>
    <row r="2377" spans="1:2" x14ac:dyDescent="0.25">
      <c r="A2377">
        <v>2377</v>
      </c>
      <c r="B2377" t="str">
        <f t="shared" si="37"/>
        <v>ॉ</v>
      </c>
    </row>
    <row r="2378" spans="1:2" x14ac:dyDescent="0.25">
      <c r="A2378">
        <v>2378</v>
      </c>
      <c r="B2378" t="str">
        <f t="shared" si="37"/>
        <v>ॊ</v>
      </c>
    </row>
    <row r="2379" spans="1:2" x14ac:dyDescent="0.25">
      <c r="A2379">
        <v>2379</v>
      </c>
      <c r="B2379" t="str">
        <f t="shared" si="37"/>
        <v>ो</v>
      </c>
    </row>
    <row r="2380" spans="1:2" x14ac:dyDescent="0.25">
      <c r="A2380">
        <v>2380</v>
      </c>
      <c r="B2380" t="str">
        <f t="shared" si="37"/>
        <v>ौ</v>
      </c>
    </row>
    <row r="2381" spans="1:2" x14ac:dyDescent="0.25">
      <c r="A2381">
        <v>2381</v>
      </c>
      <c r="B2381" t="str">
        <f t="shared" si="37"/>
        <v>्</v>
      </c>
    </row>
    <row r="2382" spans="1:2" x14ac:dyDescent="0.25">
      <c r="A2382">
        <v>2382</v>
      </c>
      <c r="B2382" t="str">
        <f t="shared" si="37"/>
        <v>ॎ</v>
      </c>
    </row>
    <row r="2383" spans="1:2" x14ac:dyDescent="0.25">
      <c r="A2383">
        <v>2383</v>
      </c>
      <c r="B2383" t="str">
        <f t="shared" si="37"/>
        <v>ॏ</v>
      </c>
    </row>
    <row r="2384" spans="1:2" x14ac:dyDescent="0.25">
      <c r="A2384">
        <v>2384</v>
      </c>
      <c r="B2384" t="str">
        <f t="shared" si="37"/>
        <v>ॐ</v>
      </c>
    </row>
    <row r="2385" spans="1:2" x14ac:dyDescent="0.25">
      <c r="A2385">
        <v>2385</v>
      </c>
      <c r="B2385" t="str">
        <f t="shared" si="37"/>
        <v>॑</v>
      </c>
    </row>
    <row r="2386" spans="1:2" x14ac:dyDescent="0.25">
      <c r="A2386">
        <v>2386</v>
      </c>
      <c r="B2386" t="str">
        <f t="shared" si="37"/>
        <v>॒</v>
      </c>
    </row>
    <row r="2387" spans="1:2" x14ac:dyDescent="0.25">
      <c r="A2387">
        <v>2387</v>
      </c>
      <c r="B2387" t="str">
        <f t="shared" si="37"/>
        <v>॓</v>
      </c>
    </row>
    <row r="2388" spans="1:2" x14ac:dyDescent="0.25">
      <c r="A2388">
        <v>2388</v>
      </c>
      <c r="B2388" t="str">
        <f t="shared" si="37"/>
        <v>॔</v>
      </c>
    </row>
    <row r="2389" spans="1:2" x14ac:dyDescent="0.25">
      <c r="A2389">
        <v>2389</v>
      </c>
      <c r="B2389" t="str">
        <f t="shared" si="37"/>
        <v>ॕ</v>
      </c>
    </row>
    <row r="2390" spans="1:2" x14ac:dyDescent="0.25">
      <c r="A2390">
        <v>2390</v>
      </c>
      <c r="B2390" t="str">
        <f t="shared" si="37"/>
        <v>ॖ</v>
      </c>
    </row>
    <row r="2391" spans="1:2" x14ac:dyDescent="0.25">
      <c r="A2391">
        <v>2391</v>
      </c>
      <c r="B2391" t="str">
        <f t="shared" si="37"/>
        <v>ॗ</v>
      </c>
    </row>
    <row r="2392" spans="1:2" x14ac:dyDescent="0.25">
      <c r="A2392">
        <v>2392</v>
      </c>
      <c r="B2392" t="str">
        <f t="shared" si="37"/>
        <v>क़</v>
      </c>
    </row>
    <row r="2393" spans="1:2" x14ac:dyDescent="0.25">
      <c r="A2393">
        <v>2393</v>
      </c>
      <c r="B2393" t="str">
        <f t="shared" si="37"/>
        <v>ख़</v>
      </c>
    </row>
    <row r="2394" spans="1:2" x14ac:dyDescent="0.25">
      <c r="A2394">
        <v>2394</v>
      </c>
      <c r="B2394" t="str">
        <f t="shared" si="37"/>
        <v>ग़</v>
      </c>
    </row>
    <row r="2395" spans="1:2" x14ac:dyDescent="0.25">
      <c r="A2395">
        <v>2395</v>
      </c>
      <c r="B2395" t="str">
        <f t="shared" si="37"/>
        <v>ज़</v>
      </c>
    </row>
    <row r="2396" spans="1:2" x14ac:dyDescent="0.25">
      <c r="A2396">
        <v>2396</v>
      </c>
      <c r="B2396" t="str">
        <f t="shared" si="37"/>
        <v>ड़</v>
      </c>
    </row>
    <row r="2397" spans="1:2" x14ac:dyDescent="0.25">
      <c r="A2397">
        <v>2397</v>
      </c>
      <c r="B2397" t="str">
        <f t="shared" si="37"/>
        <v>ढ़</v>
      </c>
    </row>
    <row r="2398" spans="1:2" x14ac:dyDescent="0.25">
      <c r="A2398">
        <v>2398</v>
      </c>
      <c r="B2398" t="str">
        <f t="shared" si="37"/>
        <v>फ़</v>
      </c>
    </row>
    <row r="2399" spans="1:2" x14ac:dyDescent="0.25">
      <c r="A2399">
        <v>2399</v>
      </c>
      <c r="B2399" t="str">
        <f t="shared" si="37"/>
        <v>य़</v>
      </c>
    </row>
    <row r="2400" spans="1:2" x14ac:dyDescent="0.25">
      <c r="A2400">
        <v>2400</v>
      </c>
      <c r="B2400" t="str">
        <f t="shared" si="37"/>
        <v>ॠ</v>
      </c>
    </row>
    <row r="2401" spans="1:2" x14ac:dyDescent="0.25">
      <c r="A2401">
        <v>2401</v>
      </c>
      <c r="B2401" t="str">
        <f t="shared" si="37"/>
        <v>ॡ</v>
      </c>
    </row>
    <row r="2402" spans="1:2" x14ac:dyDescent="0.25">
      <c r="A2402">
        <v>2402</v>
      </c>
      <c r="B2402" t="str">
        <f t="shared" si="37"/>
        <v>ॢ</v>
      </c>
    </row>
    <row r="2403" spans="1:2" x14ac:dyDescent="0.25">
      <c r="A2403">
        <v>2403</v>
      </c>
      <c r="B2403" t="str">
        <f t="shared" si="37"/>
        <v>ॣ</v>
      </c>
    </row>
    <row r="2404" spans="1:2" x14ac:dyDescent="0.25">
      <c r="A2404">
        <v>2404</v>
      </c>
      <c r="B2404" t="str">
        <f t="shared" si="37"/>
        <v>।</v>
      </c>
    </row>
    <row r="2405" spans="1:2" x14ac:dyDescent="0.25">
      <c r="A2405">
        <v>2405</v>
      </c>
      <c r="B2405" t="str">
        <f t="shared" si="37"/>
        <v>॥</v>
      </c>
    </row>
    <row r="2406" spans="1:2" x14ac:dyDescent="0.25">
      <c r="A2406">
        <v>2406</v>
      </c>
      <c r="B2406" t="str">
        <f t="shared" si="37"/>
        <v>०</v>
      </c>
    </row>
    <row r="2407" spans="1:2" x14ac:dyDescent="0.25">
      <c r="A2407">
        <v>2407</v>
      </c>
      <c r="B2407" t="str">
        <f t="shared" si="37"/>
        <v>१</v>
      </c>
    </row>
    <row r="2408" spans="1:2" x14ac:dyDescent="0.25">
      <c r="A2408">
        <v>2408</v>
      </c>
      <c r="B2408" t="str">
        <f t="shared" si="37"/>
        <v>२</v>
      </c>
    </row>
    <row r="2409" spans="1:2" x14ac:dyDescent="0.25">
      <c r="A2409">
        <v>2409</v>
      </c>
      <c r="B2409" t="str">
        <f t="shared" si="37"/>
        <v>३</v>
      </c>
    </row>
    <row r="2410" spans="1:2" x14ac:dyDescent="0.25">
      <c r="A2410">
        <v>2410</v>
      </c>
      <c r="B2410" t="str">
        <f t="shared" si="37"/>
        <v>४</v>
      </c>
    </row>
    <row r="2411" spans="1:2" x14ac:dyDescent="0.25">
      <c r="A2411">
        <v>2411</v>
      </c>
      <c r="B2411" t="str">
        <f t="shared" si="37"/>
        <v>५</v>
      </c>
    </row>
    <row r="2412" spans="1:2" x14ac:dyDescent="0.25">
      <c r="A2412">
        <v>2412</v>
      </c>
      <c r="B2412" t="str">
        <f t="shared" si="37"/>
        <v>६</v>
      </c>
    </row>
    <row r="2413" spans="1:2" x14ac:dyDescent="0.25">
      <c r="A2413">
        <v>2413</v>
      </c>
      <c r="B2413" t="str">
        <f t="shared" si="37"/>
        <v>७</v>
      </c>
    </row>
    <row r="2414" spans="1:2" x14ac:dyDescent="0.25">
      <c r="A2414">
        <v>2414</v>
      </c>
      <c r="B2414" t="str">
        <f t="shared" si="37"/>
        <v>८</v>
      </c>
    </row>
    <row r="2415" spans="1:2" x14ac:dyDescent="0.25">
      <c r="A2415">
        <v>2415</v>
      </c>
      <c r="B2415" t="str">
        <f t="shared" si="37"/>
        <v>९</v>
      </c>
    </row>
    <row r="2416" spans="1:2" x14ac:dyDescent="0.25">
      <c r="A2416">
        <v>2416</v>
      </c>
      <c r="B2416" t="str">
        <f t="shared" si="37"/>
        <v>॰</v>
      </c>
    </row>
    <row r="2417" spans="1:2" x14ac:dyDescent="0.25">
      <c r="A2417">
        <v>2417</v>
      </c>
      <c r="B2417" t="str">
        <f t="shared" si="37"/>
        <v>ॱ</v>
      </c>
    </row>
    <row r="2418" spans="1:2" x14ac:dyDescent="0.25">
      <c r="A2418">
        <v>2418</v>
      </c>
      <c r="B2418" t="str">
        <f t="shared" si="37"/>
        <v>ॲ</v>
      </c>
    </row>
    <row r="2419" spans="1:2" x14ac:dyDescent="0.25">
      <c r="A2419">
        <v>2419</v>
      </c>
      <c r="B2419" t="str">
        <f t="shared" si="37"/>
        <v>ॳ</v>
      </c>
    </row>
    <row r="2420" spans="1:2" x14ac:dyDescent="0.25">
      <c r="A2420">
        <v>2420</v>
      </c>
      <c r="B2420" t="str">
        <f t="shared" si="37"/>
        <v>ॴ</v>
      </c>
    </row>
    <row r="2421" spans="1:2" x14ac:dyDescent="0.25">
      <c r="A2421">
        <v>2421</v>
      </c>
      <c r="B2421" t="str">
        <f t="shared" si="37"/>
        <v>ॵ</v>
      </c>
    </row>
    <row r="2422" spans="1:2" x14ac:dyDescent="0.25">
      <c r="A2422">
        <v>2422</v>
      </c>
      <c r="B2422" t="str">
        <f t="shared" si="37"/>
        <v>ॶ</v>
      </c>
    </row>
    <row r="2423" spans="1:2" x14ac:dyDescent="0.25">
      <c r="A2423">
        <v>2423</v>
      </c>
      <c r="B2423" t="str">
        <f t="shared" si="37"/>
        <v>ॷ</v>
      </c>
    </row>
    <row r="2424" spans="1:2" x14ac:dyDescent="0.25">
      <c r="A2424">
        <v>2424</v>
      </c>
      <c r="B2424" t="str">
        <f t="shared" si="37"/>
        <v>ॸ</v>
      </c>
    </row>
    <row r="2425" spans="1:2" x14ac:dyDescent="0.25">
      <c r="A2425">
        <v>2425</v>
      </c>
      <c r="B2425" t="str">
        <f t="shared" si="37"/>
        <v>ॹ</v>
      </c>
    </row>
    <row r="2426" spans="1:2" x14ac:dyDescent="0.25">
      <c r="A2426">
        <v>2426</v>
      </c>
      <c r="B2426" t="str">
        <f t="shared" si="37"/>
        <v>ॺ</v>
      </c>
    </row>
    <row r="2427" spans="1:2" x14ac:dyDescent="0.25">
      <c r="A2427">
        <v>2427</v>
      </c>
      <c r="B2427" t="str">
        <f t="shared" si="37"/>
        <v>ॻ</v>
      </c>
    </row>
    <row r="2428" spans="1:2" x14ac:dyDescent="0.25">
      <c r="A2428">
        <v>2428</v>
      </c>
      <c r="B2428" t="str">
        <f t="shared" si="37"/>
        <v>ॼ</v>
      </c>
    </row>
    <row r="2429" spans="1:2" x14ac:dyDescent="0.25">
      <c r="A2429">
        <v>2429</v>
      </c>
      <c r="B2429" t="str">
        <f t="shared" si="37"/>
        <v>ॽ</v>
      </c>
    </row>
    <row r="2430" spans="1:2" x14ac:dyDescent="0.25">
      <c r="A2430">
        <v>2430</v>
      </c>
      <c r="B2430" t="str">
        <f t="shared" si="37"/>
        <v>ॾ</v>
      </c>
    </row>
    <row r="2431" spans="1:2" x14ac:dyDescent="0.25">
      <c r="A2431">
        <v>2431</v>
      </c>
      <c r="B2431" t="str">
        <f t="shared" si="37"/>
        <v>ॿ</v>
      </c>
    </row>
    <row r="2432" spans="1:2" x14ac:dyDescent="0.25">
      <c r="A2432">
        <v>2432</v>
      </c>
      <c r="B2432" t="str">
        <f t="shared" si="37"/>
        <v>ঀ</v>
      </c>
    </row>
    <row r="2433" spans="1:2" x14ac:dyDescent="0.25">
      <c r="A2433">
        <v>2433</v>
      </c>
      <c r="B2433" t="str">
        <f t="shared" si="37"/>
        <v>ঁ</v>
      </c>
    </row>
    <row r="2434" spans="1:2" x14ac:dyDescent="0.25">
      <c r="A2434">
        <v>2434</v>
      </c>
      <c r="B2434" t="str">
        <f t="shared" ref="B2434:B2497" si="38">_xlfn.UNICHAR(A2434)</f>
        <v>ং</v>
      </c>
    </row>
    <row r="2435" spans="1:2" x14ac:dyDescent="0.25">
      <c r="A2435">
        <v>2435</v>
      </c>
      <c r="B2435" t="str">
        <f t="shared" si="38"/>
        <v>ঃ</v>
      </c>
    </row>
    <row r="2436" spans="1:2" x14ac:dyDescent="0.25">
      <c r="A2436">
        <v>2436</v>
      </c>
      <c r="B2436" t="str">
        <f t="shared" si="38"/>
        <v>঄</v>
      </c>
    </row>
    <row r="2437" spans="1:2" x14ac:dyDescent="0.25">
      <c r="A2437">
        <v>2437</v>
      </c>
      <c r="B2437" t="str">
        <f t="shared" si="38"/>
        <v>অ</v>
      </c>
    </row>
    <row r="2438" spans="1:2" x14ac:dyDescent="0.25">
      <c r="A2438">
        <v>2438</v>
      </c>
      <c r="B2438" t="str">
        <f t="shared" si="38"/>
        <v>আ</v>
      </c>
    </row>
    <row r="2439" spans="1:2" x14ac:dyDescent="0.25">
      <c r="A2439">
        <v>2439</v>
      </c>
      <c r="B2439" t="str">
        <f t="shared" si="38"/>
        <v>ই</v>
      </c>
    </row>
    <row r="2440" spans="1:2" x14ac:dyDescent="0.25">
      <c r="A2440">
        <v>2440</v>
      </c>
      <c r="B2440" t="str">
        <f t="shared" si="38"/>
        <v>ঈ</v>
      </c>
    </row>
    <row r="2441" spans="1:2" x14ac:dyDescent="0.25">
      <c r="A2441">
        <v>2441</v>
      </c>
      <c r="B2441" t="str">
        <f t="shared" si="38"/>
        <v>উ</v>
      </c>
    </row>
    <row r="2442" spans="1:2" x14ac:dyDescent="0.25">
      <c r="A2442">
        <v>2442</v>
      </c>
      <c r="B2442" t="str">
        <f t="shared" si="38"/>
        <v>ঊ</v>
      </c>
    </row>
    <row r="2443" spans="1:2" x14ac:dyDescent="0.25">
      <c r="A2443">
        <v>2443</v>
      </c>
      <c r="B2443" t="str">
        <f t="shared" si="38"/>
        <v>ঋ</v>
      </c>
    </row>
    <row r="2444" spans="1:2" x14ac:dyDescent="0.25">
      <c r="A2444">
        <v>2444</v>
      </c>
      <c r="B2444" t="str">
        <f t="shared" si="38"/>
        <v>ঌ</v>
      </c>
    </row>
    <row r="2445" spans="1:2" x14ac:dyDescent="0.25">
      <c r="A2445">
        <v>2445</v>
      </c>
      <c r="B2445" t="str">
        <f t="shared" si="38"/>
        <v>঍</v>
      </c>
    </row>
    <row r="2446" spans="1:2" x14ac:dyDescent="0.25">
      <c r="A2446">
        <v>2446</v>
      </c>
      <c r="B2446" t="str">
        <f t="shared" si="38"/>
        <v>঎</v>
      </c>
    </row>
    <row r="2447" spans="1:2" x14ac:dyDescent="0.25">
      <c r="A2447">
        <v>2447</v>
      </c>
      <c r="B2447" t="str">
        <f t="shared" si="38"/>
        <v>এ</v>
      </c>
    </row>
    <row r="2448" spans="1:2" x14ac:dyDescent="0.25">
      <c r="A2448">
        <v>2448</v>
      </c>
      <c r="B2448" t="str">
        <f t="shared" si="38"/>
        <v>ঐ</v>
      </c>
    </row>
    <row r="2449" spans="1:2" x14ac:dyDescent="0.25">
      <c r="A2449">
        <v>2449</v>
      </c>
      <c r="B2449" t="str">
        <f t="shared" si="38"/>
        <v>঑</v>
      </c>
    </row>
    <row r="2450" spans="1:2" x14ac:dyDescent="0.25">
      <c r="A2450">
        <v>2450</v>
      </c>
      <c r="B2450" t="str">
        <f t="shared" si="38"/>
        <v>঒</v>
      </c>
    </row>
    <row r="2451" spans="1:2" x14ac:dyDescent="0.25">
      <c r="A2451">
        <v>2451</v>
      </c>
      <c r="B2451" t="str">
        <f t="shared" si="38"/>
        <v>ও</v>
      </c>
    </row>
    <row r="2452" spans="1:2" x14ac:dyDescent="0.25">
      <c r="A2452">
        <v>2452</v>
      </c>
      <c r="B2452" t="str">
        <f t="shared" si="38"/>
        <v>ঔ</v>
      </c>
    </row>
    <row r="2453" spans="1:2" x14ac:dyDescent="0.25">
      <c r="A2453">
        <v>2453</v>
      </c>
      <c r="B2453" t="str">
        <f t="shared" si="38"/>
        <v>ক</v>
      </c>
    </row>
    <row r="2454" spans="1:2" x14ac:dyDescent="0.25">
      <c r="A2454">
        <v>2454</v>
      </c>
      <c r="B2454" t="str">
        <f t="shared" si="38"/>
        <v>খ</v>
      </c>
    </row>
    <row r="2455" spans="1:2" x14ac:dyDescent="0.25">
      <c r="A2455">
        <v>2455</v>
      </c>
      <c r="B2455" t="str">
        <f t="shared" si="38"/>
        <v>গ</v>
      </c>
    </row>
    <row r="2456" spans="1:2" x14ac:dyDescent="0.25">
      <c r="A2456">
        <v>2456</v>
      </c>
      <c r="B2456" t="str">
        <f t="shared" si="38"/>
        <v>ঘ</v>
      </c>
    </row>
    <row r="2457" spans="1:2" x14ac:dyDescent="0.25">
      <c r="A2457">
        <v>2457</v>
      </c>
      <c r="B2457" t="str">
        <f t="shared" si="38"/>
        <v>ঙ</v>
      </c>
    </row>
    <row r="2458" spans="1:2" x14ac:dyDescent="0.25">
      <c r="A2458">
        <v>2458</v>
      </c>
      <c r="B2458" t="str">
        <f t="shared" si="38"/>
        <v>চ</v>
      </c>
    </row>
    <row r="2459" spans="1:2" x14ac:dyDescent="0.25">
      <c r="A2459">
        <v>2459</v>
      </c>
      <c r="B2459" t="str">
        <f t="shared" si="38"/>
        <v>ছ</v>
      </c>
    </row>
    <row r="2460" spans="1:2" x14ac:dyDescent="0.25">
      <c r="A2460">
        <v>2460</v>
      </c>
      <c r="B2460" t="str">
        <f t="shared" si="38"/>
        <v>জ</v>
      </c>
    </row>
    <row r="2461" spans="1:2" x14ac:dyDescent="0.25">
      <c r="A2461">
        <v>2461</v>
      </c>
      <c r="B2461" t="str">
        <f t="shared" si="38"/>
        <v>ঝ</v>
      </c>
    </row>
    <row r="2462" spans="1:2" x14ac:dyDescent="0.25">
      <c r="A2462">
        <v>2462</v>
      </c>
      <c r="B2462" t="str">
        <f t="shared" si="38"/>
        <v>ঞ</v>
      </c>
    </row>
    <row r="2463" spans="1:2" x14ac:dyDescent="0.25">
      <c r="A2463">
        <v>2463</v>
      </c>
      <c r="B2463" t="str">
        <f t="shared" si="38"/>
        <v>ট</v>
      </c>
    </row>
    <row r="2464" spans="1:2" x14ac:dyDescent="0.25">
      <c r="A2464">
        <v>2464</v>
      </c>
      <c r="B2464" t="str">
        <f t="shared" si="38"/>
        <v>ঠ</v>
      </c>
    </row>
    <row r="2465" spans="1:2" x14ac:dyDescent="0.25">
      <c r="A2465">
        <v>2465</v>
      </c>
      <c r="B2465" t="str">
        <f t="shared" si="38"/>
        <v>ড</v>
      </c>
    </row>
    <row r="2466" spans="1:2" x14ac:dyDescent="0.25">
      <c r="A2466">
        <v>2466</v>
      </c>
      <c r="B2466" t="str">
        <f t="shared" si="38"/>
        <v>ঢ</v>
      </c>
    </row>
    <row r="2467" spans="1:2" x14ac:dyDescent="0.25">
      <c r="A2467">
        <v>2467</v>
      </c>
      <c r="B2467" t="str">
        <f t="shared" si="38"/>
        <v>ণ</v>
      </c>
    </row>
    <row r="2468" spans="1:2" x14ac:dyDescent="0.25">
      <c r="A2468">
        <v>2468</v>
      </c>
      <c r="B2468" t="str">
        <f t="shared" si="38"/>
        <v>ত</v>
      </c>
    </row>
    <row r="2469" spans="1:2" x14ac:dyDescent="0.25">
      <c r="A2469">
        <v>2469</v>
      </c>
      <c r="B2469" t="str">
        <f t="shared" si="38"/>
        <v>থ</v>
      </c>
    </row>
    <row r="2470" spans="1:2" x14ac:dyDescent="0.25">
      <c r="A2470">
        <v>2470</v>
      </c>
      <c r="B2470" t="str">
        <f t="shared" si="38"/>
        <v>দ</v>
      </c>
    </row>
    <row r="2471" spans="1:2" x14ac:dyDescent="0.25">
      <c r="A2471">
        <v>2471</v>
      </c>
      <c r="B2471" t="str">
        <f t="shared" si="38"/>
        <v>ধ</v>
      </c>
    </row>
    <row r="2472" spans="1:2" x14ac:dyDescent="0.25">
      <c r="A2472">
        <v>2472</v>
      </c>
      <c r="B2472" t="str">
        <f t="shared" si="38"/>
        <v>ন</v>
      </c>
    </row>
    <row r="2473" spans="1:2" x14ac:dyDescent="0.25">
      <c r="A2473">
        <v>2473</v>
      </c>
      <c r="B2473" t="str">
        <f t="shared" si="38"/>
        <v>঩</v>
      </c>
    </row>
    <row r="2474" spans="1:2" x14ac:dyDescent="0.25">
      <c r="A2474">
        <v>2474</v>
      </c>
      <c r="B2474" t="str">
        <f t="shared" si="38"/>
        <v>প</v>
      </c>
    </row>
    <row r="2475" spans="1:2" x14ac:dyDescent="0.25">
      <c r="A2475">
        <v>2475</v>
      </c>
      <c r="B2475" t="str">
        <f t="shared" si="38"/>
        <v>ফ</v>
      </c>
    </row>
    <row r="2476" spans="1:2" x14ac:dyDescent="0.25">
      <c r="A2476">
        <v>2476</v>
      </c>
      <c r="B2476" t="str">
        <f t="shared" si="38"/>
        <v>ব</v>
      </c>
    </row>
    <row r="2477" spans="1:2" x14ac:dyDescent="0.25">
      <c r="A2477">
        <v>2477</v>
      </c>
      <c r="B2477" t="str">
        <f t="shared" si="38"/>
        <v>ভ</v>
      </c>
    </row>
    <row r="2478" spans="1:2" x14ac:dyDescent="0.25">
      <c r="A2478">
        <v>2478</v>
      </c>
      <c r="B2478" t="str">
        <f t="shared" si="38"/>
        <v>ম</v>
      </c>
    </row>
    <row r="2479" spans="1:2" x14ac:dyDescent="0.25">
      <c r="A2479">
        <v>2479</v>
      </c>
      <c r="B2479" t="str">
        <f t="shared" si="38"/>
        <v>য</v>
      </c>
    </row>
    <row r="2480" spans="1:2" x14ac:dyDescent="0.25">
      <c r="A2480">
        <v>2480</v>
      </c>
      <c r="B2480" t="str">
        <f t="shared" si="38"/>
        <v>র</v>
      </c>
    </row>
    <row r="2481" spans="1:2" x14ac:dyDescent="0.25">
      <c r="A2481">
        <v>2481</v>
      </c>
      <c r="B2481" t="str">
        <f t="shared" si="38"/>
        <v>঱</v>
      </c>
    </row>
    <row r="2482" spans="1:2" x14ac:dyDescent="0.25">
      <c r="A2482">
        <v>2482</v>
      </c>
      <c r="B2482" t="str">
        <f t="shared" si="38"/>
        <v>ল</v>
      </c>
    </row>
    <row r="2483" spans="1:2" x14ac:dyDescent="0.25">
      <c r="A2483">
        <v>2483</v>
      </c>
      <c r="B2483" t="str">
        <f t="shared" si="38"/>
        <v>঳</v>
      </c>
    </row>
    <row r="2484" spans="1:2" x14ac:dyDescent="0.25">
      <c r="A2484">
        <v>2484</v>
      </c>
      <c r="B2484" t="str">
        <f t="shared" si="38"/>
        <v>঴</v>
      </c>
    </row>
    <row r="2485" spans="1:2" x14ac:dyDescent="0.25">
      <c r="A2485">
        <v>2485</v>
      </c>
      <c r="B2485" t="str">
        <f t="shared" si="38"/>
        <v>঵</v>
      </c>
    </row>
    <row r="2486" spans="1:2" x14ac:dyDescent="0.25">
      <c r="A2486">
        <v>2486</v>
      </c>
      <c r="B2486" t="str">
        <f t="shared" si="38"/>
        <v>শ</v>
      </c>
    </row>
    <row r="2487" spans="1:2" x14ac:dyDescent="0.25">
      <c r="A2487">
        <v>2487</v>
      </c>
      <c r="B2487" t="str">
        <f t="shared" si="38"/>
        <v>ষ</v>
      </c>
    </row>
    <row r="2488" spans="1:2" x14ac:dyDescent="0.25">
      <c r="A2488">
        <v>2488</v>
      </c>
      <c r="B2488" t="str">
        <f t="shared" si="38"/>
        <v>স</v>
      </c>
    </row>
    <row r="2489" spans="1:2" x14ac:dyDescent="0.25">
      <c r="A2489">
        <v>2489</v>
      </c>
      <c r="B2489" t="str">
        <f t="shared" si="38"/>
        <v>হ</v>
      </c>
    </row>
    <row r="2490" spans="1:2" x14ac:dyDescent="0.25">
      <c r="A2490">
        <v>2490</v>
      </c>
      <c r="B2490" t="str">
        <f t="shared" si="38"/>
        <v>঺</v>
      </c>
    </row>
    <row r="2491" spans="1:2" x14ac:dyDescent="0.25">
      <c r="A2491">
        <v>2491</v>
      </c>
      <c r="B2491" t="str">
        <f t="shared" si="38"/>
        <v>঻</v>
      </c>
    </row>
    <row r="2492" spans="1:2" x14ac:dyDescent="0.25">
      <c r="A2492">
        <v>2492</v>
      </c>
      <c r="B2492" t="str">
        <f t="shared" si="38"/>
        <v>়</v>
      </c>
    </row>
    <row r="2493" spans="1:2" x14ac:dyDescent="0.25">
      <c r="A2493">
        <v>2493</v>
      </c>
      <c r="B2493" t="str">
        <f t="shared" si="38"/>
        <v>ঽ</v>
      </c>
    </row>
    <row r="2494" spans="1:2" x14ac:dyDescent="0.25">
      <c r="A2494">
        <v>2494</v>
      </c>
      <c r="B2494" t="str">
        <f t="shared" si="38"/>
        <v>া</v>
      </c>
    </row>
    <row r="2495" spans="1:2" x14ac:dyDescent="0.25">
      <c r="A2495">
        <v>2495</v>
      </c>
      <c r="B2495" t="str">
        <f t="shared" si="38"/>
        <v>ি</v>
      </c>
    </row>
    <row r="2496" spans="1:2" x14ac:dyDescent="0.25">
      <c r="A2496">
        <v>2496</v>
      </c>
      <c r="B2496" t="str">
        <f t="shared" si="38"/>
        <v>ী</v>
      </c>
    </row>
    <row r="2497" spans="1:2" x14ac:dyDescent="0.25">
      <c r="A2497">
        <v>2497</v>
      </c>
      <c r="B2497" t="str">
        <f t="shared" si="38"/>
        <v>ু</v>
      </c>
    </row>
    <row r="2498" spans="1:2" x14ac:dyDescent="0.25">
      <c r="A2498">
        <v>2498</v>
      </c>
      <c r="B2498" t="str">
        <f t="shared" ref="B2498:B2561" si="39">_xlfn.UNICHAR(A2498)</f>
        <v>ূ</v>
      </c>
    </row>
    <row r="2499" spans="1:2" x14ac:dyDescent="0.25">
      <c r="A2499">
        <v>2499</v>
      </c>
      <c r="B2499" t="str">
        <f t="shared" si="39"/>
        <v>ৃ</v>
      </c>
    </row>
    <row r="2500" spans="1:2" x14ac:dyDescent="0.25">
      <c r="A2500">
        <v>2500</v>
      </c>
      <c r="B2500" t="str">
        <f t="shared" si="39"/>
        <v>ৄ</v>
      </c>
    </row>
    <row r="2501" spans="1:2" x14ac:dyDescent="0.25">
      <c r="A2501">
        <v>2501</v>
      </c>
      <c r="B2501" t="str">
        <f t="shared" si="39"/>
        <v>৅</v>
      </c>
    </row>
    <row r="2502" spans="1:2" x14ac:dyDescent="0.25">
      <c r="A2502">
        <v>2502</v>
      </c>
      <c r="B2502" t="str">
        <f t="shared" si="39"/>
        <v>৆</v>
      </c>
    </row>
    <row r="2503" spans="1:2" x14ac:dyDescent="0.25">
      <c r="A2503">
        <v>2503</v>
      </c>
      <c r="B2503" t="str">
        <f t="shared" si="39"/>
        <v>ে</v>
      </c>
    </row>
    <row r="2504" spans="1:2" x14ac:dyDescent="0.25">
      <c r="A2504">
        <v>2504</v>
      </c>
      <c r="B2504" t="str">
        <f t="shared" si="39"/>
        <v>ৈ</v>
      </c>
    </row>
    <row r="2505" spans="1:2" x14ac:dyDescent="0.25">
      <c r="A2505">
        <v>2505</v>
      </c>
      <c r="B2505" t="str">
        <f t="shared" si="39"/>
        <v>৉</v>
      </c>
    </row>
    <row r="2506" spans="1:2" x14ac:dyDescent="0.25">
      <c r="A2506">
        <v>2506</v>
      </c>
      <c r="B2506" t="str">
        <f t="shared" si="39"/>
        <v>৊</v>
      </c>
    </row>
    <row r="2507" spans="1:2" x14ac:dyDescent="0.25">
      <c r="A2507">
        <v>2507</v>
      </c>
      <c r="B2507" t="str">
        <f t="shared" si="39"/>
        <v>ো</v>
      </c>
    </row>
    <row r="2508" spans="1:2" x14ac:dyDescent="0.25">
      <c r="A2508">
        <v>2508</v>
      </c>
      <c r="B2508" t="str">
        <f t="shared" si="39"/>
        <v>ৌ</v>
      </c>
    </row>
    <row r="2509" spans="1:2" x14ac:dyDescent="0.25">
      <c r="A2509">
        <v>2509</v>
      </c>
      <c r="B2509" t="str">
        <f t="shared" si="39"/>
        <v>্</v>
      </c>
    </row>
    <row r="2510" spans="1:2" x14ac:dyDescent="0.25">
      <c r="A2510">
        <v>2510</v>
      </c>
      <c r="B2510" t="str">
        <f t="shared" si="39"/>
        <v>ৎ</v>
      </c>
    </row>
    <row r="2511" spans="1:2" x14ac:dyDescent="0.25">
      <c r="A2511">
        <v>2511</v>
      </c>
      <c r="B2511" t="str">
        <f t="shared" si="39"/>
        <v>৏</v>
      </c>
    </row>
    <row r="2512" spans="1:2" x14ac:dyDescent="0.25">
      <c r="A2512">
        <v>2512</v>
      </c>
      <c r="B2512" t="str">
        <f t="shared" si="39"/>
        <v>৐</v>
      </c>
    </row>
    <row r="2513" spans="1:2" x14ac:dyDescent="0.25">
      <c r="A2513">
        <v>2513</v>
      </c>
      <c r="B2513" t="str">
        <f t="shared" si="39"/>
        <v>৑</v>
      </c>
    </row>
    <row r="2514" spans="1:2" x14ac:dyDescent="0.25">
      <c r="A2514">
        <v>2514</v>
      </c>
      <c r="B2514" t="str">
        <f t="shared" si="39"/>
        <v>৒</v>
      </c>
    </row>
    <row r="2515" spans="1:2" x14ac:dyDescent="0.25">
      <c r="A2515">
        <v>2515</v>
      </c>
      <c r="B2515" t="str">
        <f t="shared" si="39"/>
        <v>৓</v>
      </c>
    </row>
    <row r="2516" spans="1:2" x14ac:dyDescent="0.25">
      <c r="A2516">
        <v>2516</v>
      </c>
      <c r="B2516" t="str">
        <f t="shared" si="39"/>
        <v>৔</v>
      </c>
    </row>
    <row r="2517" spans="1:2" x14ac:dyDescent="0.25">
      <c r="A2517">
        <v>2517</v>
      </c>
      <c r="B2517" t="str">
        <f t="shared" si="39"/>
        <v>৕</v>
      </c>
    </row>
    <row r="2518" spans="1:2" x14ac:dyDescent="0.25">
      <c r="A2518">
        <v>2518</v>
      </c>
      <c r="B2518" t="str">
        <f t="shared" si="39"/>
        <v>৖</v>
      </c>
    </row>
    <row r="2519" spans="1:2" x14ac:dyDescent="0.25">
      <c r="A2519">
        <v>2519</v>
      </c>
      <c r="B2519" t="str">
        <f t="shared" si="39"/>
        <v>ৗ</v>
      </c>
    </row>
    <row r="2520" spans="1:2" x14ac:dyDescent="0.25">
      <c r="A2520">
        <v>2520</v>
      </c>
      <c r="B2520" t="str">
        <f t="shared" si="39"/>
        <v>৘</v>
      </c>
    </row>
    <row r="2521" spans="1:2" x14ac:dyDescent="0.25">
      <c r="A2521">
        <v>2521</v>
      </c>
      <c r="B2521" t="str">
        <f t="shared" si="39"/>
        <v>৙</v>
      </c>
    </row>
    <row r="2522" spans="1:2" x14ac:dyDescent="0.25">
      <c r="A2522">
        <v>2522</v>
      </c>
      <c r="B2522" t="str">
        <f t="shared" si="39"/>
        <v>৚</v>
      </c>
    </row>
    <row r="2523" spans="1:2" x14ac:dyDescent="0.25">
      <c r="A2523">
        <v>2523</v>
      </c>
      <c r="B2523" t="str">
        <f t="shared" si="39"/>
        <v>৛</v>
      </c>
    </row>
    <row r="2524" spans="1:2" x14ac:dyDescent="0.25">
      <c r="A2524">
        <v>2524</v>
      </c>
      <c r="B2524" t="str">
        <f t="shared" si="39"/>
        <v>ড়</v>
      </c>
    </row>
    <row r="2525" spans="1:2" x14ac:dyDescent="0.25">
      <c r="A2525">
        <v>2525</v>
      </c>
      <c r="B2525" t="str">
        <f t="shared" si="39"/>
        <v>ঢ়</v>
      </c>
    </row>
    <row r="2526" spans="1:2" x14ac:dyDescent="0.25">
      <c r="A2526">
        <v>2526</v>
      </c>
      <c r="B2526" t="str">
        <f t="shared" si="39"/>
        <v>৞</v>
      </c>
    </row>
    <row r="2527" spans="1:2" x14ac:dyDescent="0.25">
      <c r="A2527">
        <v>2527</v>
      </c>
      <c r="B2527" t="str">
        <f t="shared" si="39"/>
        <v>য়</v>
      </c>
    </row>
    <row r="2528" spans="1:2" x14ac:dyDescent="0.25">
      <c r="A2528">
        <v>2528</v>
      </c>
      <c r="B2528" t="str">
        <f t="shared" si="39"/>
        <v>ৠ</v>
      </c>
    </row>
    <row r="2529" spans="1:2" x14ac:dyDescent="0.25">
      <c r="A2529">
        <v>2529</v>
      </c>
      <c r="B2529" t="str">
        <f t="shared" si="39"/>
        <v>ৡ</v>
      </c>
    </row>
    <row r="2530" spans="1:2" x14ac:dyDescent="0.25">
      <c r="A2530">
        <v>2530</v>
      </c>
      <c r="B2530" t="str">
        <f t="shared" si="39"/>
        <v>ৢ</v>
      </c>
    </row>
    <row r="2531" spans="1:2" x14ac:dyDescent="0.25">
      <c r="A2531">
        <v>2531</v>
      </c>
      <c r="B2531" t="str">
        <f t="shared" si="39"/>
        <v>ৣ</v>
      </c>
    </row>
    <row r="2532" spans="1:2" x14ac:dyDescent="0.25">
      <c r="A2532">
        <v>2532</v>
      </c>
      <c r="B2532" t="str">
        <f t="shared" si="39"/>
        <v>৤</v>
      </c>
    </row>
    <row r="2533" spans="1:2" x14ac:dyDescent="0.25">
      <c r="A2533">
        <v>2533</v>
      </c>
      <c r="B2533" t="str">
        <f t="shared" si="39"/>
        <v>৥</v>
      </c>
    </row>
    <row r="2534" spans="1:2" x14ac:dyDescent="0.25">
      <c r="A2534">
        <v>2534</v>
      </c>
      <c r="B2534" t="str">
        <f t="shared" si="39"/>
        <v>০</v>
      </c>
    </row>
    <row r="2535" spans="1:2" x14ac:dyDescent="0.25">
      <c r="A2535">
        <v>2535</v>
      </c>
      <c r="B2535" t="str">
        <f t="shared" si="39"/>
        <v>১</v>
      </c>
    </row>
    <row r="2536" spans="1:2" x14ac:dyDescent="0.25">
      <c r="A2536">
        <v>2536</v>
      </c>
      <c r="B2536" t="str">
        <f t="shared" si="39"/>
        <v>২</v>
      </c>
    </row>
    <row r="2537" spans="1:2" x14ac:dyDescent="0.25">
      <c r="A2537">
        <v>2537</v>
      </c>
      <c r="B2537" t="str">
        <f t="shared" si="39"/>
        <v>৩</v>
      </c>
    </row>
    <row r="2538" spans="1:2" x14ac:dyDescent="0.25">
      <c r="A2538">
        <v>2538</v>
      </c>
      <c r="B2538" t="str">
        <f t="shared" si="39"/>
        <v>৪</v>
      </c>
    </row>
    <row r="2539" spans="1:2" x14ac:dyDescent="0.25">
      <c r="A2539">
        <v>2539</v>
      </c>
      <c r="B2539" t="str">
        <f t="shared" si="39"/>
        <v>৫</v>
      </c>
    </row>
    <row r="2540" spans="1:2" x14ac:dyDescent="0.25">
      <c r="A2540">
        <v>2540</v>
      </c>
      <c r="B2540" t="str">
        <f t="shared" si="39"/>
        <v>৬</v>
      </c>
    </row>
    <row r="2541" spans="1:2" x14ac:dyDescent="0.25">
      <c r="A2541">
        <v>2541</v>
      </c>
      <c r="B2541" t="str">
        <f t="shared" si="39"/>
        <v>৭</v>
      </c>
    </row>
    <row r="2542" spans="1:2" x14ac:dyDescent="0.25">
      <c r="A2542">
        <v>2542</v>
      </c>
      <c r="B2542" t="str">
        <f t="shared" si="39"/>
        <v>৮</v>
      </c>
    </row>
    <row r="2543" spans="1:2" x14ac:dyDescent="0.25">
      <c r="A2543">
        <v>2543</v>
      </c>
      <c r="B2543" t="str">
        <f t="shared" si="39"/>
        <v>৯</v>
      </c>
    </row>
    <row r="2544" spans="1:2" x14ac:dyDescent="0.25">
      <c r="A2544">
        <v>2544</v>
      </c>
      <c r="B2544" t="str">
        <f t="shared" si="39"/>
        <v>ৰ</v>
      </c>
    </row>
    <row r="2545" spans="1:2" x14ac:dyDescent="0.25">
      <c r="A2545">
        <v>2545</v>
      </c>
      <c r="B2545" t="str">
        <f t="shared" si="39"/>
        <v>ৱ</v>
      </c>
    </row>
    <row r="2546" spans="1:2" x14ac:dyDescent="0.25">
      <c r="A2546">
        <v>2546</v>
      </c>
      <c r="B2546" t="str">
        <f t="shared" si="39"/>
        <v>৲</v>
      </c>
    </row>
    <row r="2547" spans="1:2" x14ac:dyDescent="0.25">
      <c r="A2547">
        <v>2547</v>
      </c>
      <c r="B2547" t="str">
        <f t="shared" si="39"/>
        <v>৳</v>
      </c>
    </row>
    <row r="2548" spans="1:2" x14ac:dyDescent="0.25">
      <c r="A2548">
        <v>2548</v>
      </c>
      <c r="B2548" t="str">
        <f t="shared" si="39"/>
        <v>৴</v>
      </c>
    </row>
    <row r="2549" spans="1:2" x14ac:dyDescent="0.25">
      <c r="A2549">
        <v>2549</v>
      </c>
      <c r="B2549" t="str">
        <f t="shared" si="39"/>
        <v>৵</v>
      </c>
    </row>
    <row r="2550" spans="1:2" x14ac:dyDescent="0.25">
      <c r="A2550">
        <v>2550</v>
      </c>
      <c r="B2550" t="str">
        <f t="shared" si="39"/>
        <v>৶</v>
      </c>
    </row>
    <row r="2551" spans="1:2" x14ac:dyDescent="0.25">
      <c r="A2551">
        <v>2551</v>
      </c>
      <c r="B2551" t="str">
        <f t="shared" si="39"/>
        <v>৷</v>
      </c>
    </row>
    <row r="2552" spans="1:2" x14ac:dyDescent="0.25">
      <c r="A2552">
        <v>2552</v>
      </c>
      <c r="B2552" t="str">
        <f t="shared" si="39"/>
        <v>৸</v>
      </c>
    </row>
    <row r="2553" spans="1:2" x14ac:dyDescent="0.25">
      <c r="A2553">
        <v>2553</v>
      </c>
      <c r="B2553" t="str">
        <f t="shared" si="39"/>
        <v>৹</v>
      </c>
    </row>
    <row r="2554" spans="1:2" x14ac:dyDescent="0.25">
      <c r="A2554">
        <v>2554</v>
      </c>
      <c r="B2554" t="str">
        <f t="shared" si="39"/>
        <v>৺</v>
      </c>
    </row>
    <row r="2555" spans="1:2" x14ac:dyDescent="0.25">
      <c r="A2555">
        <v>2555</v>
      </c>
      <c r="B2555" t="str">
        <f t="shared" si="39"/>
        <v>৻</v>
      </c>
    </row>
    <row r="2556" spans="1:2" x14ac:dyDescent="0.25">
      <c r="A2556">
        <v>2556</v>
      </c>
      <c r="B2556" t="str">
        <f t="shared" si="39"/>
        <v>ৼ</v>
      </c>
    </row>
    <row r="2557" spans="1:2" x14ac:dyDescent="0.25">
      <c r="A2557">
        <v>2557</v>
      </c>
      <c r="B2557" t="str">
        <f t="shared" si="39"/>
        <v>৽</v>
      </c>
    </row>
    <row r="2558" spans="1:2" x14ac:dyDescent="0.25">
      <c r="A2558">
        <v>2558</v>
      </c>
      <c r="B2558" t="str">
        <f t="shared" si="39"/>
        <v>৾</v>
      </c>
    </row>
    <row r="2559" spans="1:2" x14ac:dyDescent="0.25">
      <c r="A2559">
        <v>2559</v>
      </c>
      <c r="B2559" t="str">
        <f t="shared" si="39"/>
        <v>৿</v>
      </c>
    </row>
    <row r="2560" spans="1:2" x14ac:dyDescent="0.25">
      <c r="A2560">
        <v>2560</v>
      </c>
      <c r="B2560" t="str">
        <f t="shared" si="39"/>
        <v>਀</v>
      </c>
    </row>
    <row r="2561" spans="1:2" x14ac:dyDescent="0.25">
      <c r="A2561">
        <v>2561</v>
      </c>
      <c r="B2561" t="str">
        <f t="shared" si="39"/>
        <v>ਁ</v>
      </c>
    </row>
    <row r="2562" spans="1:2" x14ac:dyDescent="0.25">
      <c r="A2562">
        <v>2562</v>
      </c>
      <c r="B2562" t="str">
        <f t="shared" ref="B2562:B2625" si="40">_xlfn.UNICHAR(A2562)</f>
        <v>ਂ</v>
      </c>
    </row>
    <row r="2563" spans="1:2" x14ac:dyDescent="0.25">
      <c r="A2563">
        <v>2563</v>
      </c>
      <c r="B2563" t="str">
        <f t="shared" si="40"/>
        <v>ਃ</v>
      </c>
    </row>
    <row r="2564" spans="1:2" x14ac:dyDescent="0.25">
      <c r="A2564">
        <v>2564</v>
      </c>
      <c r="B2564" t="str">
        <f t="shared" si="40"/>
        <v>਄</v>
      </c>
    </row>
    <row r="2565" spans="1:2" x14ac:dyDescent="0.25">
      <c r="A2565">
        <v>2565</v>
      </c>
      <c r="B2565" t="str">
        <f t="shared" si="40"/>
        <v>ਅ</v>
      </c>
    </row>
    <row r="2566" spans="1:2" x14ac:dyDescent="0.25">
      <c r="A2566">
        <v>2566</v>
      </c>
      <c r="B2566" t="str">
        <f t="shared" si="40"/>
        <v>ਆ</v>
      </c>
    </row>
    <row r="2567" spans="1:2" x14ac:dyDescent="0.25">
      <c r="A2567">
        <v>2567</v>
      </c>
      <c r="B2567" t="str">
        <f t="shared" si="40"/>
        <v>ਇ</v>
      </c>
    </row>
    <row r="2568" spans="1:2" x14ac:dyDescent="0.25">
      <c r="A2568">
        <v>2568</v>
      </c>
      <c r="B2568" t="str">
        <f t="shared" si="40"/>
        <v>ਈ</v>
      </c>
    </row>
    <row r="2569" spans="1:2" x14ac:dyDescent="0.25">
      <c r="A2569">
        <v>2569</v>
      </c>
      <c r="B2569" t="str">
        <f t="shared" si="40"/>
        <v>ਉ</v>
      </c>
    </row>
    <row r="2570" spans="1:2" x14ac:dyDescent="0.25">
      <c r="A2570">
        <v>2570</v>
      </c>
      <c r="B2570" t="str">
        <f t="shared" si="40"/>
        <v>ਊ</v>
      </c>
    </row>
    <row r="2571" spans="1:2" x14ac:dyDescent="0.25">
      <c r="A2571">
        <v>2571</v>
      </c>
      <c r="B2571" t="str">
        <f t="shared" si="40"/>
        <v>਋</v>
      </c>
    </row>
    <row r="2572" spans="1:2" x14ac:dyDescent="0.25">
      <c r="A2572">
        <v>2572</v>
      </c>
      <c r="B2572" t="str">
        <f t="shared" si="40"/>
        <v>਌</v>
      </c>
    </row>
    <row r="2573" spans="1:2" x14ac:dyDescent="0.25">
      <c r="A2573">
        <v>2573</v>
      </c>
      <c r="B2573" t="str">
        <f t="shared" si="40"/>
        <v>਍</v>
      </c>
    </row>
    <row r="2574" spans="1:2" x14ac:dyDescent="0.25">
      <c r="A2574">
        <v>2574</v>
      </c>
      <c r="B2574" t="str">
        <f t="shared" si="40"/>
        <v>਎</v>
      </c>
    </row>
    <row r="2575" spans="1:2" x14ac:dyDescent="0.25">
      <c r="A2575">
        <v>2575</v>
      </c>
      <c r="B2575" t="str">
        <f t="shared" si="40"/>
        <v>ਏ</v>
      </c>
    </row>
    <row r="2576" spans="1:2" x14ac:dyDescent="0.25">
      <c r="A2576">
        <v>2576</v>
      </c>
      <c r="B2576" t="str">
        <f t="shared" si="40"/>
        <v>ਐ</v>
      </c>
    </row>
    <row r="2577" spans="1:2" x14ac:dyDescent="0.25">
      <c r="A2577">
        <v>2577</v>
      </c>
      <c r="B2577" t="str">
        <f t="shared" si="40"/>
        <v>਑</v>
      </c>
    </row>
    <row r="2578" spans="1:2" x14ac:dyDescent="0.25">
      <c r="A2578">
        <v>2578</v>
      </c>
      <c r="B2578" t="str">
        <f t="shared" si="40"/>
        <v>਒</v>
      </c>
    </row>
    <row r="2579" spans="1:2" x14ac:dyDescent="0.25">
      <c r="A2579">
        <v>2579</v>
      </c>
      <c r="B2579" t="str">
        <f t="shared" si="40"/>
        <v>ਓ</v>
      </c>
    </row>
    <row r="2580" spans="1:2" x14ac:dyDescent="0.25">
      <c r="A2580">
        <v>2580</v>
      </c>
      <c r="B2580" t="str">
        <f t="shared" si="40"/>
        <v>ਔ</v>
      </c>
    </row>
    <row r="2581" spans="1:2" x14ac:dyDescent="0.25">
      <c r="A2581">
        <v>2581</v>
      </c>
      <c r="B2581" t="str">
        <f t="shared" si="40"/>
        <v>ਕ</v>
      </c>
    </row>
    <row r="2582" spans="1:2" x14ac:dyDescent="0.25">
      <c r="A2582">
        <v>2582</v>
      </c>
      <c r="B2582" t="str">
        <f t="shared" si="40"/>
        <v>ਖ</v>
      </c>
    </row>
    <row r="2583" spans="1:2" x14ac:dyDescent="0.25">
      <c r="A2583">
        <v>2583</v>
      </c>
      <c r="B2583" t="str">
        <f t="shared" si="40"/>
        <v>ਗ</v>
      </c>
    </row>
    <row r="2584" spans="1:2" x14ac:dyDescent="0.25">
      <c r="A2584">
        <v>2584</v>
      </c>
      <c r="B2584" t="str">
        <f t="shared" si="40"/>
        <v>ਘ</v>
      </c>
    </row>
    <row r="2585" spans="1:2" x14ac:dyDescent="0.25">
      <c r="A2585">
        <v>2585</v>
      </c>
      <c r="B2585" t="str">
        <f t="shared" si="40"/>
        <v>ਙ</v>
      </c>
    </row>
    <row r="2586" spans="1:2" x14ac:dyDescent="0.25">
      <c r="A2586">
        <v>2586</v>
      </c>
      <c r="B2586" t="str">
        <f t="shared" si="40"/>
        <v>ਚ</v>
      </c>
    </row>
    <row r="2587" spans="1:2" x14ac:dyDescent="0.25">
      <c r="A2587">
        <v>2587</v>
      </c>
      <c r="B2587" t="str">
        <f t="shared" si="40"/>
        <v>ਛ</v>
      </c>
    </row>
    <row r="2588" spans="1:2" x14ac:dyDescent="0.25">
      <c r="A2588">
        <v>2588</v>
      </c>
      <c r="B2588" t="str">
        <f t="shared" si="40"/>
        <v>ਜ</v>
      </c>
    </row>
    <row r="2589" spans="1:2" x14ac:dyDescent="0.25">
      <c r="A2589">
        <v>2589</v>
      </c>
      <c r="B2589" t="str">
        <f t="shared" si="40"/>
        <v>ਝ</v>
      </c>
    </row>
    <row r="2590" spans="1:2" x14ac:dyDescent="0.25">
      <c r="A2590">
        <v>2590</v>
      </c>
      <c r="B2590" t="str">
        <f t="shared" si="40"/>
        <v>ਞ</v>
      </c>
    </row>
    <row r="2591" spans="1:2" x14ac:dyDescent="0.25">
      <c r="A2591">
        <v>2591</v>
      </c>
      <c r="B2591" t="str">
        <f t="shared" si="40"/>
        <v>ਟ</v>
      </c>
    </row>
    <row r="2592" spans="1:2" x14ac:dyDescent="0.25">
      <c r="A2592">
        <v>2592</v>
      </c>
      <c r="B2592" t="str">
        <f t="shared" si="40"/>
        <v>ਠ</v>
      </c>
    </row>
    <row r="2593" spans="1:2" x14ac:dyDescent="0.25">
      <c r="A2593">
        <v>2593</v>
      </c>
      <c r="B2593" t="str">
        <f t="shared" si="40"/>
        <v>ਡ</v>
      </c>
    </row>
    <row r="2594" spans="1:2" x14ac:dyDescent="0.25">
      <c r="A2594">
        <v>2594</v>
      </c>
      <c r="B2594" t="str">
        <f t="shared" si="40"/>
        <v>ਢ</v>
      </c>
    </row>
    <row r="2595" spans="1:2" x14ac:dyDescent="0.25">
      <c r="A2595">
        <v>2595</v>
      </c>
      <c r="B2595" t="str">
        <f t="shared" si="40"/>
        <v>ਣ</v>
      </c>
    </row>
    <row r="2596" spans="1:2" x14ac:dyDescent="0.25">
      <c r="A2596">
        <v>2596</v>
      </c>
      <c r="B2596" t="str">
        <f t="shared" si="40"/>
        <v>ਤ</v>
      </c>
    </row>
    <row r="2597" spans="1:2" x14ac:dyDescent="0.25">
      <c r="A2597">
        <v>2597</v>
      </c>
      <c r="B2597" t="str">
        <f t="shared" si="40"/>
        <v>ਥ</v>
      </c>
    </row>
    <row r="2598" spans="1:2" x14ac:dyDescent="0.25">
      <c r="A2598">
        <v>2598</v>
      </c>
      <c r="B2598" t="str">
        <f t="shared" si="40"/>
        <v>ਦ</v>
      </c>
    </row>
    <row r="2599" spans="1:2" x14ac:dyDescent="0.25">
      <c r="A2599">
        <v>2599</v>
      </c>
      <c r="B2599" t="str">
        <f t="shared" si="40"/>
        <v>ਧ</v>
      </c>
    </row>
    <row r="2600" spans="1:2" x14ac:dyDescent="0.25">
      <c r="A2600">
        <v>2600</v>
      </c>
      <c r="B2600" t="str">
        <f t="shared" si="40"/>
        <v>ਨ</v>
      </c>
    </row>
    <row r="2601" spans="1:2" x14ac:dyDescent="0.25">
      <c r="A2601">
        <v>2601</v>
      </c>
      <c r="B2601" t="str">
        <f t="shared" si="40"/>
        <v>਩</v>
      </c>
    </row>
    <row r="2602" spans="1:2" x14ac:dyDescent="0.25">
      <c r="A2602">
        <v>2602</v>
      </c>
      <c r="B2602" t="str">
        <f t="shared" si="40"/>
        <v>ਪ</v>
      </c>
    </row>
    <row r="2603" spans="1:2" x14ac:dyDescent="0.25">
      <c r="A2603">
        <v>2603</v>
      </c>
      <c r="B2603" t="str">
        <f t="shared" si="40"/>
        <v>ਫ</v>
      </c>
    </row>
    <row r="2604" spans="1:2" x14ac:dyDescent="0.25">
      <c r="A2604">
        <v>2604</v>
      </c>
      <c r="B2604" t="str">
        <f t="shared" si="40"/>
        <v>ਬ</v>
      </c>
    </row>
    <row r="2605" spans="1:2" x14ac:dyDescent="0.25">
      <c r="A2605">
        <v>2605</v>
      </c>
      <c r="B2605" t="str">
        <f t="shared" si="40"/>
        <v>ਭ</v>
      </c>
    </row>
    <row r="2606" spans="1:2" x14ac:dyDescent="0.25">
      <c r="A2606">
        <v>2606</v>
      </c>
      <c r="B2606" t="str">
        <f t="shared" si="40"/>
        <v>ਮ</v>
      </c>
    </row>
    <row r="2607" spans="1:2" x14ac:dyDescent="0.25">
      <c r="A2607">
        <v>2607</v>
      </c>
      <c r="B2607" t="str">
        <f t="shared" si="40"/>
        <v>ਯ</v>
      </c>
    </row>
    <row r="2608" spans="1:2" x14ac:dyDescent="0.25">
      <c r="A2608">
        <v>2608</v>
      </c>
      <c r="B2608" t="str">
        <f t="shared" si="40"/>
        <v>ਰ</v>
      </c>
    </row>
    <row r="2609" spans="1:2" x14ac:dyDescent="0.25">
      <c r="A2609">
        <v>2609</v>
      </c>
      <c r="B2609" t="str">
        <f t="shared" si="40"/>
        <v>਱</v>
      </c>
    </row>
    <row r="2610" spans="1:2" x14ac:dyDescent="0.25">
      <c r="A2610">
        <v>2610</v>
      </c>
      <c r="B2610" t="str">
        <f t="shared" si="40"/>
        <v>ਲ</v>
      </c>
    </row>
    <row r="2611" spans="1:2" x14ac:dyDescent="0.25">
      <c r="A2611">
        <v>2611</v>
      </c>
      <c r="B2611" t="str">
        <f t="shared" si="40"/>
        <v>ਲ਼</v>
      </c>
    </row>
    <row r="2612" spans="1:2" x14ac:dyDescent="0.25">
      <c r="A2612">
        <v>2612</v>
      </c>
      <c r="B2612" t="str">
        <f t="shared" si="40"/>
        <v>਴</v>
      </c>
    </row>
    <row r="2613" spans="1:2" x14ac:dyDescent="0.25">
      <c r="A2613">
        <v>2613</v>
      </c>
      <c r="B2613" t="str">
        <f t="shared" si="40"/>
        <v>ਵ</v>
      </c>
    </row>
    <row r="2614" spans="1:2" x14ac:dyDescent="0.25">
      <c r="A2614">
        <v>2614</v>
      </c>
      <c r="B2614" t="str">
        <f t="shared" si="40"/>
        <v>ਸ਼</v>
      </c>
    </row>
    <row r="2615" spans="1:2" x14ac:dyDescent="0.25">
      <c r="A2615">
        <v>2615</v>
      </c>
      <c r="B2615" t="str">
        <f t="shared" si="40"/>
        <v>਷</v>
      </c>
    </row>
    <row r="2616" spans="1:2" x14ac:dyDescent="0.25">
      <c r="A2616">
        <v>2616</v>
      </c>
      <c r="B2616" t="str">
        <f t="shared" si="40"/>
        <v>ਸ</v>
      </c>
    </row>
    <row r="2617" spans="1:2" x14ac:dyDescent="0.25">
      <c r="A2617">
        <v>2617</v>
      </c>
      <c r="B2617" t="str">
        <f t="shared" si="40"/>
        <v>ਹ</v>
      </c>
    </row>
    <row r="2618" spans="1:2" x14ac:dyDescent="0.25">
      <c r="A2618">
        <v>2618</v>
      </c>
      <c r="B2618" t="str">
        <f t="shared" si="40"/>
        <v>਺</v>
      </c>
    </row>
    <row r="2619" spans="1:2" x14ac:dyDescent="0.25">
      <c r="A2619">
        <v>2619</v>
      </c>
      <c r="B2619" t="str">
        <f t="shared" si="40"/>
        <v>਻</v>
      </c>
    </row>
    <row r="2620" spans="1:2" x14ac:dyDescent="0.25">
      <c r="A2620">
        <v>2620</v>
      </c>
      <c r="B2620" t="str">
        <f t="shared" si="40"/>
        <v>਼</v>
      </c>
    </row>
    <row r="2621" spans="1:2" x14ac:dyDescent="0.25">
      <c r="A2621">
        <v>2621</v>
      </c>
      <c r="B2621" t="str">
        <f t="shared" si="40"/>
        <v>਽</v>
      </c>
    </row>
    <row r="2622" spans="1:2" x14ac:dyDescent="0.25">
      <c r="A2622">
        <v>2622</v>
      </c>
      <c r="B2622" t="str">
        <f t="shared" si="40"/>
        <v>ਾ</v>
      </c>
    </row>
    <row r="2623" spans="1:2" x14ac:dyDescent="0.25">
      <c r="A2623">
        <v>2623</v>
      </c>
      <c r="B2623" t="str">
        <f t="shared" si="40"/>
        <v>ਿ</v>
      </c>
    </row>
    <row r="2624" spans="1:2" x14ac:dyDescent="0.25">
      <c r="A2624">
        <v>2624</v>
      </c>
      <c r="B2624" t="str">
        <f t="shared" si="40"/>
        <v>ੀ</v>
      </c>
    </row>
    <row r="2625" spans="1:2" x14ac:dyDescent="0.25">
      <c r="A2625">
        <v>2625</v>
      </c>
      <c r="B2625" t="str">
        <f t="shared" si="40"/>
        <v>ੁ</v>
      </c>
    </row>
    <row r="2626" spans="1:2" x14ac:dyDescent="0.25">
      <c r="A2626">
        <v>2626</v>
      </c>
      <c r="B2626" t="str">
        <f t="shared" ref="B2626:B2689" si="41">_xlfn.UNICHAR(A2626)</f>
        <v>ੂ</v>
      </c>
    </row>
    <row r="2627" spans="1:2" x14ac:dyDescent="0.25">
      <c r="A2627">
        <v>2627</v>
      </c>
      <c r="B2627" t="str">
        <f t="shared" si="41"/>
        <v>੃</v>
      </c>
    </row>
    <row r="2628" spans="1:2" x14ac:dyDescent="0.25">
      <c r="A2628">
        <v>2628</v>
      </c>
      <c r="B2628" t="str">
        <f t="shared" si="41"/>
        <v>੄</v>
      </c>
    </row>
    <row r="2629" spans="1:2" x14ac:dyDescent="0.25">
      <c r="A2629">
        <v>2629</v>
      </c>
      <c r="B2629" t="str">
        <f t="shared" si="41"/>
        <v>੅</v>
      </c>
    </row>
    <row r="2630" spans="1:2" x14ac:dyDescent="0.25">
      <c r="A2630">
        <v>2630</v>
      </c>
      <c r="B2630" t="str">
        <f t="shared" si="41"/>
        <v>੆</v>
      </c>
    </row>
    <row r="2631" spans="1:2" x14ac:dyDescent="0.25">
      <c r="A2631">
        <v>2631</v>
      </c>
      <c r="B2631" t="str">
        <f t="shared" si="41"/>
        <v>ੇ</v>
      </c>
    </row>
    <row r="2632" spans="1:2" x14ac:dyDescent="0.25">
      <c r="A2632">
        <v>2632</v>
      </c>
      <c r="B2632" t="str">
        <f t="shared" si="41"/>
        <v>ੈ</v>
      </c>
    </row>
    <row r="2633" spans="1:2" x14ac:dyDescent="0.25">
      <c r="A2633">
        <v>2633</v>
      </c>
      <c r="B2633" t="str">
        <f t="shared" si="41"/>
        <v>੉</v>
      </c>
    </row>
    <row r="2634" spans="1:2" x14ac:dyDescent="0.25">
      <c r="A2634">
        <v>2634</v>
      </c>
      <c r="B2634" t="str">
        <f t="shared" si="41"/>
        <v>੊</v>
      </c>
    </row>
    <row r="2635" spans="1:2" x14ac:dyDescent="0.25">
      <c r="A2635">
        <v>2635</v>
      </c>
      <c r="B2635" t="str">
        <f t="shared" si="41"/>
        <v>ੋ</v>
      </c>
    </row>
    <row r="2636" spans="1:2" x14ac:dyDescent="0.25">
      <c r="A2636">
        <v>2636</v>
      </c>
      <c r="B2636" t="str">
        <f t="shared" si="41"/>
        <v>ੌ</v>
      </c>
    </row>
    <row r="2637" spans="1:2" x14ac:dyDescent="0.25">
      <c r="A2637">
        <v>2637</v>
      </c>
      <c r="B2637" t="str">
        <f t="shared" si="41"/>
        <v>੍</v>
      </c>
    </row>
    <row r="2638" spans="1:2" x14ac:dyDescent="0.25">
      <c r="A2638">
        <v>2638</v>
      </c>
      <c r="B2638" t="str">
        <f t="shared" si="41"/>
        <v>੎</v>
      </c>
    </row>
    <row r="2639" spans="1:2" x14ac:dyDescent="0.25">
      <c r="A2639">
        <v>2639</v>
      </c>
      <c r="B2639" t="str">
        <f t="shared" si="41"/>
        <v>੏</v>
      </c>
    </row>
    <row r="2640" spans="1:2" x14ac:dyDescent="0.25">
      <c r="A2640">
        <v>2640</v>
      </c>
      <c r="B2640" t="str">
        <f t="shared" si="41"/>
        <v>੐</v>
      </c>
    </row>
    <row r="2641" spans="1:2" x14ac:dyDescent="0.25">
      <c r="A2641">
        <v>2641</v>
      </c>
      <c r="B2641" t="str">
        <f t="shared" si="41"/>
        <v>ੑ</v>
      </c>
    </row>
    <row r="2642" spans="1:2" x14ac:dyDescent="0.25">
      <c r="A2642">
        <v>2642</v>
      </c>
      <c r="B2642" t="str">
        <f t="shared" si="41"/>
        <v>੒</v>
      </c>
    </row>
    <row r="2643" spans="1:2" x14ac:dyDescent="0.25">
      <c r="A2643">
        <v>2643</v>
      </c>
      <c r="B2643" t="str">
        <f t="shared" si="41"/>
        <v>੓</v>
      </c>
    </row>
    <row r="2644" spans="1:2" x14ac:dyDescent="0.25">
      <c r="A2644">
        <v>2644</v>
      </c>
      <c r="B2644" t="str">
        <f t="shared" si="41"/>
        <v>੔</v>
      </c>
    </row>
    <row r="2645" spans="1:2" x14ac:dyDescent="0.25">
      <c r="A2645">
        <v>2645</v>
      </c>
      <c r="B2645" t="str">
        <f t="shared" si="41"/>
        <v>੕</v>
      </c>
    </row>
    <row r="2646" spans="1:2" x14ac:dyDescent="0.25">
      <c r="A2646">
        <v>2646</v>
      </c>
      <c r="B2646" t="str">
        <f t="shared" si="41"/>
        <v>੖</v>
      </c>
    </row>
    <row r="2647" spans="1:2" x14ac:dyDescent="0.25">
      <c r="A2647">
        <v>2647</v>
      </c>
      <c r="B2647" t="str">
        <f t="shared" si="41"/>
        <v>੗</v>
      </c>
    </row>
    <row r="2648" spans="1:2" x14ac:dyDescent="0.25">
      <c r="A2648">
        <v>2648</v>
      </c>
      <c r="B2648" t="str">
        <f t="shared" si="41"/>
        <v>੘</v>
      </c>
    </row>
    <row r="2649" spans="1:2" x14ac:dyDescent="0.25">
      <c r="A2649">
        <v>2649</v>
      </c>
      <c r="B2649" t="str">
        <f t="shared" si="41"/>
        <v>ਖ਼</v>
      </c>
    </row>
    <row r="2650" spans="1:2" x14ac:dyDescent="0.25">
      <c r="A2650">
        <v>2650</v>
      </c>
      <c r="B2650" t="str">
        <f t="shared" si="41"/>
        <v>ਗ਼</v>
      </c>
    </row>
    <row r="2651" spans="1:2" x14ac:dyDescent="0.25">
      <c r="A2651">
        <v>2651</v>
      </c>
      <c r="B2651" t="str">
        <f t="shared" si="41"/>
        <v>ਜ਼</v>
      </c>
    </row>
    <row r="2652" spans="1:2" x14ac:dyDescent="0.25">
      <c r="A2652">
        <v>2652</v>
      </c>
      <c r="B2652" t="str">
        <f t="shared" si="41"/>
        <v>ੜ</v>
      </c>
    </row>
    <row r="2653" spans="1:2" x14ac:dyDescent="0.25">
      <c r="A2653">
        <v>2653</v>
      </c>
      <c r="B2653" t="str">
        <f t="shared" si="41"/>
        <v>੝</v>
      </c>
    </row>
    <row r="2654" spans="1:2" x14ac:dyDescent="0.25">
      <c r="A2654">
        <v>2654</v>
      </c>
      <c r="B2654" t="str">
        <f t="shared" si="41"/>
        <v>ਫ਼</v>
      </c>
    </row>
    <row r="2655" spans="1:2" x14ac:dyDescent="0.25">
      <c r="A2655">
        <v>2655</v>
      </c>
      <c r="B2655" t="str">
        <f t="shared" si="41"/>
        <v>੟</v>
      </c>
    </row>
    <row r="2656" spans="1:2" x14ac:dyDescent="0.25">
      <c r="A2656">
        <v>2656</v>
      </c>
      <c r="B2656" t="str">
        <f t="shared" si="41"/>
        <v>੠</v>
      </c>
    </row>
    <row r="2657" spans="1:2" x14ac:dyDescent="0.25">
      <c r="A2657">
        <v>2657</v>
      </c>
      <c r="B2657" t="str">
        <f t="shared" si="41"/>
        <v>੡</v>
      </c>
    </row>
    <row r="2658" spans="1:2" x14ac:dyDescent="0.25">
      <c r="A2658">
        <v>2658</v>
      </c>
      <c r="B2658" t="str">
        <f t="shared" si="41"/>
        <v>੢</v>
      </c>
    </row>
    <row r="2659" spans="1:2" x14ac:dyDescent="0.25">
      <c r="A2659">
        <v>2659</v>
      </c>
      <c r="B2659" t="str">
        <f t="shared" si="41"/>
        <v>੣</v>
      </c>
    </row>
    <row r="2660" spans="1:2" x14ac:dyDescent="0.25">
      <c r="A2660">
        <v>2660</v>
      </c>
      <c r="B2660" t="str">
        <f t="shared" si="41"/>
        <v>੤</v>
      </c>
    </row>
    <row r="2661" spans="1:2" x14ac:dyDescent="0.25">
      <c r="A2661">
        <v>2661</v>
      </c>
      <c r="B2661" t="str">
        <f t="shared" si="41"/>
        <v>੥</v>
      </c>
    </row>
    <row r="2662" spans="1:2" x14ac:dyDescent="0.25">
      <c r="A2662">
        <v>2662</v>
      </c>
      <c r="B2662" t="str">
        <f t="shared" si="41"/>
        <v>੦</v>
      </c>
    </row>
    <row r="2663" spans="1:2" x14ac:dyDescent="0.25">
      <c r="A2663">
        <v>2663</v>
      </c>
      <c r="B2663" t="str">
        <f t="shared" si="41"/>
        <v>੧</v>
      </c>
    </row>
    <row r="2664" spans="1:2" x14ac:dyDescent="0.25">
      <c r="A2664">
        <v>2664</v>
      </c>
      <c r="B2664" t="str">
        <f t="shared" si="41"/>
        <v>੨</v>
      </c>
    </row>
    <row r="2665" spans="1:2" x14ac:dyDescent="0.25">
      <c r="A2665">
        <v>2665</v>
      </c>
      <c r="B2665" t="str">
        <f t="shared" si="41"/>
        <v>੩</v>
      </c>
    </row>
    <row r="2666" spans="1:2" x14ac:dyDescent="0.25">
      <c r="A2666">
        <v>2666</v>
      </c>
      <c r="B2666" t="str">
        <f t="shared" si="41"/>
        <v>੪</v>
      </c>
    </row>
    <row r="2667" spans="1:2" x14ac:dyDescent="0.25">
      <c r="A2667">
        <v>2667</v>
      </c>
      <c r="B2667" t="str">
        <f t="shared" si="41"/>
        <v>੫</v>
      </c>
    </row>
    <row r="2668" spans="1:2" x14ac:dyDescent="0.25">
      <c r="A2668">
        <v>2668</v>
      </c>
      <c r="B2668" t="str">
        <f t="shared" si="41"/>
        <v>੬</v>
      </c>
    </row>
    <row r="2669" spans="1:2" x14ac:dyDescent="0.25">
      <c r="A2669">
        <v>2669</v>
      </c>
      <c r="B2669" t="str">
        <f t="shared" si="41"/>
        <v>੭</v>
      </c>
    </row>
    <row r="2670" spans="1:2" x14ac:dyDescent="0.25">
      <c r="A2670">
        <v>2670</v>
      </c>
      <c r="B2670" t="str">
        <f t="shared" si="41"/>
        <v>੮</v>
      </c>
    </row>
    <row r="2671" spans="1:2" x14ac:dyDescent="0.25">
      <c r="A2671">
        <v>2671</v>
      </c>
      <c r="B2671" t="str">
        <f t="shared" si="41"/>
        <v>੯</v>
      </c>
    </row>
    <row r="2672" spans="1:2" x14ac:dyDescent="0.25">
      <c r="A2672">
        <v>2672</v>
      </c>
      <c r="B2672" t="str">
        <f t="shared" si="41"/>
        <v>ੰ</v>
      </c>
    </row>
    <row r="2673" spans="1:2" x14ac:dyDescent="0.25">
      <c r="A2673">
        <v>2673</v>
      </c>
      <c r="B2673" t="str">
        <f t="shared" si="41"/>
        <v>ੱ</v>
      </c>
    </row>
    <row r="2674" spans="1:2" x14ac:dyDescent="0.25">
      <c r="A2674">
        <v>2674</v>
      </c>
      <c r="B2674" t="str">
        <f t="shared" si="41"/>
        <v>ੲ</v>
      </c>
    </row>
    <row r="2675" spans="1:2" x14ac:dyDescent="0.25">
      <c r="A2675">
        <v>2675</v>
      </c>
      <c r="B2675" t="str">
        <f t="shared" si="41"/>
        <v>ੳ</v>
      </c>
    </row>
    <row r="2676" spans="1:2" x14ac:dyDescent="0.25">
      <c r="A2676">
        <v>2676</v>
      </c>
      <c r="B2676" t="str">
        <f t="shared" si="41"/>
        <v>ੴ</v>
      </c>
    </row>
    <row r="2677" spans="1:2" x14ac:dyDescent="0.25">
      <c r="A2677">
        <v>2677</v>
      </c>
      <c r="B2677" t="str">
        <f t="shared" si="41"/>
        <v>ੵ</v>
      </c>
    </row>
    <row r="2678" spans="1:2" x14ac:dyDescent="0.25">
      <c r="A2678">
        <v>2678</v>
      </c>
      <c r="B2678" t="str">
        <f t="shared" si="41"/>
        <v>੶</v>
      </c>
    </row>
    <row r="2679" spans="1:2" x14ac:dyDescent="0.25">
      <c r="A2679">
        <v>2679</v>
      </c>
      <c r="B2679" t="str">
        <f t="shared" si="41"/>
        <v>੷</v>
      </c>
    </row>
    <row r="2680" spans="1:2" x14ac:dyDescent="0.25">
      <c r="A2680">
        <v>2680</v>
      </c>
      <c r="B2680" t="str">
        <f t="shared" si="41"/>
        <v>੸</v>
      </c>
    </row>
    <row r="2681" spans="1:2" x14ac:dyDescent="0.25">
      <c r="A2681">
        <v>2681</v>
      </c>
      <c r="B2681" t="str">
        <f t="shared" si="41"/>
        <v>੹</v>
      </c>
    </row>
    <row r="2682" spans="1:2" x14ac:dyDescent="0.25">
      <c r="A2682">
        <v>2682</v>
      </c>
      <c r="B2682" t="str">
        <f t="shared" si="41"/>
        <v>੺</v>
      </c>
    </row>
    <row r="2683" spans="1:2" x14ac:dyDescent="0.25">
      <c r="A2683">
        <v>2683</v>
      </c>
      <c r="B2683" t="str">
        <f t="shared" si="41"/>
        <v>੻</v>
      </c>
    </row>
    <row r="2684" spans="1:2" x14ac:dyDescent="0.25">
      <c r="A2684">
        <v>2684</v>
      </c>
      <c r="B2684" t="str">
        <f t="shared" si="41"/>
        <v>੼</v>
      </c>
    </row>
    <row r="2685" spans="1:2" x14ac:dyDescent="0.25">
      <c r="A2685">
        <v>2685</v>
      </c>
      <c r="B2685" t="str">
        <f t="shared" si="41"/>
        <v>੽</v>
      </c>
    </row>
    <row r="2686" spans="1:2" x14ac:dyDescent="0.25">
      <c r="A2686">
        <v>2686</v>
      </c>
      <c r="B2686" t="str">
        <f t="shared" si="41"/>
        <v>੾</v>
      </c>
    </row>
    <row r="2687" spans="1:2" x14ac:dyDescent="0.25">
      <c r="A2687">
        <v>2687</v>
      </c>
      <c r="B2687" t="str">
        <f t="shared" si="41"/>
        <v>੿</v>
      </c>
    </row>
    <row r="2688" spans="1:2" x14ac:dyDescent="0.25">
      <c r="A2688">
        <v>2688</v>
      </c>
      <c r="B2688" t="str">
        <f t="shared" si="41"/>
        <v>઀</v>
      </c>
    </row>
    <row r="2689" spans="1:2" x14ac:dyDescent="0.25">
      <c r="A2689">
        <v>2689</v>
      </c>
      <c r="B2689" t="str">
        <f t="shared" si="41"/>
        <v>ઁ</v>
      </c>
    </row>
    <row r="2690" spans="1:2" x14ac:dyDescent="0.25">
      <c r="A2690">
        <v>2690</v>
      </c>
      <c r="B2690" t="str">
        <f t="shared" ref="B2690:B2753" si="42">_xlfn.UNICHAR(A2690)</f>
        <v>ં</v>
      </c>
    </row>
    <row r="2691" spans="1:2" x14ac:dyDescent="0.25">
      <c r="A2691">
        <v>2691</v>
      </c>
      <c r="B2691" t="str">
        <f t="shared" si="42"/>
        <v>ઃ</v>
      </c>
    </row>
    <row r="2692" spans="1:2" x14ac:dyDescent="0.25">
      <c r="A2692">
        <v>2692</v>
      </c>
      <c r="B2692" t="str">
        <f t="shared" si="42"/>
        <v>઄</v>
      </c>
    </row>
    <row r="2693" spans="1:2" x14ac:dyDescent="0.25">
      <c r="A2693">
        <v>2693</v>
      </c>
      <c r="B2693" t="str">
        <f t="shared" si="42"/>
        <v>અ</v>
      </c>
    </row>
    <row r="2694" spans="1:2" x14ac:dyDescent="0.25">
      <c r="A2694">
        <v>2694</v>
      </c>
      <c r="B2694" t="str">
        <f t="shared" si="42"/>
        <v>આ</v>
      </c>
    </row>
    <row r="2695" spans="1:2" x14ac:dyDescent="0.25">
      <c r="A2695">
        <v>2695</v>
      </c>
      <c r="B2695" t="str">
        <f t="shared" si="42"/>
        <v>ઇ</v>
      </c>
    </row>
    <row r="2696" spans="1:2" x14ac:dyDescent="0.25">
      <c r="A2696">
        <v>2696</v>
      </c>
      <c r="B2696" t="str">
        <f t="shared" si="42"/>
        <v>ઈ</v>
      </c>
    </row>
    <row r="2697" spans="1:2" x14ac:dyDescent="0.25">
      <c r="A2697">
        <v>2697</v>
      </c>
      <c r="B2697" t="str">
        <f t="shared" si="42"/>
        <v>ઉ</v>
      </c>
    </row>
    <row r="2698" spans="1:2" x14ac:dyDescent="0.25">
      <c r="A2698">
        <v>2698</v>
      </c>
      <c r="B2698" t="str">
        <f t="shared" si="42"/>
        <v>ઊ</v>
      </c>
    </row>
    <row r="2699" spans="1:2" x14ac:dyDescent="0.25">
      <c r="A2699">
        <v>2699</v>
      </c>
      <c r="B2699" t="str">
        <f t="shared" si="42"/>
        <v>ઋ</v>
      </c>
    </row>
    <row r="2700" spans="1:2" x14ac:dyDescent="0.25">
      <c r="A2700">
        <v>2700</v>
      </c>
      <c r="B2700" t="str">
        <f t="shared" si="42"/>
        <v>ઌ</v>
      </c>
    </row>
    <row r="2701" spans="1:2" x14ac:dyDescent="0.25">
      <c r="A2701">
        <v>2701</v>
      </c>
      <c r="B2701" t="str">
        <f t="shared" si="42"/>
        <v>ઍ</v>
      </c>
    </row>
    <row r="2702" spans="1:2" x14ac:dyDescent="0.25">
      <c r="A2702">
        <v>2702</v>
      </c>
      <c r="B2702" t="str">
        <f t="shared" si="42"/>
        <v>઎</v>
      </c>
    </row>
    <row r="2703" spans="1:2" x14ac:dyDescent="0.25">
      <c r="A2703">
        <v>2703</v>
      </c>
      <c r="B2703" t="str">
        <f t="shared" si="42"/>
        <v>એ</v>
      </c>
    </row>
    <row r="2704" spans="1:2" x14ac:dyDescent="0.25">
      <c r="A2704">
        <v>2704</v>
      </c>
      <c r="B2704" t="str">
        <f t="shared" si="42"/>
        <v>ઐ</v>
      </c>
    </row>
    <row r="2705" spans="1:2" x14ac:dyDescent="0.25">
      <c r="A2705">
        <v>2705</v>
      </c>
      <c r="B2705" t="str">
        <f t="shared" si="42"/>
        <v>ઑ</v>
      </c>
    </row>
    <row r="2706" spans="1:2" x14ac:dyDescent="0.25">
      <c r="A2706">
        <v>2706</v>
      </c>
      <c r="B2706" t="str">
        <f t="shared" si="42"/>
        <v>઒</v>
      </c>
    </row>
    <row r="2707" spans="1:2" x14ac:dyDescent="0.25">
      <c r="A2707">
        <v>2707</v>
      </c>
      <c r="B2707" t="str">
        <f t="shared" si="42"/>
        <v>ઓ</v>
      </c>
    </row>
    <row r="2708" spans="1:2" x14ac:dyDescent="0.25">
      <c r="A2708">
        <v>2708</v>
      </c>
      <c r="B2708" t="str">
        <f t="shared" si="42"/>
        <v>ઔ</v>
      </c>
    </row>
    <row r="2709" spans="1:2" x14ac:dyDescent="0.25">
      <c r="A2709">
        <v>2709</v>
      </c>
      <c r="B2709" t="str">
        <f t="shared" si="42"/>
        <v>ક</v>
      </c>
    </row>
    <row r="2710" spans="1:2" x14ac:dyDescent="0.25">
      <c r="A2710">
        <v>2710</v>
      </c>
      <c r="B2710" t="str">
        <f t="shared" si="42"/>
        <v>ખ</v>
      </c>
    </row>
    <row r="2711" spans="1:2" x14ac:dyDescent="0.25">
      <c r="A2711">
        <v>2711</v>
      </c>
      <c r="B2711" t="str">
        <f t="shared" si="42"/>
        <v>ગ</v>
      </c>
    </row>
    <row r="2712" spans="1:2" x14ac:dyDescent="0.25">
      <c r="A2712">
        <v>2712</v>
      </c>
      <c r="B2712" t="str">
        <f t="shared" si="42"/>
        <v>ઘ</v>
      </c>
    </row>
    <row r="2713" spans="1:2" x14ac:dyDescent="0.25">
      <c r="A2713">
        <v>2713</v>
      </c>
      <c r="B2713" t="str">
        <f t="shared" si="42"/>
        <v>ઙ</v>
      </c>
    </row>
    <row r="2714" spans="1:2" x14ac:dyDescent="0.25">
      <c r="A2714">
        <v>2714</v>
      </c>
      <c r="B2714" t="str">
        <f t="shared" si="42"/>
        <v>ચ</v>
      </c>
    </row>
    <row r="2715" spans="1:2" x14ac:dyDescent="0.25">
      <c r="A2715">
        <v>2715</v>
      </c>
      <c r="B2715" t="str">
        <f t="shared" si="42"/>
        <v>છ</v>
      </c>
    </row>
    <row r="2716" spans="1:2" x14ac:dyDescent="0.25">
      <c r="A2716">
        <v>2716</v>
      </c>
      <c r="B2716" t="str">
        <f t="shared" si="42"/>
        <v>જ</v>
      </c>
    </row>
    <row r="2717" spans="1:2" x14ac:dyDescent="0.25">
      <c r="A2717">
        <v>2717</v>
      </c>
      <c r="B2717" t="str">
        <f t="shared" si="42"/>
        <v>ઝ</v>
      </c>
    </row>
    <row r="2718" spans="1:2" x14ac:dyDescent="0.25">
      <c r="A2718">
        <v>2718</v>
      </c>
      <c r="B2718" t="str">
        <f t="shared" si="42"/>
        <v>ઞ</v>
      </c>
    </row>
    <row r="2719" spans="1:2" x14ac:dyDescent="0.25">
      <c r="A2719">
        <v>2719</v>
      </c>
      <c r="B2719" t="str">
        <f t="shared" si="42"/>
        <v>ટ</v>
      </c>
    </row>
    <row r="2720" spans="1:2" x14ac:dyDescent="0.25">
      <c r="A2720">
        <v>2720</v>
      </c>
      <c r="B2720" t="str">
        <f t="shared" si="42"/>
        <v>ઠ</v>
      </c>
    </row>
    <row r="2721" spans="1:2" x14ac:dyDescent="0.25">
      <c r="A2721">
        <v>2721</v>
      </c>
      <c r="B2721" t="str">
        <f t="shared" si="42"/>
        <v>ડ</v>
      </c>
    </row>
    <row r="2722" spans="1:2" x14ac:dyDescent="0.25">
      <c r="A2722">
        <v>2722</v>
      </c>
      <c r="B2722" t="str">
        <f t="shared" si="42"/>
        <v>ઢ</v>
      </c>
    </row>
    <row r="2723" spans="1:2" x14ac:dyDescent="0.25">
      <c r="A2723">
        <v>2723</v>
      </c>
      <c r="B2723" t="str">
        <f t="shared" si="42"/>
        <v>ણ</v>
      </c>
    </row>
    <row r="2724" spans="1:2" x14ac:dyDescent="0.25">
      <c r="A2724">
        <v>2724</v>
      </c>
      <c r="B2724" t="str">
        <f t="shared" si="42"/>
        <v>ત</v>
      </c>
    </row>
    <row r="2725" spans="1:2" x14ac:dyDescent="0.25">
      <c r="A2725">
        <v>2725</v>
      </c>
      <c r="B2725" t="str">
        <f t="shared" si="42"/>
        <v>થ</v>
      </c>
    </row>
    <row r="2726" spans="1:2" x14ac:dyDescent="0.25">
      <c r="A2726">
        <v>2726</v>
      </c>
      <c r="B2726" t="str">
        <f t="shared" si="42"/>
        <v>દ</v>
      </c>
    </row>
    <row r="2727" spans="1:2" x14ac:dyDescent="0.25">
      <c r="A2727">
        <v>2727</v>
      </c>
      <c r="B2727" t="str">
        <f t="shared" si="42"/>
        <v>ધ</v>
      </c>
    </row>
    <row r="2728" spans="1:2" x14ac:dyDescent="0.25">
      <c r="A2728">
        <v>2728</v>
      </c>
      <c r="B2728" t="str">
        <f t="shared" si="42"/>
        <v>ન</v>
      </c>
    </row>
    <row r="2729" spans="1:2" x14ac:dyDescent="0.25">
      <c r="A2729">
        <v>2729</v>
      </c>
      <c r="B2729" t="str">
        <f t="shared" si="42"/>
        <v>઩</v>
      </c>
    </row>
    <row r="2730" spans="1:2" x14ac:dyDescent="0.25">
      <c r="A2730">
        <v>2730</v>
      </c>
      <c r="B2730" t="str">
        <f t="shared" si="42"/>
        <v>પ</v>
      </c>
    </row>
    <row r="2731" spans="1:2" x14ac:dyDescent="0.25">
      <c r="A2731">
        <v>2731</v>
      </c>
      <c r="B2731" t="str">
        <f t="shared" si="42"/>
        <v>ફ</v>
      </c>
    </row>
    <row r="2732" spans="1:2" x14ac:dyDescent="0.25">
      <c r="A2732">
        <v>2732</v>
      </c>
      <c r="B2732" t="str">
        <f t="shared" si="42"/>
        <v>બ</v>
      </c>
    </row>
    <row r="2733" spans="1:2" x14ac:dyDescent="0.25">
      <c r="A2733">
        <v>2733</v>
      </c>
      <c r="B2733" t="str">
        <f t="shared" si="42"/>
        <v>ભ</v>
      </c>
    </row>
    <row r="2734" spans="1:2" x14ac:dyDescent="0.25">
      <c r="A2734">
        <v>2734</v>
      </c>
      <c r="B2734" t="str">
        <f t="shared" si="42"/>
        <v>મ</v>
      </c>
    </row>
    <row r="2735" spans="1:2" x14ac:dyDescent="0.25">
      <c r="A2735">
        <v>2735</v>
      </c>
      <c r="B2735" t="str">
        <f t="shared" si="42"/>
        <v>ય</v>
      </c>
    </row>
    <row r="2736" spans="1:2" x14ac:dyDescent="0.25">
      <c r="A2736">
        <v>2736</v>
      </c>
      <c r="B2736" t="str">
        <f t="shared" si="42"/>
        <v>ર</v>
      </c>
    </row>
    <row r="2737" spans="1:2" x14ac:dyDescent="0.25">
      <c r="A2737">
        <v>2737</v>
      </c>
      <c r="B2737" t="str">
        <f t="shared" si="42"/>
        <v>઱</v>
      </c>
    </row>
    <row r="2738" spans="1:2" x14ac:dyDescent="0.25">
      <c r="A2738">
        <v>2738</v>
      </c>
      <c r="B2738" t="str">
        <f t="shared" si="42"/>
        <v>લ</v>
      </c>
    </row>
    <row r="2739" spans="1:2" x14ac:dyDescent="0.25">
      <c r="A2739">
        <v>2739</v>
      </c>
      <c r="B2739" t="str">
        <f t="shared" si="42"/>
        <v>ળ</v>
      </c>
    </row>
    <row r="2740" spans="1:2" x14ac:dyDescent="0.25">
      <c r="A2740">
        <v>2740</v>
      </c>
      <c r="B2740" t="str">
        <f t="shared" si="42"/>
        <v>઴</v>
      </c>
    </row>
    <row r="2741" spans="1:2" x14ac:dyDescent="0.25">
      <c r="A2741">
        <v>2741</v>
      </c>
      <c r="B2741" t="str">
        <f t="shared" si="42"/>
        <v>વ</v>
      </c>
    </row>
    <row r="2742" spans="1:2" x14ac:dyDescent="0.25">
      <c r="A2742">
        <v>2742</v>
      </c>
      <c r="B2742" t="str">
        <f t="shared" si="42"/>
        <v>શ</v>
      </c>
    </row>
    <row r="2743" spans="1:2" x14ac:dyDescent="0.25">
      <c r="A2743">
        <v>2743</v>
      </c>
      <c r="B2743" t="str">
        <f t="shared" si="42"/>
        <v>ષ</v>
      </c>
    </row>
    <row r="2744" spans="1:2" x14ac:dyDescent="0.25">
      <c r="A2744">
        <v>2744</v>
      </c>
      <c r="B2744" t="str">
        <f t="shared" si="42"/>
        <v>સ</v>
      </c>
    </row>
    <row r="2745" spans="1:2" x14ac:dyDescent="0.25">
      <c r="A2745">
        <v>2745</v>
      </c>
      <c r="B2745" t="str">
        <f t="shared" si="42"/>
        <v>હ</v>
      </c>
    </row>
    <row r="2746" spans="1:2" x14ac:dyDescent="0.25">
      <c r="A2746">
        <v>2746</v>
      </c>
      <c r="B2746" t="str">
        <f t="shared" si="42"/>
        <v>઺</v>
      </c>
    </row>
    <row r="2747" spans="1:2" x14ac:dyDescent="0.25">
      <c r="A2747">
        <v>2747</v>
      </c>
      <c r="B2747" t="str">
        <f t="shared" si="42"/>
        <v>઻</v>
      </c>
    </row>
    <row r="2748" spans="1:2" x14ac:dyDescent="0.25">
      <c r="A2748">
        <v>2748</v>
      </c>
      <c r="B2748" t="str">
        <f t="shared" si="42"/>
        <v>઼</v>
      </c>
    </row>
    <row r="2749" spans="1:2" x14ac:dyDescent="0.25">
      <c r="A2749">
        <v>2749</v>
      </c>
      <c r="B2749" t="str">
        <f t="shared" si="42"/>
        <v>ઽ</v>
      </c>
    </row>
    <row r="2750" spans="1:2" x14ac:dyDescent="0.25">
      <c r="A2750">
        <v>2750</v>
      </c>
      <c r="B2750" t="str">
        <f t="shared" si="42"/>
        <v>ા</v>
      </c>
    </row>
    <row r="2751" spans="1:2" x14ac:dyDescent="0.25">
      <c r="A2751">
        <v>2751</v>
      </c>
      <c r="B2751" t="str">
        <f t="shared" si="42"/>
        <v>િ</v>
      </c>
    </row>
    <row r="2752" spans="1:2" x14ac:dyDescent="0.25">
      <c r="A2752">
        <v>2752</v>
      </c>
      <c r="B2752" t="str">
        <f t="shared" si="42"/>
        <v>ી</v>
      </c>
    </row>
    <row r="2753" spans="1:2" x14ac:dyDescent="0.25">
      <c r="A2753">
        <v>2753</v>
      </c>
      <c r="B2753" t="str">
        <f t="shared" si="42"/>
        <v>ુ</v>
      </c>
    </row>
    <row r="2754" spans="1:2" x14ac:dyDescent="0.25">
      <c r="A2754">
        <v>2754</v>
      </c>
      <c r="B2754" t="str">
        <f t="shared" ref="B2754:B2817" si="43">_xlfn.UNICHAR(A2754)</f>
        <v>ૂ</v>
      </c>
    </row>
    <row r="2755" spans="1:2" x14ac:dyDescent="0.25">
      <c r="A2755">
        <v>2755</v>
      </c>
      <c r="B2755" t="str">
        <f t="shared" si="43"/>
        <v>ૃ</v>
      </c>
    </row>
    <row r="2756" spans="1:2" x14ac:dyDescent="0.25">
      <c r="A2756">
        <v>2756</v>
      </c>
      <c r="B2756" t="str">
        <f t="shared" si="43"/>
        <v>ૄ</v>
      </c>
    </row>
    <row r="2757" spans="1:2" x14ac:dyDescent="0.25">
      <c r="A2757">
        <v>2757</v>
      </c>
      <c r="B2757" t="str">
        <f t="shared" si="43"/>
        <v>ૅ</v>
      </c>
    </row>
    <row r="2758" spans="1:2" x14ac:dyDescent="0.25">
      <c r="A2758">
        <v>2758</v>
      </c>
      <c r="B2758" t="str">
        <f t="shared" si="43"/>
        <v>૆</v>
      </c>
    </row>
    <row r="2759" spans="1:2" x14ac:dyDescent="0.25">
      <c r="A2759">
        <v>2759</v>
      </c>
      <c r="B2759" t="str">
        <f t="shared" si="43"/>
        <v>ે</v>
      </c>
    </row>
    <row r="2760" spans="1:2" x14ac:dyDescent="0.25">
      <c r="A2760">
        <v>2760</v>
      </c>
      <c r="B2760" t="str">
        <f t="shared" si="43"/>
        <v>ૈ</v>
      </c>
    </row>
    <row r="2761" spans="1:2" x14ac:dyDescent="0.25">
      <c r="A2761">
        <v>2761</v>
      </c>
      <c r="B2761" t="str">
        <f t="shared" si="43"/>
        <v>ૉ</v>
      </c>
    </row>
    <row r="2762" spans="1:2" x14ac:dyDescent="0.25">
      <c r="A2762">
        <v>2762</v>
      </c>
      <c r="B2762" t="str">
        <f t="shared" si="43"/>
        <v>૊</v>
      </c>
    </row>
    <row r="2763" spans="1:2" x14ac:dyDescent="0.25">
      <c r="A2763">
        <v>2763</v>
      </c>
      <c r="B2763" t="str">
        <f t="shared" si="43"/>
        <v>ો</v>
      </c>
    </row>
    <row r="2764" spans="1:2" x14ac:dyDescent="0.25">
      <c r="A2764">
        <v>2764</v>
      </c>
      <c r="B2764" t="str">
        <f t="shared" si="43"/>
        <v>ૌ</v>
      </c>
    </row>
    <row r="2765" spans="1:2" x14ac:dyDescent="0.25">
      <c r="A2765">
        <v>2765</v>
      </c>
      <c r="B2765" t="str">
        <f t="shared" si="43"/>
        <v>્</v>
      </c>
    </row>
    <row r="2766" spans="1:2" x14ac:dyDescent="0.25">
      <c r="A2766">
        <v>2766</v>
      </c>
      <c r="B2766" t="str">
        <f t="shared" si="43"/>
        <v>૎</v>
      </c>
    </row>
    <row r="2767" spans="1:2" x14ac:dyDescent="0.25">
      <c r="A2767">
        <v>2767</v>
      </c>
      <c r="B2767" t="str">
        <f t="shared" si="43"/>
        <v>૏</v>
      </c>
    </row>
    <row r="2768" spans="1:2" x14ac:dyDescent="0.25">
      <c r="A2768">
        <v>2768</v>
      </c>
      <c r="B2768" t="str">
        <f t="shared" si="43"/>
        <v>ૐ</v>
      </c>
    </row>
    <row r="2769" spans="1:2" x14ac:dyDescent="0.25">
      <c r="A2769">
        <v>2769</v>
      </c>
      <c r="B2769" t="str">
        <f t="shared" si="43"/>
        <v>૑</v>
      </c>
    </row>
    <row r="2770" spans="1:2" x14ac:dyDescent="0.25">
      <c r="A2770">
        <v>2770</v>
      </c>
      <c r="B2770" t="str">
        <f t="shared" si="43"/>
        <v>૒</v>
      </c>
    </row>
    <row r="2771" spans="1:2" x14ac:dyDescent="0.25">
      <c r="A2771">
        <v>2771</v>
      </c>
      <c r="B2771" t="str">
        <f t="shared" si="43"/>
        <v>૓</v>
      </c>
    </row>
    <row r="2772" spans="1:2" x14ac:dyDescent="0.25">
      <c r="A2772">
        <v>2772</v>
      </c>
      <c r="B2772" t="str">
        <f t="shared" si="43"/>
        <v>૔</v>
      </c>
    </row>
    <row r="2773" spans="1:2" x14ac:dyDescent="0.25">
      <c r="A2773">
        <v>2773</v>
      </c>
      <c r="B2773" t="str">
        <f t="shared" si="43"/>
        <v>૕</v>
      </c>
    </row>
    <row r="2774" spans="1:2" x14ac:dyDescent="0.25">
      <c r="A2774">
        <v>2774</v>
      </c>
      <c r="B2774" t="str">
        <f t="shared" si="43"/>
        <v>૖</v>
      </c>
    </row>
    <row r="2775" spans="1:2" x14ac:dyDescent="0.25">
      <c r="A2775">
        <v>2775</v>
      </c>
      <c r="B2775" t="str">
        <f t="shared" si="43"/>
        <v>૗</v>
      </c>
    </row>
    <row r="2776" spans="1:2" x14ac:dyDescent="0.25">
      <c r="A2776">
        <v>2776</v>
      </c>
      <c r="B2776" t="str">
        <f t="shared" si="43"/>
        <v>૘</v>
      </c>
    </row>
    <row r="2777" spans="1:2" x14ac:dyDescent="0.25">
      <c r="A2777">
        <v>2777</v>
      </c>
      <c r="B2777" t="str">
        <f t="shared" si="43"/>
        <v>૙</v>
      </c>
    </row>
    <row r="2778" spans="1:2" x14ac:dyDescent="0.25">
      <c r="A2778">
        <v>2778</v>
      </c>
      <c r="B2778" t="str">
        <f t="shared" si="43"/>
        <v>૚</v>
      </c>
    </row>
    <row r="2779" spans="1:2" x14ac:dyDescent="0.25">
      <c r="A2779">
        <v>2779</v>
      </c>
      <c r="B2779" t="str">
        <f t="shared" si="43"/>
        <v>૛</v>
      </c>
    </row>
    <row r="2780" spans="1:2" x14ac:dyDescent="0.25">
      <c r="A2780">
        <v>2780</v>
      </c>
      <c r="B2780" t="str">
        <f t="shared" si="43"/>
        <v>૜</v>
      </c>
    </row>
    <row r="2781" spans="1:2" x14ac:dyDescent="0.25">
      <c r="A2781">
        <v>2781</v>
      </c>
      <c r="B2781" t="str">
        <f t="shared" si="43"/>
        <v>૝</v>
      </c>
    </row>
    <row r="2782" spans="1:2" x14ac:dyDescent="0.25">
      <c r="A2782">
        <v>2782</v>
      </c>
      <c r="B2782" t="str">
        <f t="shared" si="43"/>
        <v>૞</v>
      </c>
    </row>
    <row r="2783" spans="1:2" x14ac:dyDescent="0.25">
      <c r="A2783">
        <v>2783</v>
      </c>
      <c r="B2783" t="str">
        <f t="shared" si="43"/>
        <v>૟</v>
      </c>
    </row>
    <row r="2784" spans="1:2" x14ac:dyDescent="0.25">
      <c r="A2784">
        <v>2784</v>
      </c>
      <c r="B2784" t="str">
        <f t="shared" si="43"/>
        <v>ૠ</v>
      </c>
    </row>
    <row r="2785" spans="1:2" x14ac:dyDescent="0.25">
      <c r="A2785">
        <v>2785</v>
      </c>
      <c r="B2785" t="str">
        <f t="shared" si="43"/>
        <v>ૡ</v>
      </c>
    </row>
    <row r="2786" spans="1:2" x14ac:dyDescent="0.25">
      <c r="A2786">
        <v>2786</v>
      </c>
      <c r="B2786" t="str">
        <f t="shared" si="43"/>
        <v>ૢ</v>
      </c>
    </row>
    <row r="2787" spans="1:2" x14ac:dyDescent="0.25">
      <c r="A2787">
        <v>2787</v>
      </c>
      <c r="B2787" t="str">
        <f t="shared" si="43"/>
        <v>ૣ</v>
      </c>
    </row>
    <row r="2788" spans="1:2" x14ac:dyDescent="0.25">
      <c r="A2788">
        <v>2788</v>
      </c>
      <c r="B2788" t="str">
        <f t="shared" si="43"/>
        <v>૤</v>
      </c>
    </row>
    <row r="2789" spans="1:2" x14ac:dyDescent="0.25">
      <c r="A2789">
        <v>2789</v>
      </c>
      <c r="B2789" t="str">
        <f t="shared" si="43"/>
        <v>૥</v>
      </c>
    </row>
    <row r="2790" spans="1:2" x14ac:dyDescent="0.25">
      <c r="A2790">
        <v>2790</v>
      </c>
      <c r="B2790" t="str">
        <f t="shared" si="43"/>
        <v>૦</v>
      </c>
    </row>
    <row r="2791" spans="1:2" x14ac:dyDescent="0.25">
      <c r="A2791">
        <v>2791</v>
      </c>
      <c r="B2791" t="str">
        <f t="shared" si="43"/>
        <v>૧</v>
      </c>
    </row>
    <row r="2792" spans="1:2" x14ac:dyDescent="0.25">
      <c r="A2792">
        <v>2792</v>
      </c>
      <c r="B2792" t="str">
        <f t="shared" si="43"/>
        <v>૨</v>
      </c>
    </row>
    <row r="2793" spans="1:2" x14ac:dyDescent="0.25">
      <c r="A2793">
        <v>2793</v>
      </c>
      <c r="B2793" t="str">
        <f t="shared" si="43"/>
        <v>૩</v>
      </c>
    </row>
    <row r="2794" spans="1:2" x14ac:dyDescent="0.25">
      <c r="A2794">
        <v>2794</v>
      </c>
      <c r="B2794" t="str">
        <f t="shared" si="43"/>
        <v>૪</v>
      </c>
    </row>
    <row r="2795" spans="1:2" x14ac:dyDescent="0.25">
      <c r="A2795">
        <v>2795</v>
      </c>
      <c r="B2795" t="str">
        <f t="shared" si="43"/>
        <v>૫</v>
      </c>
    </row>
    <row r="2796" spans="1:2" x14ac:dyDescent="0.25">
      <c r="A2796">
        <v>2796</v>
      </c>
      <c r="B2796" t="str">
        <f t="shared" si="43"/>
        <v>૬</v>
      </c>
    </row>
    <row r="2797" spans="1:2" x14ac:dyDescent="0.25">
      <c r="A2797">
        <v>2797</v>
      </c>
      <c r="B2797" t="str">
        <f t="shared" si="43"/>
        <v>૭</v>
      </c>
    </row>
    <row r="2798" spans="1:2" x14ac:dyDescent="0.25">
      <c r="A2798">
        <v>2798</v>
      </c>
      <c r="B2798" t="str">
        <f t="shared" si="43"/>
        <v>૮</v>
      </c>
    </row>
    <row r="2799" spans="1:2" x14ac:dyDescent="0.25">
      <c r="A2799">
        <v>2799</v>
      </c>
      <c r="B2799" t="str">
        <f t="shared" si="43"/>
        <v>૯</v>
      </c>
    </row>
    <row r="2800" spans="1:2" x14ac:dyDescent="0.25">
      <c r="A2800">
        <v>2800</v>
      </c>
      <c r="B2800" t="str">
        <f t="shared" si="43"/>
        <v>૰</v>
      </c>
    </row>
    <row r="2801" spans="1:2" x14ac:dyDescent="0.25">
      <c r="A2801">
        <v>2801</v>
      </c>
      <c r="B2801" t="str">
        <f t="shared" si="43"/>
        <v>૱</v>
      </c>
    </row>
    <row r="2802" spans="1:2" x14ac:dyDescent="0.25">
      <c r="A2802">
        <v>2802</v>
      </c>
      <c r="B2802" t="str">
        <f t="shared" si="43"/>
        <v>૲</v>
      </c>
    </row>
    <row r="2803" spans="1:2" x14ac:dyDescent="0.25">
      <c r="A2803">
        <v>2803</v>
      </c>
      <c r="B2803" t="str">
        <f t="shared" si="43"/>
        <v>૳</v>
      </c>
    </row>
    <row r="2804" spans="1:2" x14ac:dyDescent="0.25">
      <c r="A2804">
        <v>2804</v>
      </c>
      <c r="B2804" t="str">
        <f t="shared" si="43"/>
        <v>૴</v>
      </c>
    </row>
    <row r="2805" spans="1:2" x14ac:dyDescent="0.25">
      <c r="A2805">
        <v>2805</v>
      </c>
      <c r="B2805" t="str">
        <f t="shared" si="43"/>
        <v>૵</v>
      </c>
    </row>
    <row r="2806" spans="1:2" x14ac:dyDescent="0.25">
      <c r="A2806">
        <v>2806</v>
      </c>
      <c r="B2806" t="str">
        <f t="shared" si="43"/>
        <v>૶</v>
      </c>
    </row>
    <row r="2807" spans="1:2" x14ac:dyDescent="0.25">
      <c r="A2807">
        <v>2807</v>
      </c>
      <c r="B2807" t="str">
        <f t="shared" si="43"/>
        <v>૷</v>
      </c>
    </row>
    <row r="2808" spans="1:2" x14ac:dyDescent="0.25">
      <c r="A2808">
        <v>2808</v>
      </c>
      <c r="B2808" t="str">
        <f t="shared" si="43"/>
        <v>૸</v>
      </c>
    </row>
    <row r="2809" spans="1:2" x14ac:dyDescent="0.25">
      <c r="A2809">
        <v>2809</v>
      </c>
      <c r="B2809" t="str">
        <f t="shared" si="43"/>
        <v>ૹ</v>
      </c>
    </row>
    <row r="2810" spans="1:2" x14ac:dyDescent="0.25">
      <c r="A2810">
        <v>2810</v>
      </c>
      <c r="B2810" t="str">
        <f t="shared" si="43"/>
        <v>ૺ</v>
      </c>
    </row>
    <row r="2811" spans="1:2" x14ac:dyDescent="0.25">
      <c r="A2811">
        <v>2811</v>
      </c>
      <c r="B2811" t="str">
        <f t="shared" si="43"/>
        <v>ૻ</v>
      </c>
    </row>
    <row r="2812" spans="1:2" x14ac:dyDescent="0.25">
      <c r="A2812">
        <v>2812</v>
      </c>
      <c r="B2812" t="str">
        <f t="shared" si="43"/>
        <v>ૼ</v>
      </c>
    </row>
    <row r="2813" spans="1:2" x14ac:dyDescent="0.25">
      <c r="A2813">
        <v>2813</v>
      </c>
      <c r="B2813" t="str">
        <f t="shared" si="43"/>
        <v>૽</v>
      </c>
    </row>
    <row r="2814" spans="1:2" x14ac:dyDescent="0.25">
      <c r="A2814">
        <v>2814</v>
      </c>
      <c r="B2814" t="str">
        <f t="shared" si="43"/>
        <v>૾</v>
      </c>
    </row>
    <row r="2815" spans="1:2" x14ac:dyDescent="0.25">
      <c r="A2815">
        <v>2815</v>
      </c>
      <c r="B2815" t="str">
        <f t="shared" si="43"/>
        <v>૿</v>
      </c>
    </row>
    <row r="2816" spans="1:2" x14ac:dyDescent="0.25">
      <c r="A2816">
        <v>2816</v>
      </c>
      <c r="B2816" t="str">
        <f t="shared" si="43"/>
        <v>଀</v>
      </c>
    </row>
    <row r="2817" spans="1:2" x14ac:dyDescent="0.25">
      <c r="A2817">
        <v>2817</v>
      </c>
      <c r="B2817" t="str">
        <f t="shared" si="43"/>
        <v>ଁ</v>
      </c>
    </row>
    <row r="2818" spans="1:2" x14ac:dyDescent="0.25">
      <c r="A2818">
        <v>2818</v>
      </c>
      <c r="B2818" t="str">
        <f t="shared" ref="B2818:B2881" si="44">_xlfn.UNICHAR(A2818)</f>
        <v>ଂ</v>
      </c>
    </row>
    <row r="2819" spans="1:2" x14ac:dyDescent="0.25">
      <c r="A2819">
        <v>2819</v>
      </c>
      <c r="B2819" t="str">
        <f t="shared" si="44"/>
        <v>ଃ</v>
      </c>
    </row>
    <row r="2820" spans="1:2" x14ac:dyDescent="0.25">
      <c r="A2820">
        <v>2820</v>
      </c>
      <c r="B2820" t="str">
        <f t="shared" si="44"/>
        <v>଄</v>
      </c>
    </row>
    <row r="2821" spans="1:2" x14ac:dyDescent="0.25">
      <c r="A2821">
        <v>2821</v>
      </c>
      <c r="B2821" t="str">
        <f t="shared" si="44"/>
        <v>ଅ</v>
      </c>
    </row>
    <row r="2822" spans="1:2" x14ac:dyDescent="0.25">
      <c r="A2822">
        <v>2822</v>
      </c>
      <c r="B2822" t="str">
        <f t="shared" si="44"/>
        <v>ଆ</v>
      </c>
    </row>
    <row r="2823" spans="1:2" x14ac:dyDescent="0.25">
      <c r="A2823">
        <v>2823</v>
      </c>
      <c r="B2823" t="str">
        <f t="shared" si="44"/>
        <v>ଇ</v>
      </c>
    </row>
    <row r="2824" spans="1:2" x14ac:dyDescent="0.25">
      <c r="A2824">
        <v>2824</v>
      </c>
      <c r="B2824" t="str">
        <f t="shared" si="44"/>
        <v>ଈ</v>
      </c>
    </row>
    <row r="2825" spans="1:2" x14ac:dyDescent="0.25">
      <c r="A2825">
        <v>2825</v>
      </c>
      <c r="B2825" t="str">
        <f t="shared" si="44"/>
        <v>ଉ</v>
      </c>
    </row>
    <row r="2826" spans="1:2" x14ac:dyDescent="0.25">
      <c r="A2826">
        <v>2826</v>
      </c>
      <c r="B2826" t="str">
        <f t="shared" si="44"/>
        <v>ଊ</v>
      </c>
    </row>
    <row r="2827" spans="1:2" x14ac:dyDescent="0.25">
      <c r="A2827">
        <v>2827</v>
      </c>
      <c r="B2827" t="str">
        <f t="shared" si="44"/>
        <v>ଋ</v>
      </c>
    </row>
    <row r="2828" spans="1:2" x14ac:dyDescent="0.25">
      <c r="A2828">
        <v>2828</v>
      </c>
      <c r="B2828" t="str">
        <f t="shared" si="44"/>
        <v>ଌ</v>
      </c>
    </row>
    <row r="2829" spans="1:2" x14ac:dyDescent="0.25">
      <c r="A2829">
        <v>2829</v>
      </c>
      <c r="B2829" t="str">
        <f t="shared" si="44"/>
        <v>଍</v>
      </c>
    </row>
    <row r="2830" spans="1:2" x14ac:dyDescent="0.25">
      <c r="A2830">
        <v>2830</v>
      </c>
      <c r="B2830" t="str">
        <f t="shared" si="44"/>
        <v>଎</v>
      </c>
    </row>
    <row r="2831" spans="1:2" x14ac:dyDescent="0.25">
      <c r="A2831">
        <v>2831</v>
      </c>
      <c r="B2831" t="str">
        <f t="shared" si="44"/>
        <v>ଏ</v>
      </c>
    </row>
    <row r="2832" spans="1:2" x14ac:dyDescent="0.25">
      <c r="A2832">
        <v>2832</v>
      </c>
      <c r="B2832" t="str">
        <f t="shared" si="44"/>
        <v>ଐ</v>
      </c>
    </row>
    <row r="2833" spans="1:2" x14ac:dyDescent="0.25">
      <c r="A2833">
        <v>2833</v>
      </c>
      <c r="B2833" t="str">
        <f t="shared" si="44"/>
        <v>଑</v>
      </c>
    </row>
    <row r="2834" spans="1:2" x14ac:dyDescent="0.25">
      <c r="A2834">
        <v>2834</v>
      </c>
      <c r="B2834" t="str">
        <f t="shared" si="44"/>
        <v>଒</v>
      </c>
    </row>
    <row r="2835" spans="1:2" x14ac:dyDescent="0.25">
      <c r="A2835">
        <v>2835</v>
      </c>
      <c r="B2835" t="str">
        <f t="shared" si="44"/>
        <v>ଓ</v>
      </c>
    </row>
    <row r="2836" spans="1:2" x14ac:dyDescent="0.25">
      <c r="A2836">
        <v>2836</v>
      </c>
      <c r="B2836" t="str">
        <f t="shared" si="44"/>
        <v>ଔ</v>
      </c>
    </row>
    <row r="2837" spans="1:2" x14ac:dyDescent="0.25">
      <c r="A2837">
        <v>2837</v>
      </c>
      <c r="B2837" t="str">
        <f t="shared" si="44"/>
        <v>କ</v>
      </c>
    </row>
    <row r="2838" spans="1:2" x14ac:dyDescent="0.25">
      <c r="A2838">
        <v>2838</v>
      </c>
      <c r="B2838" t="str">
        <f t="shared" si="44"/>
        <v>ଖ</v>
      </c>
    </row>
    <row r="2839" spans="1:2" x14ac:dyDescent="0.25">
      <c r="A2839">
        <v>2839</v>
      </c>
      <c r="B2839" t="str">
        <f t="shared" si="44"/>
        <v>ଗ</v>
      </c>
    </row>
    <row r="2840" spans="1:2" x14ac:dyDescent="0.25">
      <c r="A2840">
        <v>2840</v>
      </c>
      <c r="B2840" t="str">
        <f t="shared" si="44"/>
        <v>ଘ</v>
      </c>
    </row>
    <row r="2841" spans="1:2" x14ac:dyDescent="0.25">
      <c r="A2841">
        <v>2841</v>
      </c>
      <c r="B2841" t="str">
        <f t="shared" si="44"/>
        <v>ଙ</v>
      </c>
    </row>
    <row r="2842" spans="1:2" x14ac:dyDescent="0.25">
      <c r="A2842">
        <v>2842</v>
      </c>
      <c r="B2842" t="str">
        <f t="shared" si="44"/>
        <v>ଚ</v>
      </c>
    </row>
    <row r="2843" spans="1:2" x14ac:dyDescent="0.25">
      <c r="A2843">
        <v>2843</v>
      </c>
      <c r="B2843" t="str">
        <f t="shared" si="44"/>
        <v>ଛ</v>
      </c>
    </row>
    <row r="2844" spans="1:2" x14ac:dyDescent="0.25">
      <c r="A2844">
        <v>2844</v>
      </c>
      <c r="B2844" t="str">
        <f t="shared" si="44"/>
        <v>ଜ</v>
      </c>
    </row>
    <row r="2845" spans="1:2" x14ac:dyDescent="0.25">
      <c r="A2845">
        <v>2845</v>
      </c>
      <c r="B2845" t="str">
        <f t="shared" si="44"/>
        <v>ଝ</v>
      </c>
    </row>
    <row r="2846" spans="1:2" x14ac:dyDescent="0.25">
      <c r="A2846">
        <v>2846</v>
      </c>
      <c r="B2846" t="str">
        <f t="shared" si="44"/>
        <v>ଞ</v>
      </c>
    </row>
    <row r="2847" spans="1:2" x14ac:dyDescent="0.25">
      <c r="A2847">
        <v>2847</v>
      </c>
      <c r="B2847" t="str">
        <f t="shared" si="44"/>
        <v>ଟ</v>
      </c>
    </row>
    <row r="2848" spans="1:2" x14ac:dyDescent="0.25">
      <c r="A2848">
        <v>2848</v>
      </c>
      <c r="B2848" t="str">
        <f t="shared" si="44"/>
        <v>ଠ</v>
      </c>
    </row>
    <row r="2849" spans="1:2" x14ac:dyDescent="0.25">
      <c r="A2849">
        <v>2849</v>
      </c>
      <c r="B2849" t="str">
        <f t="shared" si="44"/>
        <v>ଡ</v>
      </c>
    </row>
    <row r="2850" spans="1:2" x14ac:dyDescent="0.25">
      <c r="A2850">
        <v>2850</v>
      </c>
      <c r="B2850" t="str">
        <f t="shared" si="44"/>
        <v>ଢ</v>
      </c>
    </row>
    <row r="2851" spans="1:2" x14ac:dyDescent="0.25">
      <c r="A2851">
        <v>2851</v>
      </c>
      <c r="B2851" t="str">
        <f t="shared" si="44"/>
        <v>ଣ</v>
      </c>
    </row>
    <row r="2852" spans="1:2" x14ac:dyDescent="0.25">
      <c r="A2852">
        <v>2852</v>
      </c>
      <c r="B2852" t="str">
        <f t="shared" si="44"/>
        <v>ତ</v>
      </c>
    </row>
    <row r="2853" spans="1:2" x14ac:dyDescent="0.25">
      <c r="A2853">
        <v>2853</v>
      </c>
      <c r="B2853" t="str">
        <f t="shared" si="44"/>
        <v>ଥ</v>
      </c>
    </row>
    <row r="2854" spans="1:2" x14ac:dyDescent="0.25">
      <c r="A2854">
        <v>2854</v>
      </c>
      <c r="B2854" t="str">
        <f t="shared" si="44"/>
        <v>ଦ</v>
      </c>
    </row>
    <row r="2855" spans="1:2" x14ac:dyDescent="0.25">
      <c r="A2855">
        <v>2855</v>
      </c>
      <c r="B2855" t="str">
        <f t="shared" si="44"/>
        <v>ଧ</v>
      </c>
    </row>
    <row r="2856" spans="1:2" x14ac:dyDescent="0.25">
      <c r="A2856">
        <v>2856</v>
      </c>
      <c r="B2856" t="str">
        <f t="shared" si="44"/>
        <v>ନ</v>
      </c>
    </row>
    <row r="2857" spans="1:2" x14ac:dyDescent="0.25">
      <c r="A2857">
        <v>2857</v>
      </c>
      <c r="B2857" t="str">
        <f t="shared" si="44"/>
        <v>଩</v>
      </c>
    </row>
    <row r="2858" spans="1:2" x14ac:dyDescent="0.25">
      <c r="A2858">
        <v>2858</v>
      </c>
      <c r="B2858" t="str">
        <f t="shared" si="44"/>
        <v>ପ</v>
      </c>
    </row>
    <row r="2859" spans="1:2" x14ac:dyDescent="0.25">
      <c r="A2859">
        <v>2859</v>
      </c>
      <c r="B2859" t="str">
        <f t="shared" si="44"/>
        <v>ଫ</v>
      </c>
    </row>
    <row r="2860" spans="1:2" x14ac:dyDescent="0.25">
      <c r="A2860">
        <v>2860</v>
      </c>
      <c r="B2860" t="str">
        <f t="shared" si="44"/>
        <v>ବ</v>
      </c>
    </row>
    <row r="2861" spans="1:2" x14ac:dyDescent="0.25">
      <c r="A2861">
        <v>2861</v>
      </c>
      <c r="B2861" t="str">
        <f t="shared" si="44"/>
        <v>ଭ</v>
      </c>
    </row>
    <row r="2862" spans="1:2" x14ac:dyDescent="0.25">
      <c r="A2862">
        <v>2862</v>
      </c>
      <c r="B2862" t="str">
        <f t="shared" si="44"/>
        <v>ମ</v>
      </c>
    </row>
    <row r="2863" spans="1:2" x14ac:dyDescent="0.25">
      <c r="A2863">
        <v>2863</v>
      </c>
      <c r="B2863" t="str">
        <f t="shared" si="44"/>
        <v>ଯ</v>
      </c>
    </row>
    <row r="2864" spans="1:2" x14ac:dyDescent="0.25">
      <c r="A2864">
        <v>2864</v>
      </c>
      <c r="B2864" t="str">
        <f t="shared" si="44"/>
        <v>ର</v>
      </c>
    </row>
    <row r="2865" spans="1:2" x14ac:dyDescent="0.25">
      <c r="A2865">
        <v>2865</v>
      </c>
      <c r="B2865" t="str">
        <f t="shared" si="44"/>
        <v>଱</v>
      </c>
    </row>
    <row r="2866" spans="1:2" x14ac:dyDescent="0.25">
      <c r="A2866">
        <v>2866</v>
      </c>
      <c r="B2866" t="str">
        <f t="shared" si="44"/>
        <v>ଲ</v>
      </c>
    </row>
    <row r="2867" spans="1:2" x14ac:dyDescent="0.25">
      <c r="A2867">
        <v>2867</v>
      </c>
      <c r="B2867" t="str">
        <f t="shared" si="44"/>
        <v>ଳ</v>
      </c>
    </row>
    <row r="2868" spans="1:2" x14ac:dyDescent="0.25">
      <c r="A2868">
        <v>2868</v>
      </c>
      <c r="B2868" t="str">
        <f t="shared" si="44"/>
        <v>଴</v>
      </c>
    </row>
    <row r="2869" spans="1:2" x14ac:dyDescent="0.25">
      <c r="A2869">
        <v>2869</v>
      </c>
      <c r="B2869" t="str">
        <f t="shared" si="44"/>
        <v>ଵ</v>
      </c>
    </row>
    <row r="2870" spans="1:2" x14ac:dyDescent="0.25">
      <c r="A2870">
        <v>2870</v>
      </c>
      <c r="B2870" t="str">
        <f t="shared" si="44"/>
        <v>ଶ</v>
      </c>
    </row>
    <row r="2871" spans="1:2" x14ac:dyDescent="0.25">
      <c r="A2871">
        <v>2871</v>
      </c>
      <c r="B2871" t="str">
        <f t="shared" si="44"/>
        <v>ଷ</v>
      </c>
    </row>
    <row r="2872" spans="1:2" x14ac:dyDescent="0.25">
      <c r="A2872">
        <v>2872</v>
      </c>
      <c r="B2872" t="str">
        <f t="shared" si="44"/>
        <v>ସ</v>
      </c>
    </row>
    <row r="2873" spans="1:2" x14ac:dyDescent="0.25">
      <c r="A2873">
        <v>2873</v>
      </c>
      <c r="B2873" t="str">
        <f t="shared" si="44"/>
        <v>ହ</v>
      </c>
    </row>
    <row r="2874" spans="1:2" x14ac:dyDescent="0.25">
      <c r="A2874">
        <v>2874</v>
      </c>
      <c r="B2874" t="str">
        <f t="shared" si="44"/>
        <v>଺</v>
      </c>
    </row>
    <row r="2875" spans="1:2" x14ac:dyDescent="0.25">
      <c r="A2875">
        <v>2875</v>
      </c>
      <c r="B2875" t="str">
        <f t="shared" si="44"/>
        <v>଻</v>
      </c>
    </row>
    <row r="2876" spans="1:2" x14ac:dyDescent="0.25">
      <c r="A2876">
        <v>2876</v>
      </c>
      <c r="B2876" t="str">
        <f t="shared" si="44"/>
        <v>଼</v>
      </c>
    </row>
    <row r="2877" spans="1:2" x14ac:dyDescent="0.25">
      <c r="A2877">
        <v>2877</v>
      </c>
      <c r="B2877" t="str">
        <f t="shared" si="44"/>
        <v>ଽ</v>
      </c>
    </row>
    <row r="2878" spans="1:2" x14ac:dyDescent="0.25">
      <c r="A2878">
        <v>2878</v>
      </c>
      <c r="B2878" t="str">
        <f t="shared" si="44"/>
        <v>ା</v>
      </c>
    </row>
    <row r="2879" spans="1:2" x14ac:dyDescent="0.25">
      <c r="A2879">
        <v>2879</v>
      </c>
      <c r="B2879" t="str">
        <f t="shared" si="44"/>
        <v>ି</v>
      </c>
    </row>
    <row r="2880" spans="1:2" x14ac:dyDescent="0.25">
      <c r="A2880">
        <v>2880</v>
      </c>
      <c r="B2880" t="str">
        <f t="shared" si="44"/>
        <v>ୀ</v>
      </c>
    </row>
    <row r="2881" spans="1:2" x14ac:dyDescent="0.25">
      <c r="A2881">
        <v>2881</v>
      </c>
      <c r="B2881" t="str">
        <f t="shared" si="44"/>
        <v>ୁ</v>
      </c>
    </row>
    <row r="2882" spans="1:2" x14ac:dyDescent="0.25">
      <c r="A2882">
        <v>2882</v>
      </c>
      <c r="B2882" t="str">
        <f t="shared" ref="B2882:B2945" si="45">_xlfn.UNICHAR(A2882)</f>
        <v>ୂ</v>
      </c>
    </row>
    <row r="2883" spans="1:2" x14ac:dyDescent="0.25">
      <c r="A2883">
        <v>2883</v>
      </c>
      <c r="B2883" t="str">
        <f t="shared" si="45"/>
        <v>ୃ</v>
      </c>
    </row>
    <row r="2884" spans="1:2" x14ac:dyDescent="0.25">
      <c r="A2884">
        <v>2884</v>
      </c>
      <c r="B2884" t="str">
        <f t="shared" si="45"/>
        <v>ୄ</v>
      </c>
    </row>
    <row r="2885" spans="1:2" x14ac:dyDescent="0.25">
      <c r="A2885">
        <v>2885</v>
      </c>
      <c r="B2885" t="str">
        <f t="shared" si="45"/>
        <v>୅</v>
      </c>
    </row>
    <row r="2886" spans="1:2" x14ac:dyDescent="0.25">
      <c r="A2886">
        <v>2886</v>
      </c>
      <c r="B2886" t="str">
        <f t="shared" si="45"/>
        <v>୆</v>
      </c>
    </row>
    <row r="2887" spans="1:2" x14ac:dyDescent="0.25">
      <c r="A2887">
        <v>2887</v>
      </c>
      <c r="B2887" t="str">
        <f t="shared" si="45"/>
        <v>େ</v>
      </c>
    </row>
    <row r="2888" spans="1:2" x14ac:dyDescent="0.25">
      <c r="A2888">
        <v>2888</v>
      </c>
      <c r="B2888" t="str">
        <f t="shared" si="45"/>
        <v>ୈ</v>
      </c>
    </row>
    <row r="2889" spans="1:2" x14ac:dyDescent="0.25">
      <c r="A2889">
        <v>2889</v>
      </c>
      <c r="B2889" t="str">
        <f t="shared" si="45"/>
        <v>୉</v>
      </c>
    </row>
    <row r="2890" spans="1:2" x14ac:dyDescent="0.25">
      <c r="A2890">
        <v>2890</v>
      </c>
      <c r="B2890" t="str">
        <f t="shared" si="45"/>
        <v>୊</v>
      </c>
    </row>
    <row r="2891" spans="1:2" x14ac:dyDescent="0.25">
      <c r="A2891">
        <v>2891</v>
      </c>
      <c r="B2891" t="str">
        <f t="shared" si="45"/>
        <v>ୋ</v>
      </c>
    </row>
    <row r="2892" spans="1:2" x14ac:dyDescent="0.25">
      <c r="A2892">
        <v>2892</v>
      </c>
      <c r="B2892" t="str">
        <f t="shared" si="45"/>
        <v>ୌ</v>
      </c>
    </row>
    <row r="2893" spans="1:2" x14ac:dyDescent="0.25">
      <c r="A2893">
        <v>2893</v>
      </c>
      <c r="B2893" t="str">
        <f t="shared" si="45"/>
        <v>୍</v>
      </c>
    </row>
    <row r="2894" spans="1:2" x14ac:dyDescent="0.25">
      <c r="A2894">
        <v>2894</v>
      </c>
      <c r="B2894" t="str">
        <f t="shared" si="45"/>
        <v>୎</v>
      </c>
    </row>
    <row r="2895" spans="1:2" x14ac:dyDescent="0.25">
      <c r="A2895">
        <v>2895</v>
      </c>
      <c r="B2895" t="str">
        <f t="shared" si="45"/>
        <v>୏</v>
      </c>
    </row>
    <row r="2896" spans="1:2" x14ac:dyDescent="0.25">
      <c r="A2896">
        <v>2896</v>
      </c>
      <c r="B2896" t="str">
        <f t="shared" si="45"/>
        <v>୐</v>
      </c>
    </row>
    <row r="2897" spans="1:2" x14ac:dyDescent="0.25">
      <c r="A2897">
        <v>2897</v>
      </c>
      <c r="B2897" t="str">
        <f t="shared" si="45"/>
        <v>୑</v>
      </c>
    </row>
    <row r="2898" spans="1:2" x14ac:dyDescent="0.25">
      <c r="A2898">
        <v>2898</v>
      </c>
      <c r="B2898" t="str">
        <f t="shared" si="45"/>
        <v>୒</v>
      </c>
    </row>
    <row r="2899" spans="1:2" x14ac:dyDescent="0.25">
      <c r="A2899">
        <v>2899</v>
      </c>
      <c r="B2899" t="str">
        <f t="shared" si="45"/>
        <v>୓</v>
      </c>
    </row>
    <row r="2900" spans="1:2" x14ac:dyDescent="0.25">
      <c r="A2900">
        <v>2900</v>
      </c>
      <c r="B2900" t="str">
        <f t="shared" si="45"/>
        <v>୔</v>
      </c>
    </row>
    <row r="2901" spans="1:2" x14ac:dyDescent="0.25">
      <c r="A2901">
        <v>2901</v>
      </c>
      <c r="B2901" t="str">
        <f t="shared" si="45"/>
        <v>୕</v>
      </c>
    </row>
    <row r="2902" spans="1:2" x14ac:dyDescent="0.25">
      <c r="A2902">
        <v>2902</v>
      </c>
      <c r="B2902" t="str">
        <f t="shared" si="45"/>
        <v>ୖ</v>
      </c>
    </row>
    <row r="2903" spans="1:2" x14ac:dyDescent="0.25">
      <c r="A2903">
        <v>2903</v>
      </c>
      <c r="B2903" t="str">
        <f t="shared" si="45"/>
        <v>ୗ</v>
      </c>
    </row>
    <row r="2904" spans="1:2" x14ac:dyDescent="0.25">
      <c r="A2904">
        <v>2904</v>
      </c>
      <c r="B2904" t="str">
        <f t="shared" si="45"/>
        <v>୘</v>
      </c>
    </row>
    <row r="2905" spans="1:2" x14ac:dyDescent="0.25">
      <c r="A2905">
        <v>2905</v>
      </c>
      <c r="B2905" t="str">
        <f t="shared" si="45"/>
        <v>୙</v>
      </c>
    </row>
    <row r="2906" spans="1:2" x14ac:dyDescent="0.25">
      <c r="A2906">
        <v>2906</v>
      </c>
      <c r="B2906" t="str">
        <f t="shared" si="45"/>
        <v>୚</v>
      </c>
    </row>
    <row r="2907" spans="1:2" x14ac:dyDescent="0.25">
      <c r="A2907">
        <v>2907</v>
      </c>
      <c r="B2907" t="str">
        <f t="shared" si="45"/>
        <v>୛</v>
      </c>
    </row>
    <row r="2908" spans="1:2" x14ac:dyDescent="0.25">
      <c r="A2908">
        <v>2908</v>
      </c>
      <c r="B2908" t="str">
        <f t="shared" si="45"/>
        <v>ଡ଼</v>
      </c>
    </row>
    <row r="2909" spans="1:2" x14ac:dyDescent="0.25">
      <c r="A2909">
        <v>2909</v>
      </c>
      <c r="B2909" t="str">
        <f t="shared" si="45"/>
        <v>ଢ଼</v>
      </c>
    </row>
    <row r="2910" spans="1:2" x14ac:dyDescent="0.25">
      <c r="A2910">
        <v>2910</v>
      </c>
      <c r="B2910" t="str">
        <f t="shared" si="45"/>
        <v>୞</v>
      </c>
    </row>
    <row r="2911" spans="1:2" x14ac:dyDescent="0.25">
      <c r="A2911">
        <v>2911</v>
      </c>
      <c r="B2911" t="str">
        <f t="shared" si="45"/>
        <v>ୟ</v>
      </c>
    </row>
    <row r="2912" spans="1:2" x14ac:dyDescent="0.25">
      <c r="A2912">
        <v>2912</v>
      </c>
      <c r="B2912" t="str">
        <f t="shared" si="45"/>
        <v>ୠ</v>
      </c>
    </row>
    <row r="2913" spans="1:2" x14ac:dyDescent="0.25">
      <c r="A2913">
        <v>2913</v>
      </c>
      <c r="B2913" t="str">
        <f t="shared" si="45"/>
        <v>ୡ</v>
      </c>
    </row>
    <row r="2914" spans="1:2" x14ac:dyDescent="0.25">
      <c r="A2914">
        <v>2914</v>
      </c>
      <c r="B2914" t="str">
        <f t="shared" si="45"/>
        <v>ୢ</v>
      </c>
    </row>
    <row r="2915" spans="1:2" x14ac:dyDescent="0.25">
      <c r="A2915">
        <v>2915</v>
      </c>
      <c r="B2915" t="str">
        <f t="shared" si="45"/>
        <v>ୣ</v>
      </c>
    </row>
    <row r="2916" spans="1:2" x14ac:dyDescent="0.25">
      <c r="A2916">
        <v>2916</v>
      </c>
      <c r="B2916" t="str">
        <f t="shared" si="45"/>
        <v>୤</v>
      </c>
    </row>
    <row r="2917" spans="1:2" x14ac:dyDescent="0.25">
      <c r="A2917">
        <v>2917</v>
      </c>
      <c r="B2917" t="str">
        <f t="shared" si="45"/>
        <v>୥</v>
      </c>
    </row>
    <row r="2918" spans="1:2" x14ac:dyDescent="0.25">
      <c r="A2918">
        <v>2918</v>
      </c>
      <c r="B2918" t="str">
        <f t="shared" si="45"/>
        <v>୦</v>
      </c>
    </row>
    <row r="2919" spans="1:2" x14ac:dyDescent="0.25">
      <c r="A2919">
        <v>2919</v>
      </c>
      <c r="B2919" t="str">
        <f t="shared" si="45"/>
        <v>୧</v>
      </c>
    </row>
    <row r="2920" spans="1:2" x14ac:dyDescent="0.25">
      <c r="A2920">
        <v>2920</v>
      </c>
      <c r="B2920" t="str">
        <f t="shared" si="45"/>
        <v>୨</v>
      </c>
    </row>
    <row r="2921" spans="1:2" x14ac:dyDescent="0.25">
      <c r="A2921">
        <v>2921</v>
      </c>
      <c r="B2921" t="str">
        <f t="shared" si="45"/>
        <v>୩</v>
      </c>
    </row>
    <row r="2922" spans="1:2" x14ac:dyDescent="0.25">
      <c r="A2922">
        <v>2922</v>
      </c>
      <c r="B2922" t="str">
        <f t="shared" si="45"/>
        <v>୪</v>
      </c>
    </row>
    <row r="2923" spans="1:2" x14ac:dyDescent="0.25">
      <c r="A2923">
        <v>2923</v>
      </c>
      <c r="B2923" t="str">
        <f t="shared" si="45"/>
        <v>୫</v>
      </c>
    </row>
    <row r="2924" spans="1:2" x14ac:dyDescent="0.25">
      <c r="A2924">
        <v>2924</v>
      </c>
      <c r="B2924" t="str">
        <f t="shared" si="45"/>
        <v>୬</v>
      </c>
    </row>
    <row r="2925" spans="1:2" x14ac:dyDescent="0.25">
      <c r="A2925">
        <v>2925</v>
      </c>
      <c r="B2925" t="str">
        <f t="shared" si="45"/>
        <v>୭</v>
      </c>
    </row>
    <row r="2926" spans="1:2" x14ac:dyDescent="0.25">
      <c r="A2926">
        <v>2926</v>
      </c>
      <c r="B2926" t="str">
        <f t="shared" si="45"/>
        <v>୮</v>
      </c>
    </row>
    <row r="2927" spans="1:2" x14ac:dyDescent="0.25">
      <c r="A2927">
        <v>2927</v>
      </c>
      <c r="B2927" t="str">
        <f t="shared" si="45"/>
        <v>୯</v>
      </c>
    </row>
    <row r="2928" spans="1:2" x14ac:dyDescent="0.25">
      <c r="A2928">
        <v>2928</v>
      </c>
      <c r="B2928" t="str">
        <f t="shared" si="45"/>
        <v>୰</v>
      </c>
    </row>
    <row r="2929" spans="1:2" x14ac:dyDescent="0.25">
      <c r="A2929">
        <v>2929</v>
      </c>
      <c r="B2929" t="str">
        <f t="shared" si="45"/>
        <v>ୱ</v>
      </c>
    </row>
    <row r="2930" spans="1:2" x14ac:dyDescent="0.25">
      <c r="A2930">
        <v>2930</v>
      </c>
      <c r="B2930" t="str">
        <f t="shared" si="45"/>
        <v>୲</v>
      </c>
    </row>
    <row r="2931" spans="1:2" x14ac:dyDescent="0.25">
      <c r="A2931">
        <v>2931</v>
      </c>
      <c r="B2931" t="str">
        <f t="shared" si="45"/>
        <v>୳</v>
      </c>
    </row>
    <row r="2932" spans="1:2" x14ac:dyDescent="0.25">
      <c r="A2932">
        <v>2932</v>
      </c>
      <c r="B2932" t="str">
        <f t="shared" si="45"/>
        <v>୴</v>
      </c>
    </row>
    <row r="2933" spans="1:2" x14ac:dyDescent="0.25">
      <c r="A2933">
        <v>2933</v>
      </c>
      <c r="B2933" t="str">
        <f t="shared" si="45"/>
        <v>୵</v>
      </c>
    </row>
    <row r="2934" spans="1:2" x14ac:dyDescent="0.25">
      <c r="A2934">
        <v>2934</v>
      </c>
      <c r="B2934" t="str">
        <f t="shared" si="45"/>
        <v>୶</v>
      </c>
    </row>
    <row r="2935" spans="1:2" x14ac:dyDescent="0.25">
      <c r="A2935">
        <v>2935</v>
      </c>
      <c r="B2935" t="str">
        <f t="shared" si="45"/>
        <v>୷</v>
      </c>
    </row>
    <row r="2936" spans="1:2" x14ac:dyDescent="0.25">
      <c r="A2936">
        <v>2936</v>
      </c>
      <c r="B2936" t="str">
        <f t="shared" si="45"/>
        <v>୸</v>
      </c>
    </row>
    <row r="2937" spans="1:2" x14ac:dyDescent="0.25">
      <c r="A2937">
        <v>2937</v>
      </c>
      <c r="B2937" t="str">
        <f t="shared" si="45"/>
        <v>୹</v>
      </c>
    </row>
    <row r="2938" spans="1:2" x14ac:dyDescent="0.25">
      <c r="A2938">
        <v>2938</v>
      </c>
      <c r="B2938" t="str">
        <f t="shared" si="45"/>
        <v>୺</v>
      </c>
    </row>
    <row r="2939" spans="1:2" x14ac:dyDescent="0.25">
      <c r="A2939">
        <v>2939</v>
      </c>
      <c r="B2939" t="str">
        <f t="shared" si="45"/>
        <v>୻</v>
      </c>
    </row>
    <row r="2940" spans="1:2" x14ac:dyDescent="0.25">
      <c r="A2940">
        <v>2940</v>
      </c>
      <c r="B2940" t="str">
        <f t="shared" si="45"/>
        <v>୼</v>
      </c>
    </row>
    <row r="2941" spans="1:2" x14ac:dyDescent="0.25">
      <c r="A2941">
        <v>2941</v>
      </c>
      <c r="B2941" t="str">
        <f t="shared" si="45"/>
        <v>୽</v>
      </c>
    </row>
    <row r="2942" spans="1:2" x14ac:dyDescent="0.25">
      <c r="A2942">
        <v>2942</v>
      </c>
      <c r="B2942" t="str">
        <f t="shared" si="45"/>
        <v>୾</v>
      </c>
    </row>
    <row r="2943" spans="1:2" x14ac:dyDescent="0.25">
      <c r="A2943">
        <v>2943</v>
      </c>
      <c r="B2943" t="str">
        <f t="shared" si="45"/>
        <v>୿</v>
      </c>
    </row>
    <row r="2944" spans="1:2" x14ac:dyDescent="0.25">
      <c r="A2944">
        <v>2944</v>
      </c>
      <c r="B2944" t="str">
        <f t="shared" si="45"/>
        <v>஀</v>
      </c>
    </row>
    <row r="2945" spans="1:2" x14ac:dyDescent="0.25">
      <c r="A2945">
        <v>2945</v>
      </c>
      <c r="B2945" t="str">
        <f t="shared" si="45"/>
        <v>஁</v>
      </c>
    </row>
    <row r="2946" spans="1:2" x14ac:dyDescent="0.25">
      <c r="A2946">
        <v>2946</v>
      </c>
      <c r="B2946" t="str">
        <f t="shared" ref="B2946:B3009" si="46">_xlfn.UNICHAR(A2946)</f>
        <v>ஂ</v>
      </c>
    </row>
    <row r="2947" spans="1:2" x14ac:dyDescent="0.25">
      <c r="A2947">
        <v>2947</v>
      </c>
      <c r="B2947" t="str">
        <f t="shared" si="46"/>
        <v>ஃ</v>
      </c>
    </row>
    <row r="2948" spans="1:2" x14ac:dyDescent="0.25">
      <c r="A2948">
        <v>2948</v>
      </c>
      <c r="B2948" t="str">
        <f t="shared" si="46"/>
        <v>஄</v>
      </c>
    </row>
    <row r="2949" spans="1:2" x14ac:dyDescent="0.25">
      <c r="A2949">
        <v>2949</v>
      </c>
      <c r="B2949" t="str">
        <f t="shared" si="46"/>
        <v>அ</v>
      </c>
    </row>
    <row r="2950" spans="1:2" x14ac:dyDescent="0.25">
      <c r="A2950">
        <v>2950</v>
      </c>
      <c r="B2950" t="str">
        <f t="shared" si="46"/>
        <v>ஆ</v>
      </c>
    </row>
    <row r="2951" spans="1:2" x14ac:dyDescent="0.25">
      <c r="A2951">
        <v>2951</v>
      </c>
      <c r="B2951" t="str">
        <f t="shared" si="46"/>
        <v>இ</v>
      </c>
    </row>
    <row r="2952" spans="1:2" x14ac:dyDescent="0.25">
      <c r="A2952">
        <v>2952</v>
      </c>
      <c r="B2952" t="str">
        <f t="shared" si="46"/>
        <v>ஈ</v>
      </c>
    </row>
    <row r="2953" spans="1:2" x14ac:dyDescent="0.25">
      <c r="A2953">
        <v>2953</v>
      </c>
      <c r="B2953" t="str">
        <f t="shared" si="46"/>
        <v>உ</v>
      </c>
    </row>
    <row r="2954" spans="1:2" x14ac:dyDescent="0.25">
      <c r="A2954">
        <v>2954</v>
      </c>
      <c r="B2954" t="str">
        <f t="shared" si="46"/>
        <v>ஊ</v>
      </c>
    </row>
    <row r="2955" spans="1:2" x14ac:dyDescent="0.25">
      <c r="A2955">
        <v>2955</v>
      </c>
      <c r="B2955" t="str">
        <f t="shared" si="46"/>
        <v>஋</v>
      </c>
    </row>
    <row r="2956" spans="1:2" x14ac:dyDescent="0.25">
      <c r="A2956">
        <v>2956</v>
      </c>
      <c r="B2956" t="str">
        <f t="shared" si="46"/>
        <v>஌</v>
      </c>
    </row>
    <row r="2957" spans="1:2" x14ac:dyDescent="0.25">
      <c r="A2957">
        <v>2957</v>
      </c>
      <c r="B2957" t="str">
        <f t="shared" si="46"/>
        <v>஍</v>
      </c>
    </row>
    <row r="2958" spans="1:2" x14ac:dyDescent="0.25">
      <c r="A2958">
        <v>2958</v>
      </c>
      <c r="B2958" t="str">
        <f t="shared" si="46"/>
        <v>எ</v>
      </c>
    </row>
    <row r="2959" spans="1:2" x14ac:dyDescent="0.25">
      <c r="A2959">
        <v>2959</v>
      </c>
      <c r="B2959" t="str">
        <f t="shared" si="46"/>
        <v>ஏ</v>
      </c>
    </row>
    <row r="2960" spans="1:2" x14ac:dyDescent="0.25">
      <c r="A2960">
        <v>2960</v>
      </c>
      <c r="B2960" t="str">
        <f t="shared" si="46"/>
        <v>ஐ</v>
      </c>
    </row>
    <row r="2961" spans="1:2" x14ac:dyDescent="0.25">
      <c r="A2961">
        <v>2961</v>
      </c>
      <c r="B2961" t="str">
        <f t="shared" si="46"/>
        <v>஑</v>
      </c>
    </row>
    <row r="2962" spans="1:2" x14ac:dyDescent="0.25">
      <c r="A2962">
        <v>2962</v>
      </c>
      <c r="B2962" t="str">
        <f t="shared" si="46"/>
        <v>ஒ</v>
      </c>
    </row>
    <row r="2963" spans="1:2" x14ac:dyDescent="0.25">
      <c r="A2963">
        <v>2963</v>
      </c>
      <c r="B2963" t="str">
        <f t="shared" si="46"/>
        <v>ஓ</v>
      </c>
    </row>
    <row r="2964" spans="1:2" x14ac:dyDescent="0.25">
      <c r="A2964">
        <v>2964</v>
      </c>
      <c r="B2964" t="str">
        <f t="shared" si="46"/>
        <v>ஔ</v>
      </c>
    </row>
    <row r="2965" spans="1:2" x14ac:dyDescent="0.25">
      <c r="A2965">
        <v>2965</v>
      </c>
      <c r="B2965" t="str">
        <f t="shared" si="46"/>
        <v>க</v>
      </c>
    </row>
    <row r="2966" spans="1:2" x14ac:dyDescent="0.25">
      <c r="A2966">
        <v>2966</v>
      </c>
      <c r="B2966" t="str">
        <f t="shared" si="46"/>
        <v>஖</v>
      </c>
    </row>
    <row r="2967" spans="1:2" x14ac:dyDescent="0.25">
      <c r="A2967">
        <v>2967</v>
      </c>
      <c r="B2967" t="str">
        <f t="shared" si="46"/>
        <v>஗</v>
      </c>
    </row>
    <row r="2968" spans="1:2" x14ac:dyDescent="0.25">
      <c r="A2968">
        <v>2968</v>
      </c>
      <c r="B2968" t="str">
        <f t="shared" si="46"/>
        <v>஘</v>
      </c>
    </row>
    <row r="2969" spans="1:2" x14ac:dyDescent="0.25">
      <c r="A2969">
        <v>2969</v>
      </c>
      <c r="B2969" t="str">
        <f t="shared" si="46"/>
        <v>ங</v>
      </c>
    </row>
    <row r="2970" spans="1:2" x14ac:dyDescent="0.25">
      <c r="A2970">
        <v>2970</v>
      </c>
      <c r="B2970" t="str">
        <f t="shared" si="46"/>
        <v>ச</v>
      </c>
    </row>
    <row r="2971" spans="1:2" x14ac:dyDescent="0.25">
      <c r="A2971">
        <v>2971</v>
      </c>
      <c r="B2971" t="str">
        <f t="shared" si="46"/>
        <v>஛</v>
      </c>
    </row>
    <row r="2972" spans="1:2" x14ac:dyDescent="0.25">
      <c r="A2972">
        <v>2972</v>
      </c>
      <c r="B2972" t="str">
        <f t="shared" si="46"/>
        <v>ஜ</v>
      </c>
    </row>
    <row r="2973" spans="1:2" x14ac:dyDescent="0.25">
      <c r="A2973">
        <v>2973</v>
      </c>
      <c r="B2973" t="str">
        <f t="shared" si="46"/>
        <v>஝</v>
      </c>
    </row>
    <row r="2974" spans="1:2" x14ac:dyDescent="0.25">
      <c r="A2974">
        <v>2974</v>
      </c>
      <c r="B2974" t="str">
        <f t="shared" si="46"/>
        <v>ஞ</v>
      </c>
    </row>
    <row r="2975" spans="1:2" x14ac:dyDescent="0.25">
      <c r="A2975">
        <v>2975</v>
      </c>
      <c r="B2975" t="str">
        <f t="shared" si="46"/>
        <v>ட</v>
      </c>
    </row>
    <row r="2976" spans="1:2" x14ac:dyDescent="0.25">
      <c r="A2976">
        <v>2976</v>
      </c>
      <c r="B2976" t="str">
        <f t="shared" si="46"/>
        <v>஠</v>
      </c>
    </row>
    <row r="2977" spans="1:2" x14ac:dyDescent="0.25">
      <c r="A2977">
        <v>2977</v>
      </c>
      <c r="B2977" t="str">
        <f t="shared" si="46"/>
        <v>஡</v>
      </c>
    </row>
    <row r="2978" spans="1:2" x14ac:dyDescent="0.25">
      <c r="A2978">
        <v>2978</v>
      </c>
      <c r="B2978" t="str">
        <f t="shared" si="46"/>
        <v>஢</v>
      </c>
    </row>
    <row r="2979" spans="1:2" x14ac:dyDescent="0.25">
      <c r="A2979">
        <v>2979</v>
      </c>
      <c r="B2979" t="str">
        <f t="shared" si="46"/>
        <v>ண</v>
      </c>
    </row>
    <row r="2980" spans="1:2" x14ac:dyDescent="0.25">
      <c r="A2980">
        <v>2980</v>
      </c>
      <c r="B2980" t="str">
        <f t="shared" si="46"/>
        <v>த</v>
      </c>
    </row>
    <row r="2981" spans="1:2" x14ac:dyDescent="0.25">
      <c r="A2981">
        <v>2981</v>
      </c>
      <c r="B2981" t="str">
        <f t="shared" si="46"/>
        <v>஥</v>
      </c>
    </row>
    <row r="2982" spans="1:2" x14ac:dyDescent="0.25">
      <c r="A2982">
        <v>2982</v>
      </c>
      <c r="B2982" t="str">
        <f t="shared" si="46"/>
        <v>஦</v>
      </c>
    </row>
    <row r="2983" spans="1:2" x14ac:dyDescent="0.25">
      <c r="A2983">
        <v>2983</v>
      </c>
      <c r="B2983" t="str">
        <f t="shared" si="46"/>
        <v>஧</v>
      </c>
    </row>
    <row r="2984" spans="1:2" x14ac:dyDescent="0.25">
      <c r="A2984">
        <v>2984</v>
      </c>
      <c r="B2984" t="str">
        <f t="shared" si="46"/>
        <v>ந</v>
      </c>
    </row>
    <row r="2985" spans="1:2" x14ac:dyDescent="0.25">
      <c r="A2985">
        <v>2985</v>
      </c>
      <c r="B2985" t="str">
        <f t="shared" si="46"/>
        <v>ன</v>
      </c>
    </row>
    <row r="2986" spans="1:2" x14ac:dyDescent="0.25">
      <c r="A2986">
        <v>2986</v>
      </c>
      <c r="B2986" t="str">
        <f t="shared" si="46"/>
        <v>ப</v>
      </c>
    </row>
    <row r="2987" spans="1:2" x14ac:dyDescent="0.25">
      <c r="A2987">
        <v>2987</v>
      </c>
      <c r="B2987" t="str">
        <f t="shared" si="46"/>
        <v>஫</v>
      </c>
    </row>
    <row r="2988" spans="1:2" x14ac:dyDescent="0.25">
      <c r="A2988">
        <v>2988</v>
      </c>
      <c r="B2988" t="str">
        <f t="shared" si="46"/>
        <v>஬</v>
      </c>
    </row>
    <row r="2989" spans="1:2" x14ac:dyDescent="0.25">
      <c r="A2989">
        <v>2989</v>
      </c>
      <c r="B2989" t="str">
        <f t="shared" si="46"/>
        <v>஭</v>
      </c>
    </row>
    <row r="2990" spans="1:2" x14ac:dyDescent="0.25">
      <c r="A2990">
        <v>2990</v>
      </c>
      <c r="B2990" t="str">
        <f t="shared" si="46"/>
        <v>ம</v>
      </c>
    </row>
    <row r="2991" spans="1:2" x14ac:dyDescent="0.25">
      <c r="A2991">
        <v>2991</v>
      </c>
      <c r="B2991" t="str">
        <f t="shared" si="46"/>
        <v>ய</v>
      </c>
    </row>
    <row r="2992" spans="1:2" x14ac:dyDescent="0.25">
      <c r="A2992">
        <v>2992</v>
      </c>
      <c r="B2992" t="str">
        <f t="shared" si="46"/>
        <v>ர</v>
      </c>
    </row>
    <row r="2993" spans="1:2" x14ac:dyDescent="0.25">
      <c r="A2993">
        <v>2993</v>
      </c>
      <c r="B2993" t="str">
        <f t="shared" si="46"/>
        <v>ற</v>
      </c>
    </row>
    <row r="2994" spans="1:2" x14ac:dyDescent="0.25">
      <c r="A2994">
        <v>2994</v>
      </c>
      <c r="B2994" t="str">
        <f t="shared" si="46"/>
        <v>ல</v>
      </c>
    </row>
    <row r="2995" spans="1:2" x14ac:dyDescent="0.25">
      <c r="A2995">
        <v>2995</v>
      </c>
      <c r="B2995" t="str">
        <f t="shared" si="46"/>
        <v>ள</v>
      </c>
    </row>
    <row r="2996" spans="1:2" x14ac:dyDescent="0.25">
      <c r="A2996">
        <v>2996</v>
      </c>
      <c r="B2996" t="str">
        <f t="shared" si="46"/>
        <v>ழ</v>
      </c>
    </row>
    <row r="2997" spans="1:2" x14ac:dyDescent="0.25">
      <c r="A2997">
        <v>2997</v>
      </c>
      <c r="B2997" t="str">
        <f t="shared" si="46"/>
        <v>வ</v>
      </c>
    </row>
    <row r="2998" spans="1:2" x14ac:dyDescent="0.25">
      <c r="A2998">
        <v>2998</v>
      </c>
      <c r="B2998" t="str">
        <f t="shared" si="46"/>
        <v>ஶ</v>
      </c>
    </row>
    <row r="2999" spans="1:2" x14ac:dyDescent="0.25">
      <c r="A2999">
        <v>2999</v>
      </c>
      <c r="B2999" t="str">
        <f t="shared" si="46"/>
        <v>ஷ</v>
      </c>
    </row>
    <row r="3000" spans="1:2" x14ac:dyDescent="0.25">
      <c r="A3000">
        <v>3000</v>
      </c>
      <c r="B3000" t="str">
        <f t="shared" si="46"/>
        <v>ஸ</v>
      </c>
    </row>
    <row r="3001" spans="1:2" x14ac:dyDescent="0.25">
      <c r="A3001">
        <v>3001</v>
      </c>
      <c r="B3001" t="str">
        <f t="shared" si="46"/>
        <v>ஹ</v>
      </c>
    </row>
    <row r="3002" spans="1:2" x14ac:dyDescent="0.25">
      <c r="A3002">
        <v>3002</v>
      </c>
      <c r="B3002" t="str">
        <f t="shared" si="46"/>
        <v>஺</v>
      </c>
    </row>
    <row r="3003" spans="1:2" x14ac:dyDescent="0.25">
      <c r="A3003">
        <v>3003</v>
      </c>
      <c r="B3003" t="str">
        <f t="shared" si="46"/>
        <v>஻</v>
      </c>
    </row>
    <row r="3004" spans="1:2" x14ac:dyDescent="0.25">
      <c r="A3004">
        <v>3004</v>
      </c>
      <c r="B3004" t="str">
        <f t="shared" si="46"/>
        <v>஼</v>
      </c>
    </row>
    <row r="3005" spans="1:2" x14ac:dyDescent="0.25">
      <c r="A3005">
        <v>3005</v>
      </c>
      <c r="B3005" t="str">
        <f t="shared" si="46"/>
        <v>஽</v>
      </c>
    </row>
    <row r="3006" spans="1:2" x14ac:dyDescent="0.25">
      <c r="A3006">
        <v>3006</v>
      </c>
      <c r="B3006" t="str">
        <f t="shared" si="46"/>
        <v>ா</v>
      </c>
    </row>
    <row r="3007" spans="1:2" x14ac:dyDescent="0.25">
      <c r="A3007">
        <v>3007</v>
      </c>
      <c r="B3007" t="str">
        <f t="shared" si="46"/>
        <v>ி</v>
      </c>
    </row>
    <row r="3008" spans="1:2" x14ac:dyDescent="0.25">
      <c r="A3008">
        <v>3008</v>
      </c>
      <c r="B3008" t="str">
        <f t="shared" si="46"/>
        <v>ீ</v>
      </c>
    </row>
    <row r="3009" spans="1:2" x14ac:dyDescent="0.25">
      <c r="A3009">
        <v>3009</v>
      </c>
      <c r="B3009" t="str">
        <f t="shared" si="46"/>
        <v>ு</v>
      </c>
    </row>
    <row r="3010" spans="1:2" x14ac:dyDescent="0.25">
      <c r="A3010">
        <v>3010</v>
      </c>
      <c r="B3010" t="str">
        <f t="shared" ref="B3010:B3073" si="47">_xlfn.UNICHAR(A3010)</f>
        <v>ூ</v>
      </c>
    </row>
    <row r="3011" spans="1:2" x14ac:dyDescent="0.25">
      <c r="A3011">
        <v>3011</v>
      </c>
      <c r="B3011" t="str">
        <f t="shared" si="47"/>
        <v>௃</v>
      </c>
    </row>
    <row r="3012" spans="1:2" x14ac:dyDescent="0.25">
      <c r="A3012">
        <v>3012</v>
      </c>
      <c r="B3012" t="str">
        <f t="shared" si="47"/>
        <v>௄</v>
      </c>
    </row>
    <row r="3013" spans="1:2" x14ac:dyDescent="0.25">
      <c r="A3013">
        <v>3013</v>
      </c>
      <c r="B3013" t="str">
        <f t="shared" si="47"/>
        <v>௅</v>
      </c>
    </row>
    <row r="3014" spans="1:2" x14ac:dyDescent="0.25">
      <c r="A3014">
        <v>3014</v>
      </c>
      <c r="B3014" t="str">
        <f t="shared" si="47"/>
        <v>ெ</v>
      </c>
    </row>
    <row r="3015" spans="1:2" x14ac:dyDescent="0.25">
      <c r="A3015">
        <v>3015</v>
      </c>
      <c r="B3015" t="str">
        <f t="shared" si="47"/>
        <v>ே</v>
      </c>
    </row>
    <row r="3016" spans="1:2" x14ac:dyDescent="0.25">
      <c r="A3016">
        <v>3016</v>
      </c>
      <c r="B3016" t="str">
        <f t="shared" si="47"/>
        <v>ை</v>
      </c>
    </row>
    <row r="3017" spans="1:2" x14ac:dyDescent="0.25">
      <c r="A3017">
        <v>3017</v>
      </c>
      <c r="B3017" t="str">
        <f t="shared" si="47"/>
        <v>௉</v>
      </c>
    </row>
    <row r="3018" spans="1:2" x14ac:dyDescent="0.25">
      <c r="A3018">
        <v>3018</v>
      </c>
      <c r="B3018" t="str">
        <f t="shared" si="47"/>
        <v>ொ</v>
      </c>
    </row>
    <row r="3019" spans="1:2" x14ac:dyDescent="0.25">
      <c r="A3019">
        <v>3019</v>
      </c>
      <c r="B3019" t="str">
        <f t="shared" si="47"/>
        <v>ோ</v>
      </c>
    </row>
    <row r="3020" spans="1:2" x14ac:dyDescent="0.25">
      <c r="A3020">
        <v>3020</v>
      </c>
      <c r="B3020" t="str">
        <f t="shared" si="47"/>
        <v>ௌ</v>
      </c>
    </row>
    <row r="3021" spans="1:2" x14ac:dyDescent="0.25">
      <c r="A3021">
        <v>3021</v>
      </c>
      <c r="B3021" t="str">
        <f t="shared" si="47"/>
        <v>்</v>
      </c>
    </row>
    <row r="3022" spans="1:2" x14ac:dyDescent="0.25">
      <c r="A3022">
        <v>3022</v>
      </c>
      <c r="B3022" t="str">
        <f t="shared" si="47"/>
        <v>௎</v>
      </c>
    </row>
    <row r="3023" spans="1:2" x14ac:dyDescent="0.25">
      <c r="A3023">
        <v>3023</v>
      </c>
      <c r="B3023" t="str">
        <f t="shared" si="47"/>
        <v>௏</v>
      </c>
    </row>
    <row r="3024" spans="1:2" x14ac:dyDescent="0.25">
      <c r="A3024">
        <v>3024</v>
      </c>
      <c r="B3024" t="str">
        <f t="shared" si="47"/>
        <v>ௐ</v>
      </c>
    </row>
    <row r="3025" spans="1:2" x14ac:dyDescent="0.25">
      <c r="A3025">
        <v>3025</v>
      </c>
      <c r="B3025" t="str">
        <f t="shared" si="47"/>
        <v>௑</v>
      </c>
    </row>
    <row r="3026" spans="1:2" x14ac:dyDescent="0.25">
      <c r="A3026">
        <v>3026</v>
      </c>
      <c r="B3026" t="str">
        <f t="shared" si="47"/>
        <v>௒</v>
      </c>
    </row>
    <row r="3027" spans="1:2" x14ac:dyDescent="0.25">
      <c r="A3027">
        <v>3027</v>
      </c>
      <c r="B3027" t="str">
        <f t="shared" si="47"/>
        <v>௓</v>
      </c>
    </row>
    <row r="3028" spans="1:2" x14ac:dyDescent="0.25">
      <c r="A3028">
        <v>3028</v>
      </c>
      <c r="B3028" t="str">
        <f t="shared" si="47"/>
        <v>௔</v>
      </c>
    </row>
    <row r="3029" spans="1:2" x14ac:dyDescent="0.25">
      <c r="A3029">
        <v>3029</v>
      </c>
      <c r="B3029" t="str">
        <f t="shared" si="47"/>
        <v>௕</v>
      </c>
    </row>
    <row r="3030" spans="1:2" x14ac:dyDescent="0.25">
      <c r="A3030">
        <v>3030</v>
      </c>
      <c r="B3030" t="str">
        <f t="shared" si="47"/>
        <v>௖</v>
      </c>
    </row>
    <row r="3031" spans="1:2" x14ac:dyDescent="0.25">
      <c r="A3031">
        <v>3031</v>
      </c>
      <c r="B3031" t="str">
        <f t="shared" si="47"/>
        <v>ௗ</v>
      </c>
    </row>
    <row r="3032" spans="1:2" x14ac:dyDescent="0.25">
      <c r="A3032">
        <v>3032</v>
      </c>
      <c r="B3032" t="str">
        <f t="shared" si="47"/>
        <v>௘</v>
      </c>
    </row>
    <row r="3033" spans="1:2" x14ac:dyDescent="0.25">
      <c r="A3033">
        <v>3033</v>
      </c>
      <c r="B3033" t="str">
        <f t="shared" si="47"/>
        <v>௙</v>
      </c>
    </row>
    <row r="3034" spans="1:2" x14ac:dyDescent="0.25">
      <c r="A3034">
        <v>3034</v>
      </c>
      <c r="B3034" t="str">
        <f t="shared" si="47"/>
        <v>௚</v>
      </c>
    </row>
    <row r="3035" spans="1:2" x14ac:dyDescent="0.25">
      <c r="A3035">
        <v>3035</v>
      </c>
      <c r="B3035" t="str">
        <f t="shared" si="47"/>
        <v>௛</v>
      </c>
    </row>
    <row r="3036" spans="1:2" x14ac:dyDescent="0.25">
      <c r="A3036">
        <v>3036</v>
      </c>
      <c r="B3036" t="str">
        <f t="shared" si="47"/>
        <v>௜</v>
      </c>
    </row>
    <row r="3037" spans="1:2" x14ac:dyDescent="0.25">
      <c r="A3037">
        <v>3037</v>
      </c>
      <c r="B3037" t="str">
        <f t="shared" si="47"/>
        <v>௝</v>
      </c>
    </row>
    <row r="3038" spans="1:2" x14ac:dyDescent="0.25">
      <c r="A3038">
        <v>3038</v>
      </c>
      <c r="B3038" t="str">
        <f t="shared" si="47"/>
        <v>௞</v>
      </c>
    </row>
    <row r="3039" spans="1:2" x14ac:dyDescent="0.25">
      <c r="A3039">
        <v>3039</v>
      </c>
      <c r="B3039" t="str">
        <f t="shared" si="47"/>
        <v>௟</v>
      </c>
    </row>
    <row r="3040" spans="1:2" x14ac:dyDescent="0.25">
      <c r="A3040">
        <v>3040</v>
      </c>
      <c r="B3040" t="str">
        <f t="shared" si="47"/>
        <v>௠</v>
      </c>
    </row>
    <row r="3041" spans="1:2" x14ac:dyDescent="0.25">
      <c r="A3041">
        <v>3041</v>
      </c>
      <c r="B3041" t="str">
        <f t="shared" si="47"/>
        <v>௡</v>
      </c>
    </row>
    <row r="3042" spans="1:2" x14ac:dyDescent="0.25">
      <c r="A3042">
        <v>3042</v>
      </c>
      <c r="B3042" t="str">
        <f t="shared" si="47"/>
        <v>௢</v>
      </c>
    </row>
    <row r="3043" spans="1:2" x14ac:dyDescent="0.25">
      <c r="A3043">
        <v>3043</v>
      </c>
      <c r="B3043" t="str">
        <f t="shared" si="47"/>
        <v>௣</v>
      </c>
    </row>
    <row r="3044" spans="1:2" x14ac:dyDescent="0.25">
      <c r="A3044">
        <v>3044</v>
      </c>
      <c r="B3044" t="str">
        <f t="shared" si="47"/>
        <v>௤</v>
      </c>
    </row>
    <row r="3045" spans="1:2" x14ac:dyDescent="0.25">
      <c r="A3045">
        <v>3045</v>
      </c>
      <c r="B3045" t="str">
        <f t="shared" si="47"/>
        <v>௥</v>
      </c>
    </row>
    <row r="3046" spans="1:2" x14ac:dyDescent="0.25">
      <c r="A3046">
        <v>3046</v>
      </c>
      <c r="B3046" t="str">
        <f t="shared" si="47"/>
        <v>௦</v>
      </c>
    </row>
    <row r="3047" spans="1:2" x14ac:dyDescent="0.25">
      <c r="A3047">
        <v>3047</v>
      </c>
      <c r="B3047" t="str">
        <f t="shared" si="47"/>
        <v>௧</v>
      </c>
    </row>
    <row r="3048" spans="1:2" x14ac:dyDescent="0.25">
      <c r="A3048">
        <v>3048</v>
      </c>
      <c r="B3048" t="str">
        <f t="shared" si="47"/>
        <v>௨</v>
      </c>
    </row>
    <row r="3049" spans="1:2" x14ac:dyDescent="0.25">
      <c r="A3049">
        <v>3049</v>
      </c>
      <c r="B3049" t="str">
        <f t="shared" si="47"/>
        <v>௩</v>
      </c>
    </row>
    <row r="3050" spans="1:2" x14ac:dyDescent="0.25">
      <c r="A3050">
        <v>3050</v>
      </c>
      <c r="B3050" t="str">
        <f t="shared" si="47"/>
        <v>௪</v>
      </c>
    </row>
    <row r="3051" spans="1:2" x14ac:dyDescent="0.25">
      <c r="A3051">
        <v>3051</v>
      </c>
      <c r="B3051" t="str">
        <f t="shared" si="47"/>
        <v>௫</v>
      </c>
    </row>
    <row r="3052" spans="1:2" x14ac:dyDescent="0.25">
      <c r="A3052">
        <v>3052</v>
      </c>
      <c r="B3052" t="str">
        <f t="shared" si="47"/>
        <v>௬</v>
      </c>
    </row>
    <row r="3053" spans="1:2" x14ac:dyDescent="0.25">
      <c r="A3053">
        <v>3053</v>
      </c>
      <c r="B3053" t="str">
        <f t="shared" si="47"/>
        <v>௭</v>
      </c>
    </row>
    <row r="3054" spans="1:2" x14ac:dyDescent="0.25">
      <c r="A3054">
        <v>3054</v>
      </c>
      <c r="B3054" t="str">
        <f t="shared" si="47"/>
        <v>௮</v>
      </c>
    </row>
    <row r="3055" spans="1:2" x14ac:dyDescent="0.25">
      <c r="A3055">
        <v>3055</v>
      </c>
      <c r="B3055" t="str">
        <f t="shared" si="47"/>
        <v>௯</v>
      </c>
    </row>
    <row r="3056" spans="1:2" x14ac:dyDescent="0.25">
      <c r="A3056">
        <v>3056</v>
      </c>
      <c r="B3056" t="str">
        <f t="shared" si="47"/>
        <v>௰</v>
      </c>
    </row>
    <row r="3057" spans="1:2" x14ac:dyDescent="0.25">
      <c r="A3057">
        <v>3057</v>
      </c>
      <c r="B3057" t="str">
        <f t="shared" si="47"/>
        <v>௱</v>
      </c>
    </row>
    <row r="3058" spans="1:2" x14ac:dyDescent="0.25">
      <c r="A3058">
        <v>3058</v>
      </c>
      <c r="B3058" t="str">
        <f t="shared" si="47"/>
        <v>௲</v>
      </c>
    </row>
    <row r="3059" spans="1:2" x14ac:dyDescent="0.25">
      <c r="A3059">
        <v>3059</v>
      </c>
      <c r="B3059" t="str">
        <f t="shared" si="47"/>
        <v>௳</v>
      </c>
    </row>
    <row r="3060" spans="1:2" x14ac:dyDescent="0.25">
      <c r="A3060">
        <v>3060</v>
      </c>
      <c r="B3060" t="str">
        <f t="shared" si="47"/>
        <v>௴</v>
      </c>
    </row>
    <row r="3061" spans="1:2" x14ac:dyDescent="0.25">
      <c r="A3061">
        <v>3061</v>
      </c>
      <c r="B3061" t="str">
        <f t="shared" si="47"/>
        <v>௵</v>
      </c>
    </row>
    <row r="3062" spans="1:2" x14ac:dyDescent="0.25">
      <c r="A3062">
        <v>3062</v>
      </c>
      <c r="B3062" t="str">
        <f t="shared" si="47"/>
        <v>௶</v>
      </c>
    </row>
    <row r="3063" spans="1:2" x14ac:dyDescent="0.25">
      <c r="A3063">
        <v>3063</v>
      </c>
      <c r="B3063" t="str">
        <f t="shared" si="47"/>
        <v>௷</v>
      </c>
    </row>
    <row r="3064" spans="1:2" x14ac:dyDescent="0.25">
      <c r="A3064">
        <v>3064</v>
      </c>
      <c r="B3064" t="str">
        <f t="shared" si="47"/>
        <v>௸</v>
      </c>
    </row>
    <row r="3065" spans="1:2" x14ac:dyDescent="0.25">
      <c r="A3065">
        <v>3065</v>
      </c>
      <c r="B3065" t="str">
        <f t="shared" si="47"/>
        <v>௹</v>
      </c>
    </row>
    <row r="3066" spans="1:2" x14ac:dyDescent="0.25">
      <c r="A3066">
        <v>3066</v>
      </c>
      <c r="B3066" t="str">
        <f t="shared" si="47"/>
        <v>௺</v>
      </c>
    </row>
    <row r="3067" spans="1:2" x14ac:dyDescent="0.25">
      <c r="A3067">
        <v>3067</v>
      </c>
      <c r="B3067" t="str">
        <f t="shared" si="47"/>
        <v>௻</v>
      </c>
    </row>
    <row r="3068" spans="1:2" x14ac:dyDescent="0.25">
      <c r="A3068">
        <v>3068</v>
      </c>
      <c r="B3068" t="str">
        <f t="shared" si="47"/>
        <v>௼</v>
      </c>
    </row>
    <row r="3069" spans="1:2" x14ac:dyDescent="0.25">
      <c r="A3069">
        <v>3069</v>
      </c>
      <c r="B3069" t="str">
        <f t="shared" si="47"/>
        <v>௽</v>
      </c>
    </row>
    <row r="3070" spans="1:2" x14ac:dyDescent="0.25">
      <c r="A3070">
        <v>3070</v>
      </c>
      <c r="B3070" t="str">
        <f t="shared" si="47"/>
        <v>௾</v>
      </c>
    </row>
    <row r="3071" spans="1:2" x14ac:dyDescent="0.25">
      <c r="A3071">
        <v>3071</v>
      </c>
      <c r="B3071" t="str">
        <f t="shared" si="47"/>
        <v>௿</v>
      </c>
    </row>
    <row r="3072" spans="1:2" x14ac:dyDescent="0.25">
      <c r="A3072">
        <v>3072</v>
      </c>
      <c r="B3072" t="str">
        <f t="shared" si="47"/>
        <v>ఀ</v>
      </c>
    </row>
    <row r="3073" spans="1:2" x14ac:dyDescent="0.25">
      <c r="A3073">
        <v>3073</v>
      </c>
      <c r="B3073" t="str">
        <f t="shared" si="47"/>
        <v>ఁ</v>
      </c>
    </row>
    <row r="3074" spans="1:2" x14ac:dyDescent="0.25">
      <c r="A3074">
        <v>3074</v>
      </c>
      <c r="B3074" t="str">
        <f t="shared" ref="B3074:B3137" si="48">_xlfn.UNICHAR(A3074)</f>
        <v>ం</v>
      </c>
    </row>
    <row r="3075" spans="1:2" x14ac:dyDescent="0.25">
      <c r="A3075">
        <v>3075</v>
      </c>
      <c r="B3075" t="str">
        <f t="shared" si="48"/>
        <v>ః</v>
      </c>
    </row>
    <row r="3076" spans="1:2" x14ac:dyDescent="0.25">
      <c r="A3076">
        <v>3076</v>
      </c>
      <c r="B3076" t="str">
        <f t="shared" si="48"/>
        <v>ఄ</v>
      </c>
    </row>
    <row r="3077" spans="1:2" x14ac:dyDescent="0.25">
      <c r="A3077">
        <v>3077</v>
      </c>
      <c r="B3077" t="str">
        <f t="shared" si="48"/>
        <v>అ</v>
      </c>
    </row>
    <row r="3078" spans="1:2" x14ac:dyDescent="0.25">
      <c r="A3078">
        <v>3078</v>
      </c>
      <c r="B3078" t="str">
        <f t="shared" si="48"/>
        <v>ఆ</v>
      </c>
    </row>
    <row r="3079" spans="1:2" x14ac:dyDescent="0.25">
      <c r="A3079">
        <v>3079</v>
      </c>
      <c r="B3079" t="str">
        <f t="shared" si="48"/>
        <v>ఇ</v>
      </c>
    </row>
    <row r="3080" spans="1:2" x14ac:dyDescent="0.25">
      <c r="A3080">
        <v>3080</v>
      </c>
      <c r="B3080" t="str">
        <f t="shared" si="48"/>
        <v>ఈ</v>
      </c>
    </row>
    <row r="3081" spans="1:2" x14ac:dyDescent="0.25">
      <c r="A3081">
        <v>3081</v>
      </c>
      <c r="B3081" t="str">
        <f t="shared" si="48"/>
        <v>ఉ</v>
      </c>
    </row>
    <row r="3082" spans="1:2" x14ac:dyDescent="0.25">
      <c r="A3082">
        <v>3082</v>
      </c>
      <c r="B3082" t="str">
        <f t="shared" si="48"/>
        <v>ఊ</v>
      </c>
    </row>
    <row r="3083" spans="1:2" x14ac:dyDescent="0.25">
      <c r="A3083">
        <v>3083</v>
      </c>
      <c r="B3083" t="str">
        <f t="shared" si="48"/>
        <v>ఋ</v>
      </c>
    </row>
    <row r="3084" spans="1:2" x14ac:dyDescent="0.25">
      <c r="A3084">
        <v>3084</v>
      </c>
      <c r="B3084" t="str">
        <f t="shared" si="48"/>
        <v>ఌ</v>
      </c>
    </row>
    <row r="3085" spans="1:2" x14ac:dyDescent="0.25">
      <c r="A3085">
        <v>3085</v>
      </c>
      <c r="B3085" t="str">
        <f t="shared" si="48"/>
        <v>఍</v>
      </c>
    </row>
    <row r="3086" spans="1:2" x14ac:dyDescent="0.25">
      <c r="A3086">
        <v>3086</v>
      </c>
      <c r="B3086" t="str">
        <f t="shared" si="48"/>
        <v>ఎ</v>
      </c>
    </row>
    <row r="3087" spans="1:2" x14ac:dyDescent="0.25">
      <c r="A3087">
        <v>3087</v>
      </c>
      <c r="B3087" t="str">
        <f t="shared" si="48"/>
        <v>ఏ</v>
      </c>
    </row>
    <row r="3088" spans="1:2" x14ac:dyDescent="0.25">
      <c r="A3088">
        <v>3088</v>
      </c>
      <c r="B3088" t="str">
        <f t="shared" si="48"/>
        <v>ఐ</v>
      </c>
    </row>
    <row r="3089" spans="1:2" x14ac:dyDescent="0.25">
      <c r="A3089">
        <v>3089</v>
      </c>
      <c r="B3089" t="str">
        <f t="shared" si="48"/>
        <v>఑</v>
      </c>
    </row>
    <row r="3090" spans="1:2" x14ac:dyDescent="0.25">
      <c r="A3090">
        <v>3090</v>
      </c>
      <c r="B3090" t="str">
        <f t="shared" si="48"/>
        <v>ఒ</v>
      </c>
    </row>
    <row r="3091" spans="1:2" x14ac:dyDescent="0.25">
      <c r="A3091">
        <v>3091</v>
      </c>
      <c r="B3091" t="str">
        <f t="shared" si="48"/>
        <v>ఓ</v>
      </c>
    </row>
    <row r="3092" spans="1:2" x14ac:dyDescent="0.25">
      <c r="A3092">
        <v>3092</v>
      </c>
      <c r="B3092" t="str">
        <f t="shared" si="48"/>
        <v>ఔ</v>
      </c>
    </row>
    <row r="3093" spans="1:2" x14ac:dyDescent="0.25">
      <c r="A3093">
        <v>3093</v>
      </c>
      <c r="B3093" t="str">
        <f t="shared" si="48"/>
        <v>క</v>
      </c>
    </row>
    <row r="3094" spans="1:2" x14ac:dyDescent="0.25">
      <c r="A3094">
        <v>3094</v>
      </c>
      <c r="B3094" t="str">
        <f t="shared" si="48"/>
        <v>ఖ</v>
      </c>
    </row>
    <row r="3095" spans="1:2" x14ac:dyDescent="0.25">
      <c r="A3095">
        <v>3095</v>
      </c>
      <c r="B3095" t="str">
        <f t="shared" si="48"/>
        <v>గ</v>
      </c>
    </row>
    <row r="3096" spans="1:2" x14ac:dyDescent="0.25">
      <c r="A3096">
        <v>3096</v>
      </c>
      <c r="B3096" t="str">
        <f t="shared" si="48"/>
        <v>ఘ</v>
      </c>
    </row>
    <row r="3097" spans="1:2" x14ac:dyDescent="0.25">
      <c r="A3097">
        <v>3097</v>
      </c>
      <c r="B3097" t="str">
        <f t="shared" si="48"/>
        <v>ఙ</v>
      </c>
    </row>
    <row r="3098" spans="1:2" x14ac:dyDescent="0.25">
      <c r="A3098">
        <v>3098</v>
      </c>
      <c r="B3098" t="str">
        <f t="shared" si="48"/>
        <v>చ</v>
      </c>
    </row>
    <row r="3099" spans="1:2" x14ac:dyDescent="0.25">
      <c r="A3099">
        <v>3099</v>
      </c>
      <c r="B3099" t="str">
        <f t="shared" si="48"/>
        <v>ఛ</v>
      </c>
    </row>
    <row r="3100" spans="1:2" x14ac:dyDescent="0.25">
      <c r="A3100">
        <v>3100</v>
      </c>
      <c r="B3100" t="str">
        <f t="shared" si="48"/>
        <v>జ</v>
      </c>
    </row>
    <row r="3101" spans="1:2" x14ac:dyDescent="0.25">
      <c r="A3101">
        <v>3101</v>
      </c>
      <c r="B3101" t="str">
        <f t="shared" si="48"/>
        <v>ఝ</v>
      </c>
    </row>
    <row r="3102" spans="1:2" x14ac:dyDescent="0.25">
      <c r="A3102">
        <v>3102</v>
      </c>
      <c r="B3102" t="str">
        <f t="shared" si="48"/>
        <v>ఞ</v>
      </c>
    </row>
    <row r="3103" spans="1:2" x14ac:dyDescent="0.25">
      <c r="A3103">
        <v>3103</v>
      </c>
      <c r="B3103" t="str">
        <f t="shared" si="48"/>
        <v>ట</v>
      </c>
    </row>
    <row r="3104" spans="1:2" x14ac:dyDescent="0.25">
      <c r="A3104">
        <v>3104</v>
      </c>
      <c r="B3104" t="str">
        <f t="shared" si="48"/>
        <v>ఠ</v>
      </c>
    </row>
    <row r="3105" spans="1:2" x14ac:dyDescent="0.25">
      <c r="A3105">
        <v>3105</v>
      </c>
      <c r="B3105" t="str">
        <f t="shared" si="48"/>
        <v>డ</v>
      </c>
    </row>
    <row r="3106" spans="1:2" x14ac:dyDescent="0.25">
      <c r="A3106">
        <v>3106</v>
      </c>
      <c r="B3106" t="str">
        <f t="shared" si="48"/>
        <v>ఢ</v>
      </c>
    </row>
    <row r="3107" spans="1:2" x14ac:dyDescent="0.25">
      <c r="A3107">
        <v>3107</v>
      </c>
      <c r="B3107" t="str">
        <f t="shared" si="48"/>
        <v>ణ</v>
      </c>
    </row>
    <row r="3108" spans="1:2" x14ac:dyDescent="0.25">
      <c r="A3108">
        <v>3108</v>
      </c>
      <c r="B3108" t="str">
        <f t="shared" si="48"/>
        <v>త</v>
      </c>
    </row>
    <row r="3109" spans="1:2" x14ac:dyDescent="0.25">
      <c r="A3109">
        <v>3109</v>
      </c>
      <c r="B3109" t="str">
        <f t="shared" si="48"/>
        <v>థ</v>
      </c>
    </row>
    <row r="3110" spans="1:2" x14ac:dyDescent="0.25">
      <c r="A3110">
        <v>3110</v>
      </c>
      <c r="B3110" t="str">
        <f t="shared" si="48"/>
        <v>ద</v>
      </c>
    </row>
    <row r="3111" spans="1:2" x14ac:dyDescent="0.25">
      <c r="A3111">
        <v>3111</v>
      </c>
      <c r="B3111" t="str">
        <f t="shared" si="48"/>
        <v>ధ</v>
      </c>
    </row>
    <row r="3112" spans="1:2" x14ac:dyDescent="0.25">
      <c r="A3112">
        <v>3112</v>
      </c>
      <c r="B3112" t="str">
        <f t="shared" si="48"/>
        <v>న</v>
      </c>
    </row>
    <row r="3113" spans="1:2" x14ac:dyDescent="0.25">
      <c r="A3113">
        <v>3113</v>
      </c>
      <c r="B3113" t="str">
        <f t="shared" si="48"/>
        <v>఩</v>
      </c>
    </row>
    <row r="3114" spans="1:2" x14ac:dyDescent="0.25">
      <c r="A3114">
        <v>3114</v>
      </c>
      <c r="B3114" t="str">
        <f t="shared" si="48"/>
        <v>ప</v>
      </c>
    </row>
    <row r="3115" spans="1:2" x14ac:dyDescent="0.25">
      <c r="A3115">
        <v>3115</v>
      </c>
      <c r="B3115" t="str">
        <f t="shared" si="48"/>
        <v>ఫ</v>
      </c>
    </row>
    <row r="3116" spans="1:2" x14ac:dyDescent="0.25">
      <c r="A3116">
        <v>3116</v>
      </c>
      <c r="B3116" t="str">
        <f t="shared" si="48"/>
        <v>బ</v>
      </c>
    </row>
    <row r="3117" spans="1:2" x14ac:dyDescent="0.25">
      <c r="A3117">
        <v>3117</v>
      </c>
      <c r="B3117" t="str">
        <f t="shared" si="48"/>
        <v>భ</v>
      </c>
    </row>
    <row r="3118" spans="1:2" x14ac:dyDescent="0.25">
      <c r="A3118">
        <v>3118</v>
      </c>
      <c r="B3118" t="str">
        <f t="shared" si="48"/>
        <v>మ</v>
      </c>
    </row>
    <row r="3119" spans="1:2" x14ac:dyDescent="0.25">
      <c r="A3119">
        <v>3119</v>
      </c>
      <c r="B3119" t="str">
        <f t="shared" si="48"/>
        <v>య</v>
      </c>
    </row>
    <row r="3120" spans="1:2" x14ac:dyDescent="0.25">
      <c r="A3120">
        <v>3120</v>
      </c>
      <c r="B3120" t="str">
        <f t="shared" si="48"/>
        <v>ర</v>
      </c>
    </row>
    <row r="3121" spans="1:2" x14ac:dyDescent="0.25">
      <c r="A3121">
        <v>3121</v>
      </c>
      <c r="B3121" t="str">
        <f t="shared" si="48"/>
        <v>ఱ</v>
      </c>
    </row>
    <row r="3122" spans="1:2" x14ac:dyDescent="0.25">
      <c r="A3122">
        <v>3122</v>
      </c>
      <c r="B3122" t="str">
        <f t="shared" si="48"/>
        <v>ల</v>
      </c>
    </row>
    <row r="3123" spans="1:2" x14ac:dyDescent="0.25">
      <c r="A3123">
        <v>3123</v>
      </c>
      <c r="B3123" t="str">
        <f t="shared" si="48"/>
        <v>ళ</v>
      </c>
    </row>
    <row r="3124" spans="1:2" x14ac:dyDescent="0.25">
      <c r="A3124">
        <v>3124</v>
      </c>
      <c r="B3124" t="str">
        <f t="shared" si="48"/>
        <v>ఴ</v>
      </c>
    </row>
    <row r="3125" spans="1:2" x14ac:dyDescent="0.25">
      <c r="A3125">
        <v>3125</v>
      </c>
      <c r="B3125" t="str">
        <f t="shared" si="48"/>
        <v>వ</v>
      </c>
    </row>
    <row r="3126" spans="1:2" x14ac:dyDescent="0.25">
      <c r="A3126">
        <v>3126</v>
      </c>
      <c r="B3126" t="str">
        <f t="shared" si="48"/>
        <v>శ</v>
      </c>
    </row>
    <row r="3127" spans="1:2" x14ac:dyDescent="0.25">
      <c r="A3127">
        <v>3127</v>
      </c>
      <c r="B3127" t="str">
        <f t="shared" si="48"/>
        <v>ష</v>
      </c>
    </row>
    <row r="3128" spans="1:2" x14ac:dyDescent="0.25">
      <c r="A3128">
        <v>3128</v>
      </c>
      <c r="B3128" t="str">
        <f t="shared" si="48"/>
        <v>స</v>
      </c>
    </row>
    <row r="3129" spans="1:2" x14ac:dyDescent="0.25">
      <c r="A3129">
        <v>3129</v>
      </c>
      <c r="B3129" t="str">
        <f t="shared" si="48"/>
        <v>హ</v>
      </c>
    </row>
    <row r="3130" spans="1:2" x14ac:dyDescent="0.25">
      <c r="A3130">
        <v>3130</v>
      </c>
      <c r="B3130" t="str">
        <f t="shared" si="48"/>
        <v>఺</v>
      </c>
    </row>
    <row r="3131" spans="1:2" x14ac:dyDescent="0.25">
      <c r="A3131">
        <v>3131</v>
      </c>
      <c r="B3131" t="str">
        <f t="shared" si="48"/>
        <v>఻</v>
      </c>
    </row>
    <row r="3132" spans="1:2" x14ac:dyDescent="0.25">
      <c r="A3132">
        <v>3132</v>
      </c>
      <c r="B3132" t="str">
        <f t="shared" si="48"/>
        <v>఼</v>
      </c>
    </row>
    <row r="3133" spans="1:2" x14ac:dyDescent="0.25">
      <c r="A3133">
        <v>3133</v>
      </c>
      <c r="B3133" t="str">
        <f t="shared" si="48"/>
        <v>ఽ</v>
      </c>
    </row>
    <row r="3134" spans="1:2" x14ac:dyDescent="0.25">
      <c r="A3134">
        <v>3134</v>
      </c>
      <c r="B3134" t="str">
        <f t="shared" si="48"/>
        <v>ా</v>
      </c>
    </row>
    <row r="3135" spans="1:2" x14ac:dyDescent="0.25">
      <c r="A3135">
        <v>3135</v>
      </c>
      <c r="B3135" t="str">
        <f t="shared" si="48"/>
        <v>ి</v>
      </c>
    </row>
    <row r="3136" spans="1:2" x14ac:dyDescent="0.25">
      <c r="A3136">
        <v>3136</v>
      </c>
      <c r="B3136" t="str">
        <f t="shared" si="48"/>
        <v>ీ</v>
      </c>
    </row>
    <row r="3137" spans="1:2" x14ac:dyDescent="0.25">
      <c r="A3137">
        <v>3137</v>
      </c>
      <c r="B3137" t="str">
        <f t="shared" si="48"/>
        <v>ు</v>
      </c>
    </row>
    <row r="3138" spans="1:2" x14ac:dyDescent="0.25">
      <c r="A3138">
        <v>3138</v>
      </c>
      <c r="B3138" t="str">
        <f t="shared" ref="B3138:B3201" si="49">_xlfn.UNICHAR(A3138)</f>
        <v>ూ</v>
      </c>
    </row>
    <row r="3139" spans="1:2" x14ac:dyDescent="0.25">
      <c r="A3139">
        <v>3139</v>
      </c>
      <c r="B3139" t="str">
        <f t="shared" si="49"/>
        <v>ృ</v>
      </c>
    </row>
    <row r="3140" spans="1:2" x14ac:dyDescent="0.25">
      <c r="A3140">
        <v>3140</v>
      </c>
      <c r="B3140" t="str">
        <f t="shared" si="49"/>
        <v>ౄ</v>
      </c>
    </row>
    <row r="3141" spans="1:2" x14ac:dyDescent="0.25">
      <c r="A3141">
        <v>3141</v>
      </c>
      <c r="B3141" t="str">
        <f t="shared" si="49"/>
        <v>౅</v>
      </c>
    </row>
    <row r="3142" spans="1:2" x14ac:dyDescent="0.25">
      <c r="A3142">
        <v>3142</v>
      </c>
      <c r="B3142" t="str">
        <f t="shared" si="49"/>
        <v>ె</v>
      </c>
    </row>
    <row r="3143" spans="1:2" x14ac:dyDescent="0.25">
      <c r="A3143">
        <v>3143</v>
      </c>
      <c r="B3143" t="str">
        <f t="shared" si="49"/>
        <v>ే</v>
      </c>
    </row>
    <row r="3144" spans="1:2" x14ac:dyDescent="0.25">
      <c r="A3144">
        <v>3144</v>
      </c>
      <c r="B3144" t="str">
        <f t="shared" si="49"/>
        <v>ై</v>
      </c>
    </row>
    <row r="3145" spans="1:2" x14ac:dyDescent="0.25">
      <c r="A3145">
        <v>3145</v>
      </c>
      <c r="B3145" t="str">
        <f t="shared" si="49"/>
        <v>౉</v>
      </c>
    </row>
    <row r="3146" spans="1:2" x14ac:dyDescent="0.25">
      <c r="A3146">
        <v>3146</v>
      </c>
      <c r="B3146" t="str">
        <f t="shared" si="49"/>
        <v>ొ</v>
      </c>
    </row>
    <row r="3147" spans="1:2" x14ac:dyDescent="0.25">
      <c r="A3147">
        <v>3147</v>
      </c>
      <c r="B3147" t="str">
        <f t="shared" si="49"/>
        <v>ో</v>
      </c>
    </row>
    <row r="3148" spans="1:2" x14ac:dyDescent="0.25">
      <c r="A3148">
        <v>3148</v>
      </c>
      <c r="B3148" t="str">
        <f t="shared" si="49"/>
        <v>ౌ</v>
      </c>
    </row>
    <row r="3149" spans="1:2" x14ac:dyDescent="0.25">
      <c r="A3149">
        <v>3149</v>
      </c>
      <c r="B3149" t="str">
        <f t="shared" si="49"/>
        <v>్</v>
      </c>
    </row>
    <row r="3150" spans="1:2" x14ac:dyDescent="0.25">
      <c r="A3150">
        <v>3150</v>
      </c>
      <c r="B3150" t="str">
        <f t="shared" si="49"/>
        <v>౎</v>
      </c>
    </row>
    <row r="3151" spans="1:2" x14ac:dyDescent="0.25">
      <c r="A3151">
        <v>3151</v>
      </c>
      <c r="B3151" t="str">
        <f t="shared" si="49"/>
        <v>౏</v>
      </c>
    </row>
    <row r="3152" spans="1:2" x14ac:dyDescent="0.25">
      <c r="A3152">
        <v>3152</v>
      </c>
      <c r="B3152" t="str">
        <f t="shared" si="49"/>
        <v>౐</v>
      </c>
    </row>
    <row r="3153" spans="1:2" x14ac:dyDescent="0.25">
      <c r="A3153">
        <v>3153</v>
      </c>
      <c r="B3153" t="str">
        <f t="shared" si="49"/>
        <v>౑</v>
      </c>
    </row>
    <row r="3154" spans="1:2" x14ac:dyDescent="0.25">
      <c r="A3154">
        <v>3154</v>
      </c>
      <c r="B3154" t="str">
        <f t="shared" si="49"/>
        <v>౒</v>
      </c>
    </row>
    <row r="3155" spans="1:2" x14ac:dyDescent="0.25">
      <c r="A3155">
        <v>3155</v>
      </c>
      <c r="B3155" t="str">
        <f t="shared" si="49"/>
        <v>౓</v>
      </c>
    </row>
    <row r="3156" spans="1:2" x14ac:dyDescent="0.25">
      <c r="A3156">
        <v>3156</v>
      </c>
      <c r="B3156" t="str">
        <f t="shared" si="49"/>
        <v>౔</v>
      </c>
    </row>
    <row r="3157" spans="1:2" x14ac:dyDescent="0.25">
      <c r="A3157">
        <v>3157</v>
      </c>
      <c r="B3157" t="str">
        <f t="shared" si="49"/>
        <v>ౕ</v>
      </c>
    </row>
    <row r="3158" spans="1:2" x14ac:dyDescent="0.25">
      <c r="A3158">
        <v>3158</v>
      </c>
      <c r="B3158" t="str">
        <f t="shared" si="49"/>
        <v>ౖ</v>
      </c>
    </row>
    <row r="3159" spans="1:2" x14ac:dyDescent="0.25">
      <c r="A3159">
        <v>3159</v>
      </c>
      <c r="B3159" t="str">
        <f t="shared" si="49"/>
        <v>౗</v>
      </c>
    </row>
    <row r="3160" spans="1:2" x14ac:dyDescent="0.25">
      <c r="A3160">
        <v>3160</v>
      </c>
      <c r="B3160" t="str">
        <f t="shared" si="49"/>
        <v>ౘ</v>
      </c>
    </row>
    <row r="3161" spans="1:2" x14ac:dyDescent="0.25">
      <c r="A3161">
        <v>3161</v>
      </c>
      <c r="B3161" t="str">
        <f t="shared" si="49"/>
        <v>ౙ</v>
      </c>
    </row>
    <row r="3162" spans="1:2" x14ac:dyDescent="0.25">
      <c r="A3162">
        <v>3162</v>
      </c>
      <c r="B3162" t="str">
        <f t="shared" si="49"/>
        <v>ౚ</v>
      </c>
    </row>
    <row r="3163" spans="1:2" x14ac:dyDescent="0.25">
      <c r="A3163">
        <v>3163</v>
      </c>
      <c r="B3163" t="str">
        <f t="shared" si="49"/>
        <v>౛</v>
      </c>
    </row>
    <row r="3164" spans="1:2" x14ac:dyDescent="0.25">
      <c r="A3164">
        <v>3164</v>
      </c>
      <c r="B3164" t="str">
        <f t="shared" si="49"/>
        <v>౜</v>
      </c>
    </row>
    <row r="3165" spans="1:2" x14ac:dyDescent="0.25">
      <c r="A3165">
        <v>3165</v>
      </c>
      <c r="B3165" t="str">
        <f t="shared" si="49"/>
        <v>ౝ</v>
      </c>
    </row>
    <row r="3166" spans="1:2" x14ac:dyDescent="0.25">
      <c r="A3166">
        <v>3166</v>
      </c>
      <c r="B3166" t="str">
        <f t="shared" si="49"/>
        <v>౞</v>
      </c>
    </row>
    <row r="3167" spans="1:2" x14ac:dyDescent="0.25">
      <c r="A3167">
        <v>3167</v>
      </c>
      <c r="B3167" t="str">
        <f t="shared" si="49"/>
        <v>౟</v>
      </c>
    </row>
    <row r="3168" spans="1:2" x14ac:dyDescent="0.25">
      <c r="A3168">
        <v>3168</v>
      </c>
      <c r="B3168" t="str">
        <f t="shared" si="49"/>
        <v>ౠ</v>
      </c>
    </row>
    <row r="3169" spans="1:2" x14ac:dyDescent="0.25">
      <c r="A3169">
        <v>3169</v>
      </c>
      <c r="B3169" t="str">
        <f t="shared" si="49"/>
        <v>ౡ</v>
      </c>
    </row>
    <row r="3170" spans="1:2" x14ac:dyDescent="0.25">
      <c r="A3170">
        <v>3170</v>
      </c>
      <c r="B3170" t="str">
        <f t="shared" si="49"/>
        <v>ౢ</v>
      </c>
    </row>
    <row r="3171" spans="1:2" x14ac:dyDescent="0.25">
      <c r="A3171">
        <v>3171</v>
      </c>
      <c r="B3171" t="str">
        <f t="shared" si="49"/>
        <v>ౣ</v>
      </c>
    </row>
    <row r="3172" spans="1:2" x14ac:dyDescent="0.25">
      <c r="A3172">
        <v>3172</v>
      </c>
      <c r="B3172" t="str">
        <f t="shared" si="49"/>
        <v>౤</v>
      </c>
    </row>
    <row r="3173" spans="1:2" x14ac:dyDescent="0.25">
      <c r="A3173">
        <v>3173</v>
      </c>
      <c r="B3173" t="str">
        <f t="shared" si="49"/>
        <v>౥</v>
      </c>
    </row>
    <row r="3174" spans="1:2" x14ac:dyDescent="0.25">
      <c r="A3174">
        <v>3174</v>
      </c>
      <c r="B3174" t="str">
        <f t="shared" si="49"/>
        <v>౦</v>
      </c>
    </row>
    <row r="3175" spans="1:2" x14ac:dyDescent="0.25">
      <c r="A3175">
        <v>3175</v>
      </c>
      <c r="B3175" t="str">
        <f t="shared" si="49"/>
        <v>౧</v>
      </c>
    </row>
    <row r="3176" spans="1:2" x14ac:dyDescent="0.25">
      <c r="A3176">
        <v>3176</v>
      </c>
      <c r="B3176" t="str">
        <f t="shared" si="49"/>
        <v>౨</v>
      </c>
    </row>
    <row r="3177" spans="1:2" x14ac:dyDescent="0.25">
      <c r="A3177">
        <v>3177</v>
      </c>
      <c r="B3177" t="str">
        <f t="shared" si="49"/>
        <v>౩</v>
      </c>
    </row>
    <row r="3178" spans="1:2" x14ac:dyDescent="0.25">
      <c r="A3178">
        <v>3178</v>
      </c>
      <c r="B3178" t="str">
        <f t="shared" si="49"/>
        <v>౪</v>
      </c>
    </row>
    <row r="3179" spans="1:2" x14ac:dyDescent="0.25">
      <c r="A3179">
        <v>3179</v>
      </c>
      <c r="B3179" t="str">
        <f t="shared" si="49"/>
        <v>౫</v>
      </c>
    </row>
    <row r="3180" spans="1:2" x14ac:dyDescent="0.25">
      <c r="A3180">
        <v>3180</v>
      </c>
      <c r="B3180" t="str">
        <f t="shared" si="49"/>
        <v>౬</v>
      </c>
    </row>
    <row r="3181" spans="1:2" x14ac:dyDescent="0.25">
      <c r="A3181">
        <v>3181</v>
      </c>
      <c r="B3181" t="str">
        <f t="shared" si="49"/>
        <v>౭</v>
      </c>
    </row>
    <row r="3182" spans="1:2" x14ac:dyDescent="0.25">
      <c r="A3182">
        <v>3182</v>
      </c>
      <c r="B3182" t="str">
        <f t="shared" si="49"/>
        <v>౮</v>
      </c>
    </row>
    <row r="3183" spans="1:2" x14ac:dyDescent="0.25">
      <c r="A3183">
        <v>3183</v>
      </c>
      <c r="B3183" t="str">
        <f t="shared" si="49"/>
        <v>౯</v>
      </c>
    </row>
    <row r="3184" spans="1:2" x14ac:dyDescent="0.25">
      <c r="A3184">
        <v>3184</v>
      </c>
      <c r="B3184" t="str">
        <f t="shared" si="49"/>
        <v>౰</v>
      </c>
    </row>
    <row r="3185" spans="1:2" x14ac:dyDescent="0.25">
      <c r="A3185">
        <v>3185</v>
      </c>
      <c r="B3185" t="str">
        <f t="shared" si="49"/>
        <v>౱</v>
      </c>
    </row>
    <row r="3186" spans="1:2" x14ac:dyDescent="0.25">
      <c r="A3186">
        <v>3186</v>
      </c>
      <c r="B3186" t="str">
        <f t="shared" si="49"/>
        <v>౲</v>
      </c>
    </row>
    <row r="3187" spans="1:2" x14ac:dyDescent="0.25">
      <c r="A3187">
        <v>3187</v>
      </c>
      <c r="B3187" t="str">
        <f t="shared" si="49"/>
        <v>౳</v>
      </c>
    </row>
    <row r="3188" spans="1:2" x14ac:dyDescent="0.25">
      <c r="A3188">
        <v>3188</v>
      </c>
      <c r="B3188" t="str">
        <f t="shared" si="49"/>
        <v>౴</v>
      </c>
    </row>
    <row r="3189" spans="1:2" x14ac:dyDescent="0.25">
      <c r="A3189">
        <v>3189</v>
      </c>
      <c r="B3189" t="str">
        <f t="shared" si="49"/>
        <v>౵</v>
      </c>
    </row>
    <row r="3190" spans="1:2" x14ac:dyDescent="0.25">
      <c r="A3190">
        <v>3190</v>
      </c>
      <c r="B3190" t="str">
        <f t="shared" si="49"/>
        <v>౶</v>
      </c>
    </row>
    <row r="3191" spans="1:2" x14ac:dyDescent="0.25">
      <c r="A3191">
        <v>3191</v>
      </c>
      <c r="B3191" t="str">
        <f t="shared" si="49"/>
        <v>౷</v>
      </c>
    </row>
    <row r="3192" spans="1:2" x14ac:dyDescent="0.25">
      <c r="A3192">
        <v>3192</v>
      </c>
      <c r="B3192" t="str">
        <f t="shared" si="49"/>
        <v>౸</v>
      </c>
    </row>
    <row r="3193" spans="1:2" x14ac:dyDescent="0.25">
      <c r="A3193">
        <v>3193</v>
      </c>
      <c r="B3193" t="str">
        <f t="shared" si="49"/>
        <v>౹</v>
      </c>
    </row>
    <row r="3194" spans="1:2" x14ac:dyDescent="0.25">
      <c r="A3194">
        <v>3194</v>
      </c>
      <c r="B3194" t="str">
        <f t="shared" si="49"/>
        <v>౺</v>
      </c>
    </row>
    <row r="3195" spans="1:2" x14ac:dyDescent="0.25">
      <c r="A3195">
        <v>3195</v>
      </c>
      <c r="B3195" t="str">
        <f t="shared" si="49"/>
        <v>౻</v>
      </c>
    </row>
    <row r="3196" spans="1:2" x14ac:dyDescent="0.25">
      <c r="A3196">
        <v>3196</v>
      </c>
      <c r="B3196" t="str">
        <f t="shared" si="49"/>
        <v>౼</v>
      </c>
    </row>
    <row r="3197" spans="1:2" x14ac:dyDescent="0.25">
      <c r="A3197">
        <v>3197</v>
      </c>
      <c r="B3197" t="str">
        <f t="shared" si="49"/>
        <v>౽</v>
      </c>
    </row>
    <row r="3198" spans="1:2" x14ac:dyDescent="0.25">
      <c r="A3198">
        <v>3198</v>
      </c>
      <c r="B3198" t="str">
        <f t="shared" si="49"/>
        <v>౾</v>
      </c>
    </row>
    <row r="3199" spans="1:2" x14ac:dyDescent="0.25">
      <c r="A3199">
        <v>3199</v>
      </c>
      <c r="B3199" t="str">
        <f t="shared" si="49"/>
        <v>౿</v>
      </c>
    </row>
    <row r="3200" spans="1:2" x14ac:dyDescent="0.25">
      <c r="A3200">
        <v>3200</v>
      </c>
      <c r="B3200" t="str">
        <f t="shared" si="49"/>
        <v>ಀ</v>
      </c>
    </row>
    <row r="3201" spans="1:2" x14ac:dyDescent="0.25">
      <c r="A3201">
        <v>3201</v>
      </c>
      <c r="B3201" t="str">
        <f t="shared" si="49"/>
        <v>ಁ</v>
      </c>
    </row>
    <row r="3202" spans="1:2" x14ac:dyDescent="0.25">
      <c r="A3202">
        <v>3202</v>
      </c>
      <c r="B3202" t="str">
        <f t="shared" ref="B3202:B3265" si="50">_xlfn.UNICHAR(A3202)</f>
        <v>ಂ</v>
      </c>
    </row>
    <row r="3203" spans="1:2" x14ac:dyDescent="0.25">
      <c r="A3203">
        <v>3203</v>
      </c>
      <c r="B3203" t="str">
        <f t="shared" si="50"/>
        <v>ಃ</v>
      </c>
    </row>
    <row r="3204" spans="1:2" x14ac:dyDescent="0.25">
      <c r="A3204">
        <v>3204</v>
      </c>
      <c r="B3204" t="str">
        <f t="shared" si="50"/>
        <v>಄</v>
      </c>
    </row>
    <row r="3205" spans="1:2" x14ac:dyDescent="0.25">
      <c r="A3205">
        <v>3205</v>
      </c>
      <c r="B3205" t="str">
        <f t="shared" si="50"/>
        <v>ಅ</v>
      </c>
    </row>
    <row r="3206" spans="1:2" x14ac:dyDescent="0.25">
      <c r="A3206">
        <v>3206</v>
      </c>
      <c r="B3206" t="str">
        <f t="shared" si="50"/>
        <v>ಆ</v>
      </c>
    </row>
    <row r="3207" spans="1:2" x14ac:dyDescent="0.25">
      <c r="A3207">
        <v>3207</v>
      </c>
      <c r="B3207" t="str">
        <f t="shared" si="50"/>
        <v>ಇ</v>
      </c>
    </row>
    <row r="3208" spans="1:2" x14ac:dyDescent="0.25">
      <c r="A3208">
        <v>3208</v>
      </c>
      <c r="B3208" t="str">
        <f t="shared" si="50"/>
        <v>ಈ</v>
      </c>
    </row>
    <row r="3209" spans="1:2" x14ac:dyDescent="0.25">
      <c r="A3209">
        <v>3209</v>
      </c>
      <c r="B3209" t="str">
        <f t="shared" si="50"/>
        <v>ಉ</v>
      </c>
    </row>
    <row r="3210" spans="1:2" x14ac:dyDescent="0.25">
      <c r="A3210">
        <v>3210</v>
      </c>
      <c r="B3210" t="str">
        <f t="shared" si="50"/>
        <v>ಊ</v>
      </c>
    </row>
    <row r="3211" spans="1:2" x14ac:dyDescent="0.25">
      <c r="A3211">
        <v>3211</v>
      </c>
      <c r="B3211" t="str">
        <f t="shared" si="50"/>
        <v>ಋ</v>
      </c>
    </row>
    <row r="3212" spans="1:2" x14ac:dyDescent="0.25">
      <c r="A3212">
        <v>3212</v>
      </c>
      <c r="B3212" t="str">
        <f t="shared" si="50"/>
        <v>ಌ</v>
      </c>
    </row>
    <row r="3213" spans="1:2" x14ac:dyDescent="0.25">
      <c r="A3213">
        <v>3213</v>
      </c>
      <c r="B3213" t="str">
        <f t="shared" si="50"/>
        <v>಍</v>
      </c>
    </row>
    <row r="3214" spans="1:2" x14ac:dyDescent="0.25">
      <c r="A3214">
        <v>3214</v>
      </c>
      <c r="B3214" t="str">
        <f t="shared" si="50"/>
        <v>ಎ</v>
      </c>
    </row>
    <row r="3215" spans="1:2" x14ac:dyDescent="0.25">
      <c r="A3215">
        <v>3215</v>
      </c>
      <c r="B3215" t="str">
        <f t="shared" si="50"/>
        <v>ಏ</v>
      </c>
    </row>
    <row r="3216" spans="1:2" x14ac:dyDescent="0.25">
      <c r="A3216">
        <v>3216</v>
      </c>
      <c r="B3216" t="str">
        <f t="shared" si="50"/>
        <v>ಐ</v>
      </c>
    </row>
    <row r="3217" spans="1:2" x14ac:dyDescent="0.25">
      <c r="A3217">
        <v>3217</v>
      </c>
      <c r="B3217" t="str">
        <f t="shared" si="50"/>
        <v>಑</v>
      </c>
    </row>
    <row r="3218" spans="1:2" x14ac:dyDescent="0.25">
      <c r="A3218">
        <v>3218</v>
      </c>
      <c r="B3218" t="str">
        <f t="shared" si="50"/>
        <v>ಒ</v>
      </c>
    </row>
    <row r="3219" spans="1:2" x14ac:dyDescent="0.25">
      <c r="A3219">
        <v>3219</v>
      </c>
      <c r="B3219" t="str">
        <f t="shared" si="50"/>
        <v>ಓ</v>
      </c>
    </row>
    <row r="3220" spans="1:2" x14ac:dyDescent="0.25">
      <c r="A3220">
        <v>3220</v>
      </c>
      <c r="B3220" t="str">
        <f t="shared" si="50"/>
        <v>ಔ</v>
      </c>
    </row>
    <row r="3221" spans="1:2" x14ac:dyDescent="0.25">
      <c r="A3221">
        <v>3221</v>
      </c>
      <c r="B3221" t="str">
        <f t="shared" si="50"/>
        <v>ಕ</v>
      </c>
    </row>
    <row r="3222" spans="1:2" x14ac:dyDescent="0.25">
      <c r="A3222">
        <v>3222</v>
      </c>
      <c r="B3222" t="str">
        <f t="shared" si="50"/>
        <v>ಖ</v>
      </c>
    </row>
    <row r="3223" spans="1:2" x14ac:dyDescent="0.25">
      <c r="A3223">
        <v>3223</v>
      </c>
      <c r="B3223" t="str">
        <f t="shared" si="50"/>
        <v>ಗ</v>
      </c>
    </row>
    <row r="3224" spans="1:2" x14ac:dyDescent="0.25">
      <c r="A3224">
        <v>3224</v>
      </c>
      <c r="B3224" t="str">
        <f t="shared" si="50"/>
        <v>ಘ</v>
      </c>
    </row>
    <row r="3225" spans="1:2" x14ac:dyDescent="0.25">
      <c r="A3225">
        <v>3225</v>
      </c>
      <c r="B3225" t="str">
        <f t="shared" si="50"/>
        <v>ಙ</v>
      </c>
    </row>
    <row r="3226" spans="1:2" x14ac:dyDescent="0.25">
      <c r="A3226">
        <v>3226</v>
      </c>
      <c r="B3226" t="str">
        <f t="shared" si="50"/>
        <v>ಚ</v>
      </c>
    </row>
    <row r="3227" spans="1:2" x14ac:dyDescent="0.25">
      <c r="A3227">
        <v>3227</v>
      </c>
      <c r="B3227" t="str">
        <f t="shared" si="50"/>
        <v>ಛ</v>
      </c>
    </row>
    <row r="3228" spans="1:2" x14ac:dyDescent="0.25">
      <c r="A3228">
        <v>3228</v>
      </c>
      <c r="B3228" t="str">
        <f t="shared" si="50"/>
        <v>ಜ</v>
      </c>
    </row>
    <row r="3229" spans="1:2" x14ac:dyDescent="0.25">
      <c r="A3229">
        <v>3229</v>
      </c>
      <c r="B3229" t="str">
        <f t="shared" si="50"/>
        <v>ಝ</v>
      </c>
    </row>
    <row r="3230" spans="1:2" x14ac:dyDescent="0.25">
      <c r="A3230">
        <v>3230</v>
      </c>
      <c r="B3230" t="str">
        <f t="shared" si="50"/>
        <v>ಞ</v>
      </c>
    </row>
    <row r="3231" spans="1:2" x14ac:dyDescent="0.25">
      <c r="A3231">
        <v>3231</v>
      </c>
      <c r="B3231" t="str">
        <f t="shared" si="50"/>
        <v>ಟ</v>
      </c>
    </row>
    <row r="3232" spans="1:2" x14ac:dyDescent="0.25">
      <c r="A3232">
        <v>3232</v>
      </c>
      <c r="B3232" t="str">
        <f t="shared" si="50"/>
        <v>ಠ</v>
      </c>
    </row>
    <row r="3233" spans="1:2" x14ac:dyDescent="0.25">
      <c r="A3233">
        <v>3233</v>
      </c>
      <c r="B3233" t="str">
        <f t="shared" si="50"/>
        <v>ಡ</v>
      </c>
    </row>
    <row r="3234" spans="1:2" x14ac:dyDescent="0.25">
      <c r="A3234">
        <v>3234</v>
      </c>
      <c r="B3234" t="str">
        <f t="shared" si="50"/>
        <v>ಢ</v>
      </c>
    </row>
    <row r="3235" spans="1:2" x14ac:dyDescent="0.25">
      <c r="A3235">
        <v>3235</v>
      </c>
      <c r="B3235" t="str">
        <f t="shared" si="50"/>
        <v>ಣ</v>
      </c>
    </row>
    <row r="3236" spans="1:2" x14ac:dyDescent="0.25">
      <c r="A3236">
        <v>3236</v>
      </c>
      <c r="B3236" t="str">
        <f t="shared" si="50"/>
        <v>ತ</v>
      </c>
    </row>
    <row r="3237" spans="1:2" x14ac:dyDescent="0.25">
      <c r="A3237">
        <v>3237</v>
      </c>
      <c r="B3237" t="str">
        <f t="shared" si="50"/>
        <v>ಥ</v>
      </c>
    </row>
    <row r="3238" spans="1:2" x14ac:dyDescent="0.25">
      <c r="A3238">
        <v>3238</v>
      </c>
      <c r="B3238" t="str">
        <f t="shared" si="50"/>
        <v>ದ</v>
      </c>
    </row>
    <row r="3239" spans="1:2" x14ac:dyDescent="0.25">
      <c r="A3239">
        <v>3239</v>
      </c>
      <c r="B3239" t="str">
        <f t="shared" si="50"/>
        <v>ಧ</v>
      </c>
    </row>
    <row r="3240" spans="1:2" x14ac:dyDescent="0.25">
      <c r="A3240">
        <v>3240</v>
      </c>
      <c r="B3240" t="str">
        <f t="shared" si="50"/>
        <v>ನ</v>
      </c>
    </row>
    <row r="3241" spans="1:2" x14ac:dyDescent="0.25">
      <c r="A3241">
        <v>3241</v>
      </c>
      <c r="B3241" t="str">
        <f t="shared" si="50"/>
        <v>಩</v>
      </c>
    </row>
    <row r="3242" spans="1:2" x14ac:dyDescent="0.25">
      <c r="A3242">
        <v>3242</v>
      </c>
      <c r="B3242" t="str">
        <f t="shared" si="50"/>
        <v>ಪ</v>
      </c>
    </row>
    <row r="3243" spans="1:2" x14ac:dyDescent="0.25">
      <c r="A3243">
        <v>3243</v>
      </c>
      <c r="B3243" t="str">
        <f t="shared" si="50"/>
        <v>ಫ</v>
      </c>
    </row>
    <row r="3244" spans="1:2" x14ac:dyDescent="0.25">
      <c r="A3244">
        <v>3244</v>
      </c>
      <c r="B3244" t="str">
        <f t="shared" si="50"/>
        <v>ಬ</v>
      </c>
    </row>
    <row r="3245" spans="1:2" x14ac:dyDescent="0.25">
      <c r="A3245">
        <v>3245</v>
      </c>
      <c r="B3245" t="str">
        <f t="shared" si="50"/>
        <v>ಭ</v>
      </c>
    </row>
    <row r="3246" spans="1:2" x14ac:dyDescent="0.25">
      <c r="A3246">
        <v>3246</v>
      </c>
      <c r="B3246" t="str">
        <f t="shared" si="50"/>
        <v>ಮ</v>
      </c>
    </row>
    <row r="3247" spans="1:2" x14ac:dyDescent="0.25">
      <c r="A3247">
        <v>3247</v>
      </c>
      <c r="B3247" t="str">
        <f t="shared" si="50"/>
        <v>ಯ</v>
      </c>
    </row>
    <row r="3248" spans="1:2" x14ac:dyDescent="0.25">
      <c r="A3248">
        <v>3248</v>
      </c>
      <c r="B3248" t="str">
        <f t="shared" si="50"/>
        <v>ರ</v>
      </c>
    </row>
    <row r="3249" spans="1:2" x14ac:dyDescent="0.25">
      <c r="A3249">
        <v>3249</v>
      </c>
      <c r="B3249" t="str">
        <f t="shared" si="50"/>
        <v>ಱ</v>
      </c>
    </row>
    <row r="3250" spans="1:2" x14ac:dyDescent="0.25">
      <c r="A3250">
        <v>3250</v>
      </c>
      <c r="B3250" t="str">
        <f t="shared" si="50"/>
        <v>ಲ</v>
      </c>
    </row>
    <row r="3251" spans="1:2" x14ac:dyDescent="0.25">
      <c r="A3251">
        <v>3251</v>
      </c>
      <c r="B3251" t="str">
        <f t="shared" si="50"/>
        <v>ಳ</v>
      </c>
    </row>
    <row r="3252" spans="1:2" x14ac:dyDescent="0.25">
      <c r="A3252">
        <v>3252</v>
      </c>
      <c r="B3252" t="str">
        <f t="shared" si="50"/>
        <v>಴</v>
      </c>
    </row>
    <row r="3253" spans="1:2" x14ac:dyDescent="0.25">
      <c r="A3253">
        <v>3253</v>
      </c>
      <c r="B3253" t="str">
        <f t="shared" si="50"/>
        <v>ವ</v>
      </c>
    </row>
    <row r="3254" spans="1:2" x14ac:dyDescent="0.25">
      <c r="A3254">
        <v>3254</v>
      </c>
      <c r="B3254" t="str">
        <f t="shared" si="50"/>
        <v>ಶ</v>
      </c>
    </row>
    <row r="3255" spans="1:2" x14ac:dyDescent="0.25">
      <c r="A3255">
        <v>3255</v>
      </c>
      <c r="B3255" t="str">
        <f t="shared" si="50"/>
        <v>ಷ</v>
      </c>
    </row>
    <row r="3256" spans="1:2" x14ac:dyDescent="0.25">
      <c r="A3256">
        <v>3256</v>
      </c>
      <c r="B3256" t="str">
        <f t="shared" si="50"/>
        <v>ಸ</v>
      </c>
    </row>
    <row r="3257" spans="1:2" x14ac:dyDescent="0.25">
      <c r="A3257">
        <v>3257</v>
      </c>
      <c r="B3257" t="str">
        <f t="shared" si="50"/>
        <v>ಹ</v>
      </c>
    </row>
    <row r="3258" spans="1:2" x14ac:dyDescent="0.25">
      <c r="A3258">
        <v>3258</v>
      </c>
      <c r="B3258" t="str">
        <f t="shared" si="50"/>
        <v>಺</v>
      </c>
    </row>
    <row r="3259" spans="1:2" x14ac:dyDescent="0.25">
      <c r="A3259">
        <v>3259</v>
      </c>
      <c r="B3259" t="str">
        <f t="shared" si="50"/>
        <v>಻</v>
      </c>
    </row>
    <row r="3260" spans="1:2" x14ac:dyDescent="0.25">
      <c r="A3260">
        <v>3260</v>
      </c>
      <c r="B3260" t="str">
        <f t="shared" si="50"/>
        <v>಼</v>
      </c>
    </row>
    <row r="3261" spans="1:2" x14ac:dyDescent="0.25">
      <c r="A3261">
        <v>3261</v>
      </c>
      <c r="B3261" t="str">
        <f t="shared" si="50"/>
        <v>ಽ</v>
      </c>
    </row>
    <row r="3262" spans="1:2" x14ac:dyDescent="0.25">
      <c r="A3262">
        <v>3262</v>
      </c>
      <c r="B3262" t="str">
        <f t="shared" si="50"/>
        <v>ಾ</v>
      </c>
    </row>
    <row r="3263" spans="1:2" x14ac:dyDescent="0.25">
      <c r="A3263">
        <v>3263</v>
      </c>
      <c r="B3263" t="str">
        <f t="shared" si="50"/>
        <v>ಿ</v>
      </c>
    </row>
    <row r="3264" spans="1:2" x14ac:dyDescent="0.25">
      <c r="A3264">
        <v>3264</v>
      </c>
      <c r="B3264" t="str">
        <f t="shared" si="50"/>
        <v>ೀ</v>
      </c>
    </row>
    <row r="3265" spans="1:2" x14ac:dyDescent="0.25">
      <c r="A3265">
        <v>3265</v>
      </c>
      <c r="B3265" t="str">
        <f t="shared" si="50"/>
        <v>ು</v>
      </c>
    </row>
    <row r="3266" spans="1:2" x14ac:dyDescent="0.25">
      <c r="A3266">
        <v>3266</v>
      </c>
      <c r="B3266" t="str">
        <f t="shared" ref="B3266:B3329" si="51">_xlfn.UNICHAR(A3266)</f>
        <v>ೂ</v>
      </c>
    </row>
    <row r="3267" spans="1:2" x14ac:dyDescent="0.25">
      <c r="A3267">
        <v>3267</v>
      </c>
      <c r="B3267" t="str">
        <f t="shared" si="51"/>
        <v>ೃ</v>
      </c>
    </row>
    <row r="3268" spans="1:2" x14ac:dyDescent="0.25">
      <c r="A3268">
        <v>3268</v>
      </c>
      <c r="B3268" t="str">
        <f t="shared" si="51"/>
        <v>ೄ</v>
      </c>
    </row>
    <row r="3269" spans="1:2" x14ac:dyDescent="0.25">
      <c r="A3269">
        <v>3269</v>
      </c>
      <c r="B3269" t="str">
        <f t="shared" si="51"/>
        <v>೅</v>
      </c>
    </row>
    <row r="3270" spans="1:2" x14ac:dyDescent="0.25">
      <c r="A3270">
        <v>3270</v>
      </c>
      <c r="B3270" t="str">
        <f t="shared" si="51"/>
        <v>ೆ</v>
      </c>
    </row>
    <row r="3271" spans="1:2" x14ac:dyDescent="0.25">
      <c r="A3271">
        <v>3271</v>
      </c>
      <c r="B3271" t="str">
        <f t="shared" si="51"/>
        <v>ೇ</v>
      </c>
    </row>
    <row r="3272" spans="1:2" x14ac:dyDescent="0.25">
      <c r="A3272">
        <v>3272</v>
      </c>
      <c r="B3272" t="str">
        <f t="shared" si="51"/>
        <v>ೈ</v>
      </c>
    </row>
    <row r="3273" spans="1:2" x14ac:dyDescent="0.25">
      <c r="A3273">
        <v>3273</v>
      </c>
      <c r="B3273" t="str">
        <f t="shared" si="51"/>
        <v>೉</v>
      </c>
    </row>
    <row r="3274" spans="1:2" x14ac:dyDescent="0.25">
      <c r="A3274">
        <v>3274</v>
      </c>
      <c r="B3274" t="str">
        <f t="shared" si="51"/>
        <v>ೊ</v>
      </c>
    </row>
    <row r="3275" spans="1:2" x14ac:dyDescent="0.25">
      <c r="A3275">
        <v>3275</v>
      </c>
      <c r="B3275" t="str">
        <f t="shared" si="51"/>
        <v>ೋ</v>
      </c>
    </row>
    <row r="3276" spans="1:2" x14ac:dyDescent="0.25">
      <c r="A3276">
        <v>3276</v>
      </c>
      <c r="B3276" t="str">
        <f t="shared" si="51"/>
        <v>ೌ</v>
      </c>
    </row>
    <row r="3277" spans="1:2" x14ac:dyDescent="0.25">
      <c r="A3277">
        <v>3277</v>
      </c>
      <c r="B3277" t="str">
        <f t="shared" si="51"/>
        <v>್</v>
      </c>
    </row>
    <row r="3278" spans="1:2" x14ac:dyDescent="0.25">
      <c r="A3278">
        <v>3278</v>
      </c>
      <c r="B3278" t="str">
        <f t="shared" si="51"/>
        <v>೎</v>
      </c>
    </row>
    <row r="3279" spans="1:2" x14ac:dyDescent="0.25">
      <c r="A3279">
        <v>3279</v>
      </c>
      <c r="B3279" t="str">
        <f t="shared" si="51"/>
        <v>೏</v>
      </c>
    </row>
    <row r="3280" spans="1:2" x14ac:dyDescent="0.25">
      <c r="A3280">
        <v>3280</v>
      </c>
      <c r="B3280" t="str">
        <f t="shared" si="51"/>
        <v>೐</v>
      </c>
    </row>
    <row r="3281" spans="1:2" x14ac:dyDescent="0.25">
      <c r="A3281">
        <v>3281</v>
      </c>
      <c r="B3281" t="str">
        <f t="shared" si="51"/>
        <v>೑</v>
      </c>
    </row>
    <row r="3282" spans="1:2" x14ac:dyDescent="0.25">
      <c r="A3282">
        <v>3282</v>
      </c>
      <c r="B3282" t="str">
        <f t="shared" si="51"/>
        <v>೒</v>
      </c>
    </row>
    <row r="3283" spans="1:2" x14ac:dyDescent="0.25">
      <c r="A3283">
        <v>3283</v>
      </c>
      <c r="B3283" t="str">
        <f t="shared" si="51"/>
        <v>೓</v>
      </c>
    </row>
    <row r="3284" spans="1:2" x14ac:dyDescent="0.25">
      <c r="A3284">
        <v>3284</v>
      </c>
      <c r="B3284" t="str">
        <f t="shared" si="51"/>
        <v>೔</v>
      </c>
    </row>
    <row r="3285" spans="1:2" x14ac:dyDescent="0.25">
      <c r="A3285">
        <v>3285</v>
      </c>
      <c r="B3285" t="str">
        <f t="shared" si="51"/>
        <v>ೕ</v>
      </c>
    </row>
    <row r="3286" spans="1:2" x14ac:dyDescent="0.25">
      <c r="A3286">
        <v>3286</v>
      </c>
      <c r="B3286" t="str">
        <f t="shared" si="51"/>
        <v>ೖ</v>
      </c>
    </row>
    <row r="3287" spans="1:2" x14ac:dyDescent="0.25">
      <c r="A3287">
        <v>3287</v>
      </c>
      <c r="B3287" t="str">
        <f t="shared" si="51"/>
        <v>೗</v>
      </c>
    </row>
    <row r="3288" spans="1:2" x14ac:dyDescent="0.25">
      <c r="A3288">
        <v>3288</v>
      </c>
      <c r="B3288" t="str">
        <f t="shared" si="51"/>
        <v>೘</v>
      </c>
    </row>
    <row r="3289" spans="1:2" x14ac:dyDescent="0.25">
      <c r="A3289">
        <v>3289</v>
      </c>
      <c r="B3289" t="str">
        <f t="shared" si="51"/>
        <v>೙</v>
      </c>
    </row>
    <row r="3290" spans="1:2" x14ac:dyDescent="0.25">
      <c r="A3290">
        <v>3290</v>
      </c>
      <c r="B3290" t="str">
        <f t="shared" si="51"/>
        <v>೚</v>
      </c>
    </row>
    <row r="3291" spans="1:2" x14ac:dyDescent="0.25">
      <c r="A3291">
        <v>3291</v>
      </c>
      <c r="B3291" t="str">
        <f t="shared" si="51"/>
        <v>೛</v>
      </c>
    </row>
    <row r="3292" spans="1:2" x14ac:dyDescent="0.25">
      <c r="A3292">
        <v>3292</v>
      </c>
      <c r="B3292" t="str">
        <f t="shared" si="51"/>
        <v>೜</v>
      </c>
    </row>
    <row r="3293" spans="1:2" x14ac:dyDescent="0.25">
      <c r="A3293">
        <v>3293</v>
      </c>
      <c r="B3293" t="str">
        <f t="shared" si="51"/>
        <v>ೝ</v>
      </c>
    </row>
    <row r="3294" spans="1:2" x14ac:dyDescent="0.25">
      <c r="A3294">
        <v>3294</v>
      </c>
      <c r="B3294" t="str">
        <f t="shared" si="51"/>
        <v>ೞ</v>
      </c>
    </row>
    <row r="3295" spans="1:2" x14ac:dyDescent="0.25">
      <c r="A3295">
        <v>3295</v>
      </c>
      <c r="B3295" t="str">
        <f t="shared" si="51"/>
        <v>೟</v>
      </c>
    </row>
    <row r="3296" spans="1:2" x14ac:dyDescent="0.25">
      <c r="A3296">
        <v>3296</v>
      </c>
      <c r="B3296" t="str">
        <f t="shared" si="51"/>
        <v>ೠ</v>
      </c>
    </row>
    <row r="3297" spans="1:2" x14ac:dyDescent="0.25">
      <c r="A3297">
        <v>3297</v>
      </c>
      <c r="B3297" t="str">
        <f t="shared" si="51"/>
        <v>ೡ</v>
      </c>
    </row>
    <row r="3298" spans="1:2" x14ac:dyDescent="0.25">
      <c r="A3298">
        <v>3298</v>
      </c>
      <c r="B3298" t="str">
        <f t="shared" si="51"/>
        <v>ೢ</v>
      </c>
    </row>
    <row r="3299" spans="1:2" x14ac:dyDescent="0.25">
      <c r="A3299">
        <v>3299</v>
      </c>
      <c r="B3299" t="str">
        <f t="shared" si="51"/>
        <v>ೣ</v>
      </c>
    </row>
    <row r="3300" spans="1:2" x14ac:dyDescent="0.25">
      <c r="A3300">
        <v>3300</v>
      </c>
      <c r="B3300" t="str">
        <f t="shared" si="51"/>
        <v>೤</v>
      </c>
    </row>
    <row r="3301" spans="1:2" x14ac:dyDescent="0.25">
      <c r="A3301">
        <v>3301</v>
      </c>
      <c r="B3301" t="str">
        <f t="shared" si="51"/>
        <v>೥</v>
      </c>
    </row>
    <row r="3302" spans="1:2" x14ac:dyDescent="0.25">
      <c r="A3302">
        <v>3302</v>
      </c>
      <c r="B3302" t="str">
        <f t="shared" si="51"/>
        <v>೦</v>
      </c>
    </row>
    <row r="3303" spans="1:2" x14ac:dyDescent="0.25">
      <c r="A3303">
        <v>3303</v>
      </c>
      <c r="B3303" t="str">
        <f t="shared" si="51"/>
        <v>೧</v>
      </c>
    </row>
    <row r="3304" spans="1:2" x14ac:dyDescent="0.25">
      <c r="A3304">
        <v>3304</v>
      </c>
      <c r="B3304" t="str">
        <f t="shared" si="51"/>
        <v>೨</v>
      </c>
    </row>
    <row r="3305" spans="1:2" x14ac:dyDescent="0.25">
      <c r="A3305">
        <v>3305</v>
      </c>
      <c r="B3305" t="str">
        <f t="shared" si="51"/>
        <v>೩</v>
      </c>
    </row>
    <row r="3306" spans="1:2" x14ac:dyDescent="0.25">
      <c r="A3306">
        <v>3306</v>
      </c>
      <c r="B3306" t="str">
        <f t="shared" si="51"/>
        <v>೪</v>
      </c>
    </row>
    <row r="3307" spans="1:2" x14ac:dyDescent="0.25">
      <c r="A3307">
        <v>3307</v>
      </c>
      <c r="B3307" t="str">
        <f t="shared" si="51"/>
        <v>೫</v>
      </c>
    </row>
    <row r="3308" spans="1:2" x14ac:dyDescent="0.25">
      <c r="A3308">
        <v>3308</v>
      </c>
      <c r="B3308" t="str">
        <f t="shared" si="51"/>
        <v>೬</v>
      </c>
    </row>
    <row r="3309" spans="1:2" x14ac:dyDescent="0.25">
      <c r="A3309">
        <v>3309</v>
      </c>
      <c r="B3309" t="str">
        <f t="shared" si="51"/>
        <v>೭</v>
      </c>
    </row>
    <row r="3310" spans="1:2" x14ac:dyDescent="0.25">
      <c r="A3310">
        <v>3310</v>
      </c>
      <c r="B3310" t="str">
        <f t="shared" si="51"/>
        <v>೮</v>
      </c>
    </row>
    <row r="3311" spans="1:2" x14ac:dyDescent="0.25">
      <c r="A3311">
        <v>3311</v>
      </c>
      <c r="B3311" t="str">
        <f t="shared" si="51"/>
        <v>೯</v>
      </c>
    </row>
    <row r="3312" spans="1:2" x14ac:dyDescent="0.25">
      <c r="A3312">
        <v>3312</v>
      </c>
      <c r="B3312" t="str">
        <f t="shared" si="51"/>
        <v>೰</v>
      </c>
    </row>
    <row r="3313" spans="1:2" x14ac:dyDescent="0.25">
      <c r="A3313">
        <v>3313</v>
      </c>
      <c r="B3313" t="str">
        <f t="shared" si="51"/>
        <v>ೱ</v>
      </c>
    </row>
    <row r="3314" spans="1:2" x14ac:dyDescent="0.25">
      <c r="A3314">
        <v>3314</v>
      </c>
      <c r="B3314" t="str">
        <f t="shared" si="51"/>
        <v>ೲ</v>
      </c>
    </row>
    <row r="3315" spans="1:2" x14ac:dyDescent="0.25">
      <c r="A3315">
        <v>3315</v>
      </c>
      <c r="B3315" t="str">
        <f t="shared" si="51"/>
        <v>ೳ</v>
      </c>
    </row>
    <row r="3316" spans="1:2" x14ac:dyDescent="0.25">
      <c r="A3316">
        <v>3316</v>
      </c>
      <c r="B3316" t="str">
        <f t="shared" si="51"/>
        <v>೴</v>
      </c>
    </row>
    <row r="3317" spans="1:2" x14ac:dyDescent="0.25">
      <c r="A3317">
        <v>3317</v>
      </c>
      <c r="B3317" t="str">
        <f t="shared" si="51"/>
        <v>೵</v>
      </c>
    </row>
    <row r="3318" spans="1:2" x14ac:dyDescent="0.25">
      <c r="A3318">
        <v>3318</v>
      </c>
      <c r="B3318" t="str">
        <f t="shared" si="51"/>
        <v>೶</v>
      </c>
    </row>
    <row r="3319" spans="1:2" x14ac:dyDescent="0.25">
      <c r="A3319">
        <v>3319</v>
      </c>
      <c r="B3319" t="str">
        <f t="shared" si="51"/>
        <v>೷</v>
      </c>
    </row>
    <row r="3320" spans="1:2" x14ac:dyDescent="0.25">
      <c r="A3320">
        <v>3320</v>
      </c>
      <c r="B3320" t="str">
        <f t="shared" si="51"/>
        <v>೸</v>
      </c>
    </row>
    <row r="3321" spans="1:2" x14ac:dyDescent="0.25">
      <c r="A3321">
        <v>3321</v>
      </c>
      <c r="B3321" t="str">
        <f t="shared" si="51"/>
        <v>೹</v>
      </c>
    </row>
    <row r="3322" spans="1:2" x14ac:dyDescent="0.25">
      <c r="A3322">
        <v>3322</v>
      </c>
      <c r="B3322" t="str">
        <f t="shared" si="51"/>
        <v>೺</v>
      </c>
    </row>
    <row r="3323" spans="1:2" x14ac:dyDescent="0.25">
      <c r="A3323">
        <v>3323</v>
      </c>
      <c r="B3323" t="str">
        <f t="shared" si="51"/>
        <v>೻</v>
      </c>
    </row>
    <row r="3324" spans="1:2" x14ac:dyDescent="0.25">
      <c r="A3324">
        <v>3324</v>
      </c>
      <c r="B3324" t="str">
        <f t="shared" si="51"/>
        <v>೼</v>
      </c>
    </row>
    <row r="3325" spans="1:2" x14ac:dyDescent="0.25">
      <c r="A3325">
        <v>3325</v>
      </c>
      <c r="B3325" t="str">
        <f t="shared" si="51"/>
        <v>೽</v>
      </c>
    </row>
    <row r="3326" spans="1:2" x14ac:dyDescent="0.25">
      <c r="A3326">
        <v>3326</v>
      </c>
      <c r="B3326" t="str">
        <f t="shared" si="51"/>
        <v>೾</v>
      </c>
    </row>
    <row r="3327" spans="1:2" x14ac:dyDescent="0.25">
      <c r="A3327">
        <v>3327</v>
      </c>
      <c r="B3327" t="str">
        <f t="shared" si="51"/>
        <v>೿</v>
      </c>
    </row>
    <row r="3328" spans="1:2" x14ac:dyDescent="0.25">
      <c r="A3328">
        <v>3328</v>
      </c>
      <c r="B3328" t="str">
        <f t="shared" si="51"/>
        <v>ഀ</v>
      </c>
    </row>
    <row r="3329" spans="1:2" x14ac:dyDescent="0.25">
      <c r="A3329">
        <v>3329</v>
      </c>
      <c r="B3329" t="str">
        <f t="shared" si="51"/>
        <v>ഁ</v>
      </c>
    </row>
    <row r="3330" spans="1:2" x14ac:dyDescent="0.25">
      <c r="A3330">
        <v>3330</v>
      </c>
      <c r="B3330" t="str">
        <f t="shared" ref="B3330:B3393" si="52">_xlfn.UNICHAR(A3330)</f>
        <v>ം</v>
      </c>
    </row>
    <row r="3331" spans="1:2" x14ac:dyDescent="0.25">
      <c r="A3331">
        <v>3331</v>
      </c>
      <c r="B3331" t="str">
        <f t="shared" si="52"/>
        <v>ഃ</v>
      </c>
    </row>
    <row r="3332" spans="1:2" x14ac:dyDescent="0.25">
      <c r="A3332">
        <v>3332</v>
      </c>
      <c r="B3332" t="str">
        <f t="shared" si="52"/>
        <v>ഄ</v>
      </c>
    </row>
    <row r="3333" spans="1:2" x14ac:dyDescent="0.25">
      <c r="A3333">
        <v>3333</v>
      </c>
      <c r="B3333" t="str">
        <f t="shared" si="52"/>
        <v>അ</v>
      </c>
    </row>
    <row r="3334" spans="1:2" x14ac:dyDescent="0.25">
      <c r="A3334">
        <v>3334</v>
      </c>
      <c r="B3334" t="str">
        <f t="shared" si="52"/>
        <v>ആ</v>
      </c>
    </row>
    <row r="3335" spans="1:2" x14ac:dyDescent="0.25">
      <c r="A3335">
        <v>3335</v>
      </c>
      <c r="B3335" t="str">
        <f t="shared" si="52"/>
        <v>ഇ</v>
      </c>
    </row>
    <row r="3336" spans="1:2" x14ac:dyDescent="0.25">
      <c r="A3336">
        <v>3336</v>
      </c>
      <c r="B3336" t="str">
        <f t="shared" si="52"/>
        <v>ഈ</v>
      </c>
    </row>
    <row r="3337" spans="1:2" x14ac:dyDescent="0.25">
      <c r="A3337">
        <v>3337</v>
      </c>
      <c r="B3337" t="str">
        <f t="shared" si="52"/>
        <v>ഉ</v>
      </c>
    </row>
    <row r="3338" spans="1:2" x14ac:dyDescent="0.25">
      <c r="A3338">
        <v>3338</v>
      </c>
      <c r="B3338" t="str">
        <f t="shared" si="52"/>
        <v>ഊ</v>
      </c>
    </row>
    <row r="3339" spans="1:2" x14ac:dyDescent="0.25">
      <c r="A3339">
        <v>3339</v>
      </c>
      <c r="B3339" t="str">
        <f t="shared" si="52"/>
        <v>ഋ</v>
      </c>
    </row>
    <row r="3340" spans="1:2" x14ac:dyDescent="0.25">
      <c r="A3340">
        <v>3340</v>
      </c>
      <c r="B3340" t="str">
        <f t="shared" si="52"/>
        <v>ഌ</v>
      </c>
    </row>
    <row r="3341" spans="1:2" x14ac:dyDescent="0.25">
      <c r="A3341">
        <v>3341</v>
      </c>
      <c r="B3341" t="str">
        <f t="shared" si="52"/>
        <v>഍</v>
      </c>
    </row>
    <row r="3342" spans="1:2" x14ac:dyDescent="0.25">
      <c r="A3342">
        <v>3342</v>
      </c>
      <c r="B3342" t="str">
        <f t="shared" si="52"/>
        <v>എ</v>
      </c>
    </row>
    <row r="3343" spans="1:2" x14ac:dyDescent="0.25">
      <c r="A3343">
        <v>3343</v>
      </c>
      <c r="B3343" t="str">
        <f t="shared" si="52"/>
        <v>ഏ</v>
      </c>
    </row>
    <row r="3344" spans="1:2" x14ac:dyDescent="0.25">
      <c r="A3344">
        <v>3344</v>
      </c>
      <c r="B3344" t="str">
        <f t="shared" si="52"/>
        <v>ഐ</v>
      </c>
    </row>
    <row r="3345" spans="1:2" x14ac:dyDescent="0.25">
      <c r="A3345">
        <v>3345</v>
      </c>
      <c r="B3345" t="str">
        <f t="shared" si="52"/>
        <v>഑</v>
      </c>
    </row>
    <row r="3346" spans="1:2" x14ac:dyDescent="0.25">
      <c r="A3346">
        <v>3346</v>
      </c>
      <c r="B3346" t="str">
        <f t="shared" si="52"/>
        <v>ഒ</v>
      </c>
    </row>
    <row r="3347" spans="1:2" x14ac:dyDescent="0.25">
      <c r="A3347">
        <v>3347</v>
      </c>
      <c r="B3347" t="str">
        <f t="shared" si="52"/>
        <v>ഓ</v>
      </c>
    </row>
    <row r="3348" spans="1:2" x14ac:dyDescent="0.25">
      <c r="A3348">
        <v>3348</v>
      </c>
      <c r="B3348" t="str">
        <f t="shared" si="52"/>
        <v>ഔ</v>
      </c>
    </row>
    <row r="3349" spans="1:2" x14ac:dyDescent="0.25">
      <c r="A3349">
        <v>3349</v>
      </c>
      <c r="B3349" t="str">
        <f t="shared" si="52"/>
        <v>ക</v>
      </c>
    </row>
    <row r="3350" spans="1:2" x14ac:dyDescent="0.25">
      <c r="A3350">
        <v>3350</v>
      </c>
      <c r="B3350" t="str">
        <f t="shared" si="52"/>
        <v>ഖ</v>
      </c>
    </row>
    <row r="3351" spans="1:2" x14ac:dyDescent="0.25">
      <c r="A3351">
        <v>3351</v>
      </c>
      <c r="B3351" t="str">
        <f t="shared" si="52"/>
        <v>ഗ</v>
      </c>
    </row>
    <row r="3352" spans="1:2" x14ac:dyDescent="0.25">
      <c r="A3352">
        <v>3352</v>
      </c>
      <c r="B3352" t="str">
        <f t="shared" si="52"/>
        <v>ഘ</v>
      </c>
    </row>
    <row r="3353" spans="1:2" x14ac:dyDescent="0.25">
      <c r="A3353">
        <v>3353</v>
      </c>
      <c r="B3353" t="str">
        <f t="shared" si="52"/>
        <v>ങ</v>
      </c>
    </row>
    <row r="3354" spans="1:2" x14ac:dyDescent="0.25">
      <c r="A3354">
        <v>3354</v>
      </c>
      <c r="B3354" t="str">
        <f t="shared" si="52"/>
        <v>ച</v>
      </c>
    </row>
    <row r="3355" spans="1:2" x14ac:dyDescent="0.25">
      <c r="A3355">
        <v>3355</v>
      </c>
      <c r="B3355" t="str">
        <f t="shared" si="52"/>
        <v>ഛ</v>
      </c>
    </row>
    <row r="3356" spans="1:2" x14ac:dyDescent="0.25">
      <c r="A3356">
        <v>3356</v>
      </c>
      <c r="B3356" t="str">
        <f t="shared" si="52"/>
        <v>ജ</v>
      </c>
    </row>
    <row r="3357" spans="1:2" x14ac:dyDescent="0.25">
      <c r="A3357">
        <v>3357</v>
      </c>
      <c r="B3357" t="str">
        <f t="shared" si="52"/>
        <v>ഝ</v>
      </c>
    </row>
    <row r="3358" spans="1:2" x14ac:dyDescent="0.25">
      <c r="A3358">
        <v>3358</v>
      </c>
      <c r="B3358" t="str">
        <f t="shared" si="52"/>
        <v>ഞ</v>
      </c>
    </row>
    <row r="3359" spans="1:2" x14ac:dyDescent="0.25">
      <c r="A3359">
        <v>3359</v>
      </c>
      <c r="B3359" t="str">
        <f t="shared" si="52"/>
        <v>ട</v>
      </c>
    </row>
    <row r="3360" spans="1:2" x14ac:dyDescent="0.25">
      <c r="A3360">
        <v>3360</v>
      </c>
      <c r="B3360" t="str">
        <f t="shared" si="52"/>
        <v>ഠ</v>
      </c>
    </row>
    <row r="3361" spans="1:2" x14ac:dyDescent="0.25">
      <c r="A3361">
        <v>3361</v>
      </c>
      <c r="B3361" t="str">
        <f t="shared" si="52"/>
        <v>ഡ</v>
      </c>
    </row>
    <row r="3362" spans="1:2" x14ac:dyDescent="0.25">
      <c r="A3362">
        <v>3362</v>
      </c>
      <c r="B3362" t="str">
        <f t="shared" si="52"/>
        <v>ഢ</v>
      </c>
    </row>
    <row r="3363" spans="1:2" x14ac:dyDescent="0.25">
      <c r="A3363">
        <v>3363</v>
      </c>
      <c r="B3363" t="str">
        <f t="shared" si="52"/>
        <v>ണ</v>
      </c>
    </row>
    <row r="3364" spans="1:2" x14ac:dyDescent="0.25">
      <c r="A3364">
        <v>3364</v>
      </c>
      <c r="B3364" t="str">
        <f t="shared" si="52"/>
        <v>ത</v>
      </c>
    </row>
    <row r="3365" spans="1:2" x14ac:dyDescent="0.25">
      <c r="A3365">
        <v>3365</v>
      </c>
      <c r="B3365" t="str">
        <f t="shared" si="52"/>
        <v>ഥ</v>
      </c>
    </row>
    <row r="3366" spans="1:2" x14ac:dyDescent="0.25">
      <c r="A3366">
        <v>3366</v>
      </c>
      <c r="B3366" t="str">
        <f t="shared" si="52"/>
        <v>ദ</v>
      </c>
    </row>
    <row r="3367" spans="1:2" x14ac:dyDescent="0.25">
      <c r="A3367">
        <v>3367</v>
      </c>
      <c r="B3367" t="str">
        <f t="shared" si="52"/>
        <v>ധ</v>
      </c>
    </row>
    <row r="3368" spans="1:2" x14ac:dyDescent="0.25">
      <c r="A3368">
        <v>3368</v>
      </c>
      <c r="B3368" t="str">
        <f t="shared" si="52"/>
        <v>ന</v>
      </c>
    </row>
    <row r="3369" spans="1:2" x14ac:dyDescent="0.25">
      <c r="A3369">
        <v>3369</v>
      </c>
      <c r="B3369" t="str">
        <f t="shared" si="52"/>
        <v>ഩ</v>
      </c>
    </row>
    <row r="3370" spans="1:2" x14ac:dyDescent="0.25">
      <c r="A3370">
        <v>3370</v>
      </c>
      <c r="B3370" t="str">
        <f t="shared" si="52"/>
        <v>പ</v>
      </c>
    </row>
    <row r="3371" spans="1:2" x14ac:dyDescent="0.25">
      <c r="A3371">
        <v>3371</v>
      </c>
      <c r="B3371" t="str">
        <f t="shared" si="52"/>
        <v>ഫ</v>
      </c>
    </row>
    <row r="3372" spans="1:2" x14ac:dyDescent="0.25">
      <c r="A3372">
        <v>3372</v>
      </c>
      <c r="B3372" t="str">
        <f t="shared" si="52"/>
        <v>ബ</v>
      </c>
    </row>
    <row r="3373" spans="1:2" x14ac:dyDescent="0.25">
      <c r="A3373">
        <v>3373</v>
      </c>
      <c r="B3373" t="str">
        <f t="shared" si="52"/>
        <v>ഭ</v>
      </c>
    </row>
    <row r="3374" spans="1:2" x14ac:dyDescent="0.25">
      <c r="A3374">
        <v>3374</v>
      </c>
      <c r="B3374" t="str">
        <f t="shared" si="52"/>
        <v>മ</v>
      </c>
    </row>
    <row r="3375" spans="1:2" x14ac:dyDescent="0.25">
      <c r="A3375">
        <v>3375</v>
      </c>
      <c r="B3375" t="str">
        <f t="shared" si="52"/>
        <v>യ</v>
      </c>
    </row>
    <row r="3376" spans="1:2" x14ac:dyDescent="0.25">
      <c r="A3376">
        <v>3376</v>
      </c>
      <c r="B3376" t="str">
        <f t="shared" si="52"/>
        <v>ര</v>
      </c>
    </row>
    <row r="3377" spans="1:2" x14ac:dyDescent="0.25">
      <c r="A3377">
        <v>3377</v>
      </c>
      <c r="B3377" t="str">
        <f t="shared" si="52"/>
        <v>റ</v>
      </c>
    </row>
    <row r="3378" spans="1:2" x14ac:dyDescent="0.25">
      <c r="A3378">
        <v>3378</v>
      </c>
      <c r="B3378" t="str">
        <f t="shared" si="52"/>
        <v>ല</v>
      </c>
    </row>
    <row r="3379" spans="1:2" x14ac:dyDescent="0.25">
      <c r="A3379">
        <v>3379</v>
      </c>
      <c r="B3379" t="str">
        <f t="shared" si="52"/>
        <v>ള</v>
      </c>
    </row>
    <row r="3380" spans="1:2" x14ac:dyDescent="0.25">
      <c r="A3380">
        <v>3380</v>
      </c>
      <c r="B3380" t="str">
        <f t="shared" si="52"/>
        <v>ഴ</v>
      </c>
    </row>
    <row r="3381" spans="1:2" x14ac:dyDescent="0.25">
      <c r="A3381">
        <v>3381</v>
      </c>
      <c r="B3381" t="str">
        <f t="shared" si="52"/>
        <v>വ</v>
      </c>
    </row>
    <row r="3382" spans="1:2" x14ac:dyDescent="0.25">
      <c r="A3382">
        <v>3382</v>
      </c>
      <c r="B3382" t="str">
        <f t="shared" si="52"/>
        <v>ശ</v>
      </c>
    </row>
    <row r="3383" spans="1:2" x14ac:dyDescent="0.25">
      <c r="A3383">
        <v>3383</v>
      </c>
      <c r="B3383" t="str">
        <f t="shared" si="52"/>
        <v>ഷ</v>
      </c>
    </row>
    <row r="3384" spans="1:2" x14ac:dyDescent="0.25">
      <c r="A3384">
        <v>3384</v>
      </c>
      <c r="B3384" t="str">
        <f t="shared" si="52"/>
        <v>സ</v>
      </c>
    </row>
    <row r="3385" spans="1:2" x14ac:dyDescent="0.25">
      <c r="A3385">
        <v>3385</v>
      </c>
      <c r="B3385" t="str">
        <f t="shared" si="52"/>
        <v>ഹ</v>
      </c>
    </row>
    <row r="3386" spans="1:2" x14ac:dyDescent="0.25">
      <c r="A3386">
        <v>3386</v>
      </c>
      <c r="B3386" t="str">
        <f t="shared" si="52"/>
        <v>ഺ</v>
      </c>
    </row>
    <row r="3387" spans="1:2" x14ac:dyDescent="0.25">
      <c r="A3387">
        <v>3387</v>
      </c>
      <c r="B3387" t="str">
        <f t="shared" si="52"/>
        <v>഻</v>
      </c>
    </row>
    <row r="3388" spans="1:2" x14ac:dyDescent="0.25">
      <c r="A3388">
        <v>3388</v>
      </c>
      <c r="B3388" t="str">
        <f t="shared" si="52"/>
        <v>഼</v>
      </c>
    </row>
    <row r="3389" spans="1:2" x14ac:dyDescent="0.25">
      <c r="A3389">
        <v>3389</v>
      </c>
      <c r="B3389" t="str">
        <f t="shared" si="52"/>
        <v>ഽ</v>
      </c>
    </row>
    <row r="3390" spans="1:2" x14ac:dyDescent="0.25">
      <c r="A3390">
        <v>3390</v>
      </c>
      <c r="B3390" t="str">
        <f t="shared" si="52"/>
        <v>ാ</v>
      </c>
    </row>
    <row r="3391" spans="1:2" x14ac:dyDescent="0.25">
      <c r="A3391">
        <v>3391</v>
      </c>
      <c r="B3391" t="str">
        <f t="shared" si="52"/>
        <v>ി</v>
      </c>
    </row>
    <row r="3392" spans="1:2" x14ac:dyDescent="0.25">
      <c r="A3392">
        <v>3392</v>
      </c>
      <c r="B3392" t="str">
        <f t="shared" si="52"/>
        <v>ീ</v>
      </c>
    </row>
    <row r="3393" spans="1:2" x14ac:dyDescent="0.25">
      <c r="A3393">
        <v>3393</v>
      </c>
      <c r="B3393" t="str">
        <f t="shared" si="52"/>
        <v>ു</v>
      </c>
    </row>
    <row r="3394" spans="1:2" x14ac:dyDescent="0.25">
      <c r="A3394">
        <v>3394</v>
      </c>
      <c r="B3394" t="str">
        <f t="shared" ref="B3394:B3457" si="53">_xlfn.UNICHAR(A3394)</f>
        <v>ൂ</v>
      </c>
    </row>
    <row r="3395" spans="1:2" x14ac:dyDescent="0.25">
      <c r="A3395">
        <v>3395</v>
      </c>
      <c r="B3395" t="str">
        <f t="shared" si="53"/>
        <v>ൃ</v>
      </c>
    </row>
    <row r="3396" spans="1:2" x14ac:dyDescent="0.25">
      <c r="A3396">
        <v>3396</v>
      </c>
      <c r="B3396" t="str">
        <f t="shared" si="53"/>
        <v>ൄ</v>
      </c>
    </row>
    <row r="3397" spans="1:2" x14ac:dyDescent="0.25">
      <c r="A3397">
        <v>3397</v>
      </c>
      <c r="B3397" t="str">
        <f t="shared" si="53"/>
        <v>൅</v>
      </c>
    </row>
    <row r="3398" spans="1:2" x14ac:dyDescent="0.25">
      <c r="A3398">
        <v>3398</v>
      </c>
      <c r="B3398" t="str">
        <f t="shared" si="53"/>
        <v>െ</v>
      </c>
    </row>
    <row r="3399" spans="1:2" x14ac:dyDescent="0.25">
      <c r="A3399">
        <v>3399</v>
      </c>
      <c r="B3399" t="str">
        <f t="shared" si="53"/>
        <v>േ</v>
      </c>
    </row>
    <row r="3400" spans="1:2" x14ac:dyDescent="0.25">
      <c r="A3400">
        <v>3400</v>
      </c>
      <c r="B3400" t="str">
        <f t="shared" si="53"/>
        <v>ൈ</v>
      </c>
    </row>
    <row r="3401" spans="1:2" x14ac:dyDescent="0.25">
      <c r="A3401">
        <v>3401</v>
      </c>
      <c r="B3401" t="str">
        <f t="shared" si="53"/>
        <v>൉</v>
      </c>
    </row>
    <row r="3402" spans="1:2" x14ac:dyDescent="0.25">
      <c r="A3402">
        <v>3402</v>
      </c>
      <c r="B3402" t="str">
        <f t="shared" si="53"/>
        <v>ൊ</v>
      </c>
    </row>
    <row r="3403" spans="1:2" x14ac:dyDescent="0.25">
      <c r="A3403">
        <v>3403</v>
      </c>
      <c r="B3403" t="str">
        <f t="shared" si="53"/>
        <v>ോ</v>
      </c>
    </row>
    <row r="3404" spans="1:2" x14ac:dyDescent="0.25">
      <c r="A3404">
        <v>3404</v>
      </c>
      <c r="B3404" t="str">
        <f t="shared" si="53"/>
        <v>ൌ</v>
      </c>
    </row>
    <row r="3405" spans="1:2" x14ac:dyDescent="0.25">
      <c r="A3405">
        <v>3405</v>
      </c>
      <c r="B3405" t="str">
        <f t="shared" si="53"/>
        <v>്</v>
      </c>
    </row>
    <row r="3406" spans="1:2" x14ac:dyDescent="0.25">
      <c r="A3406">
        <v>3406</v>
      </c>
      <c r="B3406" t="str">
        <f t="shared" si="53"/>
        <v>ൎ</v>
      </c>
    </row>
    <row r="3407" spans="1:2" x14ac:dyDescent="0.25">
      <c r="A3407">
        <v>3407</v>
      </c>
      <c r="B3407" t="str">
        <f t="shared" si="53"/>
        <v>൏</v>
      </c>
    </row>
    <row r="3408" spans="1:2" x14ac:dyDescent="0.25">
      <c r="A3408">
        <v>3408</v>
      </c>
      <c r="B3408" t="str">
        <f t="shared" si="53"/>
        <v>൐</v>
      </c>
    </row>
    <row r="3409" spans="1:2" x14ac:dyDescent="0.25">
      <c r="A3409">
        <v>3409</v>
      </c>
      <c r="B3409" t="str">
        <f t="shared" si="53"/>
        <v>൑</v>
      </c>
    </row>
    <row r="3410" spans="1:2" x14ac:dyDescent="0.25">
      <c r="A3410">
        <v>3410</v>
      </c>
      <c r="B3410" t="str">
        <f t="shared" si="53"/>
        <v>൒</v>
      </c>
    </row>
    <row r="3411" spans="1:2" x14ac:dyDescent="0.25">
      <c r="A3411">
        <v>3411</v>
      </c>
      <c r="B3411" t="str">
        <f t="shared" si="53"/>
        <v>൓</v>
      </c>
    </row>
    <row r="3412" spans="1:2" x14ac:dyDescent="0.25">
      <c r="A3412">
        <v>3412</v>
      </c>
      <c r="B3412" t="str">
        <f t="shared" si="53"/>
        <v>ൔ</v>
      </c>
    </row>
    <row r="3413" spans="1:2" x14ac:dyDescent="0.25">
      <c r="A3413">
        <v>3413</v>
      </c>
      <c r="B3413" t="str">
        <f t="shared" si="53"/>
        <v>ൕ</v>
      </c>
    </row>
    <row r="3414" spans="1:2" x14ac:dyDescent="0.25">
      <c r="A3414">
        <v>3414</v>
      </c>
      <c r="B3414" t="str">
        <f t="shared" si="53"/>
        <v>ൖ</v>
      </c>
    </row>
    <row r="3415" spans="1:2" x14ac:dyDescent="0.25">
      <c r="A3415">
        <v>3415</v>
      </c>
      <c r="B3415" t="str">
        <f t="shared" si="53"/>
        <v>ൗ</v>
      </c>
    </row>
    <row r="3416" spans="1:2" x14ac:dyDescent="0.25">
      <c r="A3416">
        <v>3416</v>
      </c>
      <c r="B3416" t="str">
        <f t="shared" si="53"/>
        <v>൘</v>
      </c>
    </row>
    <row r="3417" spans="1:2" x14ac:dyDescent="0.25">
      <c r="A3417">
        <v>3417</v>
      </c>
      <c r="B3417" t="str">
        <f t="shared" si="53"/>
        <v>൙</v>
      </c>
    </row>
    <row r="3418" spans="1:2" x14ac:dyDescent="0.25">
      <c r="A3418">
        <v>3418</v>
      </c>
      <c r="B3418" t="str">
        <f t="shared" si="53"/>
        <v>൚</v>
      </c>
    </row>
    <row r="3419" spans="1:2" x14ac:dyDescent="0.25">
      <c r="A3419">
        <v>3419</v>
      </c>
      <c r="B3419" t="str">
        <f t="shared" si="53"/>
        <v>൛</v>
      </c>
    </row>
    <row r="3420" spans="1:2" x14ac:dyDescent="0.25">
      <c r="A3420">
        <v>3420</v>
      </c>
      <c r="B3420" t="str">
        <f t="shared" si="53"/>
        <v>൜</v>
      </c>
    </row>
    <row r="3421" spans="1:2" x14ac:dyDescent="0.25">
      <c r="A3421">
        <v>3421</v>
      </c>
      <c r="B3421" t="str">
        <f t="shared" si="53"/>
        <v>൝</v>
      </c>
    </row>
    <row r="3422" spans="1:2" x14ac:dyDescent="0.25">
      <c r="A3422">
        <v>3422</v>
      </c>
      <c r="B3422" t="str">
        <f t="shared" si="53"/>
        <v>൞</v>
      </c>
    </row>
    <row r="3423" spans="1:2" x14ac:dyDescent="0.25">
      <c r="A3423">
        <v>3423</v>
      </c>
      <c r="B3423" t="str">
        <f t="shared" si="53"/>
        <v>ൟ</v>
      </c>
    </row>
    <row r="3424" spans="1:2" x14ac:dyDescent="0.25">
      <c r="A3424">
        <v>3424</v>
      </c>
      <c r="B3424" t="str">
        <f t="shared" si="53"/>
        <v>ൠ</v>
      </c>
    </row>
    <row r="3425" spans="1:2" x14ac:dyDescent="0.25">
      <c r="A3425">
        <v>3425</v>
      </c>
      <c r="B3425" t="str">
        <f t="shared" si="53"/>
        <v>ൡ</v>
      </c>
    </row>
    <row r="3426" spans="1:2" x14ac:dyDescent="0.25">
      <c r="A3426">
        <v>3426</v>
      </c>
      <c r="B3426" t="str">
        <f t="shared" si="53"/>
        <v>ൢ</v>
      </c>
    </row>
    <row r="3427" spans="1:2" x14ac:dyDescent="0.25">
      <c r="A3427">
        <v>3427</v>
      </c>
      <c r="B3427" t="str">
        <f t="shared" si="53"/>
        <v>ൣ</v>
      </c>
    </row>
    <row r="3428" spans="1:2" x14ac:dyDescent="0.25">
      <c r="A3428">
        <v>3428</v>
      </c>
      <c r="B3428" t="str">
        <f t="shared" si="53"/>
        <v>൤</v>
      </c>
    </row>
    <row r="3429" spans="1:2" x14ac:dyDescent="0.25">
      <c r="A3429">
        <v>3429</v>
      </c>
      <c r="B3429" t="str">
        <f t="shared" si="53"/>
        <v>൥</v>
      </c>
    </row>
    <row r="3430" spans="1:2" x14ac:dyDescent="0.25">
      <c r="A3430">
        <v>3430</v>
      </c>
      <c r="B3430" t="str">
        <f t="shared" si="53"/>
        <v>൦</v>
      </c>
    </row>
    <row r="3431" spans="1:2" x14ac:dyDescent="0.25">
      <c r="A3431">
        <v>3431</v>
      </c>
      <c r="B3431" t="str">
        <f t="shared" si="53"/>
        <v>൧</v>
      </c>
    </row>
    <row r="3432" spans="1:2" x14ac:dyDescent="0.25">
      <c r="A3432">
        <v>3432</v>
      </c>
      <c r="B3432" t="str">
        <f t="shared" si="53"/>
        <v>൨</v>
      </c>
    </row>
    <row r="3433" spans="1:2" x14ac:dyDescent="0.25">
      <c r="A3433">
        <v>3433</v>
      </c>
      <c r="B3433" t="str">
        <f t="shared" si="53"/>
        <v>൩</v>
      </c>
    </row>
    <row r="3434" spans="1:2" x14ac:dyDescent="0.25">
      <c r="A3434">
        <v>3434</v>
      </c>
      <c r="B3434" t="str">
        <f t="shared" si="53"/>
        <v>൪</v>
      </c>
    </row>
    <row r="3435" spans="1:2" x14ac:dyDescent="0.25">
      <c r="A3435">
        <v>3435</v>
      </c>
      <c r="B3435" t="str">
        <f t="shared" si="53"/>
        <v>൫</v>
      </c>
    </row>
    <row r="3436" spans="1:2" x14ac:dyDescent="0.25">
      <c r="A3436">
        <v>3436</v>
      </c>
      <c r="B3436" t="str">
        <f t="shared" si="53"/>
        <v>൬</v>
      </c>
    </row>
    <row r="3437" spans="1:2" x14ac:dyDescent="0.25">
      <c r="A3437">
        <v>3437</v>
      </c>
      <c r="B3437" t="str">
        <f t="shared" si="53"/>
        <v>൭</v>
      </c>
    </row>
    <row r="3438" spans="1:2" x14ac:dyDescent="0.25">
      <c r="A3438">
        <v>3438</v>
      </c>
      <c r="B3438" t="str">
        <f t="shared" si="53"/>
        <v>൮</v>
      </c>
    </row>
    <row r="3439" spans="1:2" x14ac:dyDescent="0.25">
      <c r="A3439">
        <v>3439</v>
      </c>
      <c r="B3439" t="str">
        <f t="shared" si="53"/>
        <v>൯</v>
      </c>
    </row>
    <row r="3440" spans="1:2" x14ac:dyDescent="0.25">
      <c r="A3440">
        <v>3440</v>
      </c>
      <c r="B3440" t="str">
        <f t="shared" si="53"/>
        <v>൰</v>
      </c>
    </row>
    <row r="3441" spans="1:2" x14ac:dyDescent="0.25">
      <c r="A3441">
        <v>3441</v>
      </c>
      <c r="B3441" t="str">
        <f t="shared" si="53"/>
        <v>൱</v>
      </c>
    </row>
    <row r="3442" spans="1:2" x14ac:dyDescent="0.25">
      <c r="A3442">
        <v>3442</v>
      </c>
      <c r="B3442" t="str">
        <f t="shared" si="53"/>
        <v>൲</v>
      </c>
    </row>
    <row r="3443" spans="1:2" x14ac:dyDescent="0.25">
      <c r="A3443">
        <v>3443</v>
      </c>
      <c r="B3443" t="str">
        <f t="shared" si="53"/>
        <v>൳</v>
      </c>
    </row>
    <row r="3444" spans="1:2" x14ac:dyDescent="0.25">
      <c r="A3444">
        <v>3444</v>
      </c>
      <c r="B3444" t="str">
        <f t="shared" si="53"/>
        <v>൴</v>
      </c>
    </row>
    <row r="3445" spans="1:2" x14ac:dyDescent="0.25">
      <c r="A3445">
        <v>3445</v>
      </c>
      <c r="B3445" t="str">
        <f t="shared" si="53"/>
        <v>൵</v>
      </c>
    </row>
    <row r="3446" spans="1:2" x14ac:dyDescent="0.25">
      <c r="A3446">
        <v>3446</v>
      </c>
      <c r="B3446" t="str">
        <f t="shared" si="53"/>
        <v>൶</v>
      </c>
    </row>
    <row r="3447" spans="1:2" x14ac:dyDescent="0.25">
      <c r="A3447">
        <v>3447</v>
      </c>
      <c r="B3447" t="str">
        <f t="shared" si="53"/>
        <v>൷</v>
      </c>
    </row>
    <row r="3448" spans="1:2" x14ac:dyDescent="0.25">
      <c r="A3448">
        <v>3448</v>
      </c>
      <c r="B3448" t="str">
        <f t="shared" si="53"/>
        <v>൸</v>
      </c>
    </row>
    <row r="3449" spans="1:2" x14ac:dyDescent="0.25">
      <c r="A3449">
        <v>3449</v>
      </c>
      <c r="B3449" t="str">
        <f t="shared" si="53"/>
        <v>൹</v>
      </c>
    </row>
    <row r="3450" spans="1:2" x14ac:dyDescent="0.25">
      <c r="A3450">
        <v>3450</v>
      </c>
      <c r="B3450" t="str">
        <f t="shared" si="53"/>
        <v>ൺ</v>
      </c>
    </row>
    <row r="3451" spans="1:2" x14ac:dyDescent="0.25">
      <c r="A3451">
        <v>3451</v>
      </c>
      <c r="B3451" t="str">
        <f t="shared" si="53"/>
        <v>ൻ</v>
      </c>
    </row>
    <row r="3452" spans="1:2" x14ac:dyDescent="0.25">
      <c r="A3452">
        <v>3452</v>
      </c>
      <c r="B3452" t="str">
        <f t="shared" si="53"/>
        <v>ർ</v>
      </c>
    </row>
    <row r="3453" spans="1:2" x14ac:dyDescent="0.25">
      <c r="A3453">
        <v>3453</v>
      </c>
      <c r="B3453" t="str">
        <f t="shared" si="53"/>
        <v>ൽ</v>
      </c>
    </row>
    <row r="3454" spans="1:2" x14ac:dyDescent="0.25">
      <c r="A3454">
        <v>3454</v>
      </c>
      <c r="B3454" t="str">
        <f t="shared" si="53"/>
        <v>ൾ</v>
      </c>
    </row>
    <row r="3455" spans="1:2" x14ac:dyDescent="0.25">
      <c r="A3455">
        <v>3455</v>
      </c>
      <c r="B3455" t="str">
        <f t="shared" si="53"/>
        <v>ൿ</v>
      </c>
    </row>
    <row r="3456" spans="1:2" x14ac:dyDescent="0.25">
      <c r="A3456">
        <v>3456</v>
      </c>
      <c r="B3456" t="str">
        <f t="shared" si="53"/>
        <v>඀</v>
      </c>
    </row>
    <row r="3457" spans="1:2" x14ac:dyDescent="0.25">
      <c r="A3457">
        <v>3457</v>
      </c>
      <c r="B3457" t="str">
        <f t="shared" si="53"/>
        <v>ඁ</v>
      </c>
    </row>
    <row r="3458" spans="1:2" x14ac:dyDescent="0.25">
      <c r="A3458">
        <v>3458</v>
      </c>
      <c r="B3458" t="str">
        <f t="shared" ref="B3458:B3521" si="54">_xlfn.UNICHAR(A3458)</f>
        <v>ං</v>
      </c>
    </row>
    <row r="3459" spans="1:2" x14ac:dyDescent="0.25">
      <c r="A3459">
        <v>3459</v>
      </c>
      <c r="B3459" t="str">
        <f t="shared" si="54"/>
        <v>ඃ</v>
      </c>
    </row>
    <row r="3460" spans="1:2" x14ac:dyDescent="0.25">
      <c r="A3460">
        <v>3460</v>
      </c>
      <c r="B3460" t="str">
        <f t="shared" si="54"/>
        <v>඄</v>
      </c>
    </row>
    <row r="3461" spans="1:2" x14ac:dyDescent="0.25">
      <c r="A3461">
        <v>3461</v>
      </c>
      <c r="B3461" t="str">
        <f t="shared" si="54"/>
        <v>අ</v>
      </c>
    </row>
    <row r="3462" spans="1:2" x14ac:dyDescent="0.25">
      <c r="A3462">
        <v>3462</v>
      </c>
      <c r="B3462" t="str">
        <f t="shared" si="54"/>
        <v>ආ</v>
      </c>
    </row>
    <row r="3463" spans="1:2" x14ac:dyDescent="0.25">
      <c r="A3463">
        <v>3463</v>
      </c>
      <c r="B3463" t="str">
        <f t="shared" si="54"/>
        <v>ඇ</v>
      </c>
    </row>
    <row r="3464" spans="1:2" x14ac:dyDescent="0.25">
      <c r="A3464">
        <v>3464</v>
      </c>
      <c r="B3464" t="str">
        <f t="shared" si="54"/>
        <v>ඈ</v>
      </c>
    </row>
    <row r="3465" spans="1:2" x14ac:dyDescent="0.25">
      <c r="A3465">
        <v>3465</v>
      </c>
      <c r="B3465" t="str">
        <f t="shared" si="54"/>
        <v>ඉ</v>
      </c>
    </row>
    <row r="3466" spans="1:2" x14ac:dyDescent="0.25">
      <c r="A3466">
        <v>3466</v>
      </c>
      <c r="B3466" t="str">
        <f t="shared" si="54"/>
        <v>ඊ</v>
      </c>
    </row>
    <row r="3467" spans="1:2" x14ac:dyDescent="0.25">
      <c r="A3467">
        <v>3467</v>
      </c>
      <c r="B3467" t="str">
        <f t="shared" si="54"/>
        <v>උ</v>
      </c>
    </row>
    <row r="3468" spans="1:2" x14ac:dyDescent="0.25">
      <c r="A3468">
        <v>3468</v>
      </c>
      <c r="B3468" t="str">
        <f t="shared" si="54"/>
        <v>ඌ</v>
      </c>
    </row>
    <row r="3469" spans="1:2" x14ac:dyDescent="0.25">
      <c r="A3469">
        <v>3469</v>
      </c>
      <c r="B3469" t="str">
        <f t="shared" si="54"/>
        <v>ඍ</v>
      </c>
    </row>
    <row r="3470" spans="1:2" x14ac:dyDescent="0.25">
      <c r="A3470">
        <v>3470</v>
      </c>
      <c r="B3470" t="str">
        <f t="shared" si="54"/>
        <v>ඎ</v>
      </c>
    </row>
    <row r="3471" spans="1:2" x14ac:dyDescent="0.25">
      <c r="A3471">
        <v>3471</v>
      </c>
      <c r="B3471" t="str">
        <f t="shared" si="54"/>
        <v>ඏ</v>
      </c>
    </row>
    <row r="3472" spans="1:2" x14ac:dyDescent="0.25">
      <c r="A3472">
        <v>3472</v>
      </c>
      <c r="B3472" t="str">
        <f t="shared" si="54"/>
        <v>ඐ</v>
      </c>
    </row>
    <row r="3473" spans="1:2" x14ac:dyDescent="0.25">
      <c r="A3473">
        <v>3473</v>
      </c>
      <c r="B3473" t="str">
        <f t="shared" si="54"/>
        <v>එ</v>
      </c>
    </row>
    <row r="3474" spans="1:2" x14ac:dyDescent="0.25">
      <c r="A3474">
        <v>3474</v>
      </c>
      <c r="B3474" t="str">
        <f t="shared" si="54"/>
        <v>ඒ</v>
      </c>
    </row>
    <row r="3475" spans="1:2" x14ac:dyDescent="0.25">
      <c r="A3475">
        <v>3475</v>
      </c>
      <c r="B3475" t="str">
        <f t="shared" si="54"/>
        <v>ඓ</v>
      </c>
    </row>
    <row r="3476" spans="1:2" x14ac:dyDescent="0.25">
      <c r="A3476">
        <v>3476</v>
      </c>
      <c r="B3476" t="str">
        <f t="shared" si="54"/>
        <v>ඔ</v>
      </c>
    </row>
    <row r="3477" spans="1:2" x14ac:dyDescent="0.25">
      <c r="A3477">
        <v>3477</v>
      </c>
      <c r="B3477" t="str">
        <f t="shared" si="54"/>
        <v>ඕ</v>
      </c>
    </row>
    <row r="3478" spans="1:2" x14ac:dyDescent="0.25">
      <c r="A3478">
        <v>3478</v>
      </c>
      <c r="B3478" t="str">
        <f t="shared" si="54"/>
        <v>ඖ</v>
      </c>
    </row>
    <row r="3479" spans="1:2" x14ac:dyDescent="0.25">
      <c r="A3479">
        <v>3479</v>
      </c>
      <c r="B3479" t="str">
        <f t="shared" si="54"/>
        <v>඗</v>
      </c>
    </row>
    <row r="3480" spans="1:2" x14ac:dyDescent="0.25">
      <c r="A3480">
        <v>3480</v>
      </c>
      <c r="B3480" t="str">
        <f t="shared" si="54"/>
        <v>඘</v>
      </c>
    </row>
    <row r="3481" spans="1:2" x14ac:dyDescent="0.25">
      <c r="A3481">
        <v>3481</v>
      </c>
      <c r="B3481" t="str">
        <f t="shared" si="54"/>
        <v>඙</v>
      </c>
    </row>
    <row r="3482" spans="1:2" x14ac:dyDescent="0.25">
      <c r="A3482">
        <v>3482</v>
      </c>
      <c r="B3482" t="str">
        <f t="shared" si="54"/>
        <v>ක</v>
      </c>
    </row>
    <row r="3483" spans="1:2" x14ac:dyDescent="0.25">
      <c r="A3483">
        <v>3483</v>
      </c>
      <c r="B3483" t="str">
        <f t="shared" si="54"/>
        <v>ඛ</v>
      </c>
    </row>
    <row r="3484" spans="1:2" x14ac:dyDescent="0.25">
      <c r="A3484">
        <v>3484</v>
      </c>
      <c r="B3484" t="str">
        <f t="shared" si="54"/>
        <v>ග</v>
      </c>
    </row>
    <row r="3485" spans="1:2" x14ac:dyDescent="0.25">
      <c r="A3485">
        <v>3485</v>
      </c>
      <c r="B3485" t="str">
        <f t="shared" si="54"/>
        <v>ඝ</v>
      </c>
    </row>
    <row r="3486" spans="1:2" x14ac:dyDescent="0.25">
      <c r="A3486">
        <v>3486</v>
      </c>
      <c r="B3486" t="str">
        <f t="shared" si="54"/>
        <v>ඞ</v>
      </c>
    </row>
    <row r="3487" spans="1:2" x14ac:dyDescent="0.25">
      <c r="A3487">
        <v>3487</v>
      </c>
      <c r="B3487" t="str">
        <f t="shared" si="54"/>
        <v>ඟ</v>
      </c>
    </row>
    <row r="3488" spans="1:2" x14ac:dyDescent="0.25">
      <c r="A3488">
        <v>3488</v>
      </c>
      <c r="B3488" t="str">
        <f t="shared" si="54"/>
        <v>ච</v>
      </c>
    </row>
    <row r="3489" spans="1:2" x14ac:dyDescent="0.25">
      <c r="A3489">
        <v>3489</v>
      </c>
      <c r="B3489" t="str">
        <f t="shared" si="54"/>
        <v>ඡ</v>
      </c>
    </row>
    <row r="3490" spans="1:2" x14ac:dyDescent="0.25">
      <c r="A3490">
        <v>3490</v>
      </c>
      <c r="B3490" t="str">
        <f t="shared" si="54"/>
        <v>ජ</v>
      </c>
    </row>
    <row r="3491" spans="1:2" x14ac:dyDescent="0.25">
      <c r="A3491">
        <v>3491</v>
      </c>
      <c r="B3491" t="str">
        <f t="shared" si="54"/>
        <v>ඣ</v>
      </c>
    </row>
    <row r="3492" spans="1:2" x14ac:dyDescent="0.25">
      <c r="A3492">
        <v>3492</v>
      </c>
      <c r="B3492" t="str">
        <f t="shared" si="54"/>
        <v>ඤ</v>
      </c>
    </row>
    <row r="3493" spans="1:2" x14ac:dyDescent="0.25">
      <c r="A3493">
        <v>3493</v>
      </c>
      <c r="B3493" t="str">
        <f t="shared" si="54"/>
        <v>ඥ</v>
      </c>
    </row>
    <row r="3494" spans="1:2" x14ac:dyDescent="0.25">
      <c r="A3494">
        <v>3494</v>
      </c>
      <c r="B3494" t="str">
        <f t="shared" si="54"/>
        <v>ඦ</v>
      </c>
    </row>
    <row r="3495" spans="1:2" x14ac:dyDescent="0.25">
      <c r="A3495">
        <v>3495</v>
      </c>
      <c r="B3495" t="str">
        <f t="shared" si="54"/>
        <v>ට</v>
      </c>
    </row>
    <row r="3496" spans="1:2" x14ac:dyDescent="0.25">
      <c r="A3496">
        <v>3496</v>
      </c>
      <c r="B3496" t="str">
        <f t="shared" si="54"/>
        <v>ඨ</v>
      </c>
    </row>
    <row r="3497" spans="1:2" x14ac:dyDescent="0.25">
      <c r="A3497">
        <v>3497</v>
      </c>
      <c r="B3497" t="str">
        <f t="shared" si="54"/>
        <v>ඩ</v>
      </c>
    </row>
    <row r="3498" spans="1:2" x14ac:dyDescent="0.25">
      <c r="A3498">
        <v>3498</v>
      </c>
      <c r="B3498" t="str">
        <f t="shared" si="54"/>
        <v>ඪ</v>
      </c>
    </row>
    <row r="3499" spans="1:2" x14ac:dyDescent="0.25">
      <c r="A3499">
        <v>3499</v>
      </c>
      <c r="B3499" t="str">
        <f t="shared" si="54"/>
        <v>ණ</v>
      </c>
    </row>
    <row r="3500" spans="1:2" x14ac:dyDescent="0.25">
      <c r="A3500">
        <v>3500</v>
      </c>
      <c r="B3500" t="str">
        <f t="shared" si="54"/>
        <v>ඬ</v>
      </c>
    </row>
    <row r="3501" spans="1:2" x14ac:dyDescent="0.25">
      <c r="A3501">
        <v>3501</v>
      </c>
      <c r="B3501" t="str">
        <f t="shared" si="54"/>
        <v>ත</v>
      </c>
    </row>
    <row r="3502" spans="1:2" x14ac:dyDescent="0.25">
      <c r="A3502">
        <v>3502</v>
      </c>
      <c r="B3502" t="str">
        <f t="shared" si="54"/>
        <v>ථ</v>
      </c>
    </row>
    <row r="3503" spans="1:2" x14ac:dyDescent="0.25">
      <c r="A3503">
        <v>3503</v>
      </c>
      <c r="B3503" t="str">
        <f t="shared" si="54"/>
        <v>ද</v>
      </c>
    </row>
    <row r="3504" spans="1:2" x14ac:dyDescent="0.25">
      <c r="A3504">
        <v>3504</v>
      </c>
      <c r="B3504" t="str">
        <f t="shared" si="54"/>
        <v>ධ</v>
      </c>
    </row>
    <row r="3505" spans="1:2" x14ac:dyDescent="0.25">
      <c r="A3505">
        <v>3505</v>
      </c>
      <c r="B3505" t="str">
        <f t="shared" si="54"/>
        <v>න</v>
      </c>
    </row>
    <row r="3506" spans="1:2" x14ac:dyDescent="0.25">
      <c r="A3506">
        <v>3506</v>
      </c>
      <c r="B3506" t="str">
        <f t="shared" si="54"/>
        <v>඲</v>
      </c>
    </row>
    <row r="3507" spans="1:2" x14ac:dyDescent="0.25">
      <c r="A3507">
        <v>3507</v>
      </c>
      <c r="B3507" t="str">
        <f t="shared" si="54"/>
        <v>ඳ</v>
      </c>
    </row>
    <row r="3508" spans="1:2" x14ac:dyDescent="0.25">
      <c r="A3508">
        <v>3508</v>
      </c>
      <c r="B3508" t="str">
        <f t="shared" si="54"/>
        <v>ප</v>
      </c>
    </row>
    <row r="3509" spans="1:2" x14ac:dyDescent="0.25">
      <c r="A3509">
        <v>3509</v>
      </c>
      <c r="B3509" t="str">
        <f t="shared" si="54"/>
        <v>ඵ</v>
      </c>
    </row>
    <row r="3510" spans="1:2" x14ac:dyDescent="0.25">
      <c r="A3510">
        <v>3510</v>
      </c>
      <c r="B3510" t="str">
        <f t="shared" si="54"/>
        <v>බ</v>
      </c>
    </row>
    <row r="3511" spans="1:2" x14ac:dyDescent="0.25">
      <c r="A3511">
        <v>3511</v>
      </c>
      <c r="B3511" t="str">
        <f t="shared" si="54"/>
        <v>භ</v>
      </c>
    </row>
    <row r="3512" spans="1:2" x14ac:dyDescent="0.25">
      <c r="A3512">
        <v>3512</v>
      </c>
      <c r="B3512" t="str">
        <f t="shared" si="54"/>
        <v>ම</v>
      </c>
    </row>
    <row r="3513" spans="1:2" x14ac:dyDescent="0.25">
      <c r="A3513">
        <v>3513</v>
      </c>
      <c r="B3513" t="str">
        <f t="shared" si="54"/>
        <v>ඹ</v>
      </c>
    </row>
    <row r="3514" spans="1:2" x14ac:dyDescent="0.25">
      <c r="A3514">
        <v>3514</v>
      </c>
      <c r="B3514" t="str">
        <f t="shared" si="54"/>
        <v>ය</v>
      </c>
    </row>
    <row r="3515" spans="1:2" x14ac:dyDescent="0.25">
      <c r="A3515">
        <v>3515</v>
      </c>
      <c r="B3515" t="str">
        <f t="shared" si="54"/>
        <v>ර</v>
      </c>
    </row>
    <row r="3516" spans="1:2" x14ac:dyDescent="0.25">
      <c r="A3516">
        <v>3516</v>
      </c>
      <c r="B3516" t="str">
        <f t="shared" si="54"/>
        <v>඼</v>
      </c>
    </row>
    <row r="3517" spans="1:2" x14ac:dyDescent="0.25">
      <c r="A3517">
        <v>3517</v>
      </c>
      <c r="B3517" t="str">
        <f t="shared" si="54"/>
        <v>ල</v>
      </c>
    </row>
    <row r="3518" spans="1:2" x14ac:dyDescent="0.25">
      <c r="A3518">
        <v>3518</v>
      </c>
      <c r="B3518" t="str">
        <f t="shared" si="54"/>
        <v>඾</v>
      </c>
    </row>
    <row r="3519" spans="1:2" x14ac:dyDescent="0.25">
      <c r="A3519">
        <v>3519</v>
      </c>
      <c r="B3519" t="str">
        <f t="shared" si="54"/>
        <v>඿</v>
      </c>
    </row>
    <row r="3520" spans="1:2" x14ac:dyDescent="0.25">
      <c r="A3520">
        <v>3520</v>
      </c>
      <c r="B3520" t="str">
        <f t="shared" si="54"/>
        <v>ව</v>
      </c>
    </row>
    <row r="3521" spans="1:2" x14ac:dyDescent="0.25">
      <c r="A3521">
        <v>3521</v>
      </c>
      <c r="B3521" t="str">
        <f t="shared" si="54"/>
        <v>ශ</v>
      </c>
    </row>
    <row r="3522" spans="1:2" x14ac:dyDescent="0.25">
      <c r="A3522">
        <v>3522</v>
      </c>
      <c r="B3522" t="str">
        <f t="shared" ref="B3522:B3585" si="55">_xlfn.UNICHAR(A3522)</f>
        <v>ෂ</v>
      </c>
    </row>
    <row r="3523" spans="1:2" x14ac:dyDescent="0.25">
      <c r="A3523">
        <v>3523</v>
      </c>
      <c r="B3523" t="str">
        <f t="shared" si="55"/>
        <v>ස</v>
      </c>
    </row>
    <row r="3524" spans="1:2" x14ac:dyDescent="0.25">
      <c r="A3524">
        <v>3524</v>
      </c>
      <c r="B3524" t="str">
        <f t="shared" si="55"/>
        <v>හ</v>
      </c>
    </row>
    <row r="3525" spans="1:2" x14ac:dyDescent="0.25">
      <c r="A3525">
        <v>3525</v>
      </c>
      <c r="B3525" t="str">
        <f t="shared" si="55"/>
        <v>ළ</v>
      </c>
    </row>
    <row r="3526" spans="1:2" x14ac:dyDescent="0.25">
      <c r="A3526">
        <v>3526</v>
      </c>
      <c r="B3526" t="str">
        <f t="shared" si="55"/>
        <v>ෆ</v>
      </c>
    </row>
    <row r="3527" spans="1:2" x14ac:dyDescent="0.25">
      <c r="A3527">
        <v>3527</v>
      </c>
      <c r="B3527" t="str">
        <f t="shared" si="55"/>
        <v>෇</v>
      </c>
    </row>
    <row r="3528" spans="1:2" x14ac:dyDescent="0.25">
      <c r="A3528">
        <v>3528</v>
      </c>
      <c r="B3528" t="str">
        <f t="shared" si="55"/>
        <v>෈</v>
      </c>
    </row>
    <row r="3529" spans="1:2" x14ac:dyDescent="0.25">
      <c r="A3529">
        <v>3529</v>
      </c>
      <c r="B3529" t="str">
        <f t="shared" si="55"/>
        <v>෉</v>
      </c>
    </row>
    <row r="3530" spans="1:2" x14ac:dyDescent="0.25">
      <c r="A3530">
        <v>3530</v>
      </c>
      <c r="B3530" t="str">
        <f t="shared" si="55"/>
        <v>්</v>
      </c>
    </row>
    <row r="3531" spans="1:2" x14ac:dyDescent="0.25">
      <c r="A3531">
        <v>3531</v>
      </c>
      <c r="B3531" t="str">
        <f t="shared" si="55"/>
        <v>෋</v>
      </c>
    </row>
    <row r="3532" spans="1:2" x14ac:dyDescent="0.25">
      <c r="A3532">
        <v>3532</v>
      </c>
      <c r="B3532" t="str">
        <f t="shared" si="55"/>
        <v>෌</v>
      </c>
    </row>
    <row r="3533" spans="1:2" x14ac:dyDescent="0.25">
      <c r="A3533">
        <v>3533</v>
      </c>
      <c r="B3533" t="str">
        <f t="shared" si="55"/>
        <v>෍</v>
      </c>
    </row>
    <row r="3534" spans="1:2" x14ac:dyDescent="0.25">
      <c r="A3534">
        <v>3534</v>
      </c>
      <c r="B3534" t="str">
        <f t="shared" si="55"/>
        <v>෎</v>
      </c>
    </row>
    <row r="3535" spans="1:2" x14ac:dyDescent="0.25">
      <c r="A3535">
        <v>3535</v>
      </c>
      <c r="B3535" t="str">
        <f t="shared" si="55"/>
        <v>ා</v>
      </c>
    </row>
    <row r="3536" spans="1:2" x14ac:dyDescent="0.25">
      <c r="A3536">
        <v>3536</v>
      </c>
      <c r="B3536" t="str">
        <f t="shared" si="55"/>
        <v>ැ</v>
      </c>
    </row>
    <row r="3537" spans="1:2" x14ac:dyDescent="0.25">
      <c r="A3537">
        <v>3537</v>
      </c>
      <c r="B3537" t="str">
        <f t="shared" si="55"/>
        <v>ෑ</v>
      </c>
    </row>
    <row r="3538" spans="1:2" x14ac:dyDescent="0.25">
      <c r="A3538">
        <v>3538</v>
      </c>
      <c r="B3538" t="str">
        <f t="shared" si="55"/>
        <v>ි</v>
      </c>
    </row>
    <row r="3539" spans="1:2" x14ac:dyDescent="0.25">
      <c r="A3539">
        <v>3539</v>
      </c>
      <c r="B3539" t="str">
        <f t="shared" si="55"/>
        <v>ී</v>
      </c>
    </row>
    <row r="3540" spans="1:2" x14ac:dyDescent="0.25">
      <c r="A3540">
        <v>3540</v>
      </c>
      <c r="B3540" t="str">
        <f t="shared" si="55"/>
        <v>ු</v>
      </c>
    </row>
    <row r="3541" spans="1:2" x14ac:dyDescent="0.25">
      <c r="A3541">
        <v>3541</v>
      </c>
      <c r="B3541" t="str">
        <f t="shared" si="55"/>
        <v>෕</v>
      </c>
    </row>
    <row r="3542" spans="1:2" x14ac:dyDescent="0.25">
      <c r="A3542">
        <v>3542</v>
      </c>
      <c r="B3542" t="str">
        <f t="shared" si="55"/>
        <v>ූ</v>
      </c>
    </row>
    <row r="3543" spans="1:2" x14ac:dyDescent="0.25">
      <c r="A3543">
        <v>3543</v>
      </c>
      <c r="B3543" t="str">
        <f t="shared" si="55"/>
        <v>෗</v>
      </c>
    </row>
    <row r="3544" spans="1:2" x14ac:dyDescent="0.25">
      <c r="A3544">
        <v>3544</v>
      </c>
      <c r="B3544" t="str">
        <f t="shared" si="55"/>
        <v>ෘ</v>
      </c>
    </row>
    <row r="3545" spans="1:2" x14ac:dyDescent="0.25">
      <c r="A3545">
        <v>3545</v>
      </c>
      <c r="B3545" t="str">
        <f t="shared" si="55"/>
        <v>ෙ</v>
      </c>
    </row>
    <row r="3546" spans="1:2" x14ac:dyDescent="0.25">
      <c r="A3546">
        <v>3546</v>
      </c>
      <c r="B3546" t="str">
        <f t="shared" si="55"/>
        <v>ේ</v>
      </c>
    </row>
    <row r="3547" spans="1:2" x14ac:dyDescent="0.25">
      <c r="A3547">
        <v>3547</v>
      </c>
      <c r="B3547" t="str">
        <f t="shared" si="55"/>
        <v>ෛ</v>
      </c>
    </row>
    <row r="3548" spans="1:2" x14ac:dyDescent="0.25">
      <c r="A3548">
        <v>3548</v>
      </c>
      <c r="B3548" t="str">
        <f t="shared" si="55"/>
        <v>ො</v>
      </c>
    </row>
    <row r="3549" spans="1:2" x14ac:dyDescent="0.25">
      <c r="A3549">
        <v>3549</v>
      </c>
      <c r="B3549" t="str">
        <f t="shared" si="55"/>
        <v>ෝ</v>
      </c>
    </row>
    <row r="3550" spans="1:2" x14ac:dyDescent="0.25">
      <c r="A3550">
        <v>3550</v>
      </c>
      <c r="B3550" t="str">
        <f t="shared" si="55"/>
        <v>ෞ</v>
      </c>
    </row>
    <row r="3551" spans="1:2" x14ac:dyDescent="0.25">
      <c r="A3551">
        <v>3551</v>
      </c>
      <c r="B3551" t="str">
        <f t="shared" si="55"/>
        <v>ෟ</v>
      </c>
    </row>
    <row r="3552" spans="1:2" x14ac:dyDescent="0.25">
      <c r="A3552">
        <v>3552</v>
      </c>
      <c r="B3552" t="str">
        <f t="shared" si="55"/>
        <v>෠</v>
      </c>
    </row>
    <row r="3553" spans="1:2" x14ac:dyDescent="0.25">
      <c r="A3553">
        <v>3553</v>
      </c>
      <c r="B3553" t="str">
        <f t="shared" si="55"/>
        <v>෡</v>
      </c>
    </row>
    <row r="3554" spans="1:2" x14ac:dyDescent="0.25">
      <c r="A3554">
        <v>3554</v>
      </c>
      <c r="B3554" t="str">
        <f t="shared" si="55"/>
        <v>෢</v>
      </c>
    </row>
    <row r="3555" spans="1:2" x14ac:dyDescent="0.25">
      <c r="A3555">
        <v>3555</v>
      </c>
      <c r="B3555" t="str">
        <f t="shared" si="55"/>
        <v>෣</v>
      </c>
    </row>
    <row r="3556" spans="1:2" x14ac:dyDescent="0.25">
      <c r="A3556">
        <v>3556</v>
      </c>
      <c r="B3556" t="str">
        <f t="shared" si="55"/>
        <v>෤</v>
      </c>
    </row>
    <row r="3557" spans="1:2" x14ac:dyDescent="0.25">
      <c r="A3557">
        <v>3557</v>
      </c>
      <c r="B3557" t="str">
        <f t="shared" si="55"/>
        <v>෥</v>
      </c>
    </row>
    <row r="3558" spans="1:2" x14ac:dyDescent="0.25">
      <c r="A3558">
        <v>3558</v>
      </c>
      <c r="B3558" t="str">
        <f t="shared" si="55"/>
        <v>෦</v>
      </c>
    </row>
    <row r="3559" spans="1:2" x14ac:dyDescent="0.25">
      <c r="A3559">
        <v>3559</v>
      </c>
      <c r="B3559" t="str">
        <f t="shared" si="55"/>
        <v>෧</v>
      </c>
    </row>
    <row r="3560" spans="1:2" x14ac:dyDescent="0.25">
      <c r="A3560">
        <v>3560</v>
      </c>
      <c r="B3560" t="str">
        <f t="shared" si="55"/>
        <v>෨</v>
      </c>
    </row>
    <row r="3561" spans="1:2" x14ac:dyDescent="0.25">
      <c r="A3561">
        <v>3561</v>
      </c>
      <c r="B3561" t="str">
        <f t="shared" si="55"/>
        <v>෩</v>
      </c>
    </row>
    <row r="3562" spans="1:2" x14ac:dyDescent="0.25">
      <c r="A3562">
        <v>3562</v>
      </c>
      <c r="B3562" t="str">
        <f t="shared" si="55"/>
        <v>෪</v>
      </c>
    </row>
    <row r="3563" spans="1:2" x14ac:dyDescent="0.25">
      <c r="A3563">
        <v>3563</v>
      </c>
      <c r="B3563" t="str">
        <f t="shared" si="55"/>
        <v>෫</v>
      </c>
    </row>
    <row r="3564" spans="1:2" x14ac:dyDescent="0.25">
      <c r="A3564">
        <v>3564</v>
      </c>
      <c r="B3564" t="str">
        <f t="shared" si="55"/>
        <v>෬</v>
      </c>
    </row>
    <row r="3565" spans="1:2" x14ac:dyDescent="0.25">
      <c r="A3565">
        <v>3565</v>
      </c>
      <c r="B3565" t="str">
        <f t="shared" si="55"/>
        <v>෭</v>
      </c>
    </row>
    <row r="3566" spans="1:2" x14ac:dyDescent="0.25">
      <c r="A3566">
        <v>3566</v>
      </c>
      <c r="B3566" t="str">
        <f t="shared" si="55"/>
        <v>෮</v>
      </c>
    </row>
    <row r="3567" spans="1:2" x14ac:dyDescent="0.25">
      <c r="A3567">
        <v>3567</v>
      </c>
      <c r="B3567" t="str">
        <f t="shared" si="55"/>
        <v>෯</v>
      </c>
    </row>
    <row r="3568" spans="1:2" x14ac:dyDescent="0.25">
      <c r="A3568">
        <v>3568</v>
      </c>
      <c r="B3568" t="str">
        <f t="shared" si="55"/>
        <v>෰</v>
      </c>
    </row>
    <row r="3569" spans="1:2" x14ac:dyDescent="0.25">
      <c r="A3569">
        <v>3569</v>
      </c>
      <c r="B3569" t="str">
        <f t="shared" si="55"/>
        <v>෱</v>
      </c>
    </row>
    <row r="3570" spans="1:2" x14ac:dyDescent="0.25">
      <c r="A3570">
        <v>3570</v>
      </c>
      <c r="B3570" t="str">
        <f t="shared" si="55"/>
        <v>ෲ</v>
      </c>
    </row>
    <row r="3571" spans="1:2" x14ac:dyDescent="0.25">
      <c r="A3571">
        <v>3571</v>
      </c>
      <c r="B3571" t="str">
        <f t="shared" si="55"/>
        <v>ෳ</v>
      </c>
    </row>
    <row r="3572" spans="1:2" x14ac:dyDescent="0.25">
      <c r="A3572">
        <v>3572</v>
      </c>
      <c r="B3572" t="str">
        <f t="shared" si="55"/>
        <v>෴</v>
      </c>
    </row>
    <row r="3573" spans="1:2" x14ac:dyDescent="0.25">
      <c r="A3573">
        <v>3573</v>
      </c>
      <c r="B3573" t="str">
        <f t="shared" si="55"/>
        <v>෵</v>
      </c>
    </row>
    <row r="3574" spans="1:2" x14ac:dyDescent="0.25">
      <c r="A3574">
        <v>3574</v>
      </c>
      <c r="B3574" t="str">
        <f t="shared" si="55"/>
        <v>෶</v>
      </c>
    </row>
    <row r="3575" spans="1:2" x14ac:dyDescent="0.25">
      <c r="A3575">
        <v>3575</v>
      </c>
      <c r="B3575" t="str">
        <f t="shared" si="55"/>
        <v>෷</v>
      </c>
    </row>
    <row r="3576" spans="1:2" x14ac:dyDescent="0.25">
      <c r="A3576">
        <v>3576</v>
      </c>
      <c r="B3576" t="str">
        <f t="shared" si="55"/>
        <v>෸</v>
      </c>
    </row>
    <row r="3577" spans="1:2" x14ac:dyDescent="0.25">
      <c r="A3577">
        <v>3577</v>
      </c>
      <c r="B3577" t="str">
        <f t="shared" si="55"/>
        <v>෹</v>
      </c>
    </row>
    <row r="3578" spans="1:2" x14ac:dyDescent="0.25">
      <c r="A3578">
        <v>3578</v>
      </c>
      <c r="B3578" t="str">
        <f t="shared" si="55"/>
        <v>෺</v>
      </c>
    </row>
    <row r="3579" spans="1:2" x14ac:dyDescent="0.25">
      <c r="A3579">
        <v>3579</v>
      </c>
      <c r="B3579" t="str">
        <f t="shared" si="55"/>
        <v>෻</v>
      </c>
    </row>
    <row r="3580" spans="1:2" x14ac:dyDescent="0.25">
      <c r="A3580">
        <v>3580</v>
      </c>
      <c r="B3580" t="str">
        <f t="shared" si="55"/>
        <v>෼</v>
      </c>
    </row>
    <row r="3581" spans="1:2" x14ac:dyDescent="0.25">
      <c r="A3581">
        <v>3581</v>
      </c>
      <c r="B3581" t="str">
        <f t="shared" si="55"/>
        <v>෽</v>
      </c>
    </row>
    <row r="3582" spans="1:2" x14ac:dyDescent="0.25">
      <c r="A3582">
        <v>3582</v>
      </c>
      <c r="B3582" t="str">
        <f t="shared" si="55"/>
        <v>෾</v>
      </c>
    </row>
    <row r="3583" spans="1:2" x14ac:dyDescent="0.25">
      <c r="A3583">
        <v>3583</v>
      </c>
      <c r="B3583" t="str">
        <f t="shared" si="55"/>
        <v>෿</v>
      </c>
    </row>
    <row r="3584" spans="1:2" x14ac:dyDescent="0.25">
      <c r="A3584">
        <v>3584</v>
      </c>
      <c r="B3584" t="str">
        <f t="shared" si="55"/>
        <v>฀</v>
      </c>
    </row>
    <row r="3585" spans="1:2" x14ac:dyDescent="0.25">
      <c r="A3585">
        <v>3585</v>
      </c>
      <c r="B3585" t="str">
        <f t="shared" si="55"/>
        <v>ก</v>
      </c>
    </row>
    <row r="3586" spans="1:2" x14ac:dyDescent="0.25">
      <c r="A3586">
        <v>3586</v>
      </c>
      <c r="B3586" t="str">
        <f t="shared" ref="B3586:B3649" si="56">_xlfn.UNICHAR(A3586)</f>
        <v>ข</v>
      </c>
    </row>
    <row r="3587" spans="1:2" x14ac:dyDescent="0.25">
      <c r="A3587">
        <v>3587</v>
      </c>
      <c r="B3587" t="str">
        <f t="shared" si="56"/>
        <v>ฃ</v>
      </c>
    </row>
    <row r="3588" spans="1:2" x14ac:dyDescent="0.25">
      <c r="A3588">
        <v>3588</v>
      </c>
      <c r="B3588" t="str">
        <f t="shared" si="56"/>
        <v>ค</v>
      </c>
    </row>
    <row r="3589" spans="1:2" x14ac:dyDescent="0.25">
      <c r="A3589">
        <v>3589</v>
      </c>
      <c r="B3589" t="str">
        <f t="shared" si="56"/>
        <v>ฅ</v>
      </c>
    </row>
    <row r="3590" spans="1:2" x14ac:dyDescent="0.25">
      <c r="A3590">
        <v>3590</v>
      </c>
      <c r="B3590" t="str">
        <f t="shared" si="56"/>
        <v>ฆ</v>
      </c>
    </row>
    <row r="3591" spans="1:2" x14ac:dyDescent="0.25">
      <c r="A3591">
        <v>3591</v>
      </c>
      <c r="B3591" t="str">
        <f t="shared" si="56"/>
        <v>ง</v>
      </c>
    </row>
    <row r="3592" spans="1:2" x14ac:dyDescent="0.25">
      <c r="A3592">
        <v>3592</v>
      </c>
      <c r="B3592" t="str">
        <f t="shared" si="56"/>
        <v>จ</v>
      </c>
    </row>
    <row r="3593" spans="1:2" x14ac:dyDescent="0.25">
      <c r="A3593">
        <v>3593</v>
      </c>
      <c r="B3593" t="str">
        <f t="shared" si="56"/>
        <v>ฉ</v>
      </c>
    </row>
    <row r="3594" spans="1:2" x14ac:dyDescent="0.25">
      <c r="A3594">
        <v>3594</v>
      </c>
      <c r="B3594" t="str">
        <f t="shared" si="56"/>
        <v>ช</v>
      </c>
    </row>
    <row r="3595" spans="1:2" x14ac:dyDescent="0.25">
      <c r="A3595">
        <v>3595</v>
      </c>
      <c r="B3595" t="str">
        <f t="shared" si="56"/>
        <v>ซ</v>
      </c>
    </row>
    <row r="3596" spans="1:2" x14ac:dyDescent="0.25">
      <c r="A3596">
        <v>3596</v>
      </c>
      <c r="B3596" t="str">
        <f t="shared" si="56"/>
        <v>ฌ</v>
      </c>
    </row>
    <row r="3597" spans="1:2" x14ac:dyDescent="0.25">
      <c r="A3597">
        <v>3597</v>
      </c>
      <c r="B3597" t="str">
        <f t="shared" si="56"/>
        <v>ญ</v>
      </c>
    </row>
    <row r="3598" spans="1:2" x14ac:dyDescent="0.25">
      <c r="A3598">
        <v>3598</v>
      </c>
      <c r="B3598" t="str">
        <f t="shared" si="56"/>
        <v>ฎ</v>
      </c>
    </row>
    <row r="3599" spans="1:2" x14ac:dyDescent="0.25">
      <c r="A3599">
        <v>3599</v>
      </c>
      <c r="B3599" t="str">
        <f t="shared" si="56"/>
        <v>ฏ</v>
      </c>
    </row>
    <row r="3600" spans="1:2" x14ac:dyDescent="0.25">
      <c r="A3600">
        <v>3600</v>
      </c>
      <c r="B3600" t="str">
        <f t="shared" si="56"/>
        <v>ฐ</v>
      </c>
    </row>
    <row r="3601" spans="1:2" x14ac:dyDescent="0.25">
      <c r="A3601">
        <v>3601</v>
      </c>
      <c r="B3601" t="str">
        <f t="shared" si="56"/>
        <v>ฑ</v>
      </c>
    </row>
    <row r="3602" spans="1:2" x14ac:dyDescent="0.25">
      <c r="A3602">
        <v>3602</v>
      </c>
      <c r="B3602" t="str">
        <f t="shared" si="56"/>
        <v>ฒ</v>
      </c>
    </row>
    <row r="3603" spans="1:2" x14ac:dyDescent="0.25">
      <c r="A3603">
        <v>3603</v>
      </c>
      <c r="B3603" t="str">
        <f t="shared" si="56"/>
        <v>ณ</v>
      </c>
    </row>
    <row r="3604" spans="1:2" x14ac:dyDescent="0.25">
      <c r="A3604">
        <v>3604</v>
      </c>
      <c r="B3604" t="str">
        <f t="shared" si="56"/>
        <v>ด</v>
      </c>
    </row>
    <row r="3605" spans="1:2" x14ac:dyDescent="0.25">
      <c r="A3605">
        <v>3605</v>
      </c>
      <c r="B3605" t="str">
        <f t="shared" si="56"/>
        <v>ต</v>
      </c>
    </row>
    <row r="3606" spans="1:2" x14ac:dyDescent="0.25">
      <c r="A3606">
        <v>3606</v>
      </c>
      <c r="B3606" t="str">
        <f t="shared" si="56"/>
        <v>ถ</v>
      </c>
    </row>
    <row r="3607" spans="1:2" x14ac:dyDescent="0.25">
      <c r="A3607">
        <v>3607</v>
      </c>
      <c r="B3607" t="str">
        <f t="shared" si="56"/>
        <v>ท</v>
      </c>
    </row>
    <row r="3608" spans="1:2" x14ac:dyDescent="0.25">
      <c r="A3608">
        <v>3608</v>
      </c>
      <c r="B3608" t="str">
        <f t="shared" si="56"/>
        <v>ธ</v>
      </c>
    </row>
    <row r="3609" spans="1:2" x14ac:dyDescent="0.25">
      <c r="A3609">
        <v>3609</v>
      </c>
      <c r="B3609" t="str">
        <f t="shared" si="56"/>
        <v>น</v>
      </c>
    </row>
    <row r="3610" spans="1:2" x14ac:dyDescent="0.25">
      <c r="A3610">
        <v>3610</v>
      </c>
      <c r="B3610" t="str">
        <f t="shared" si="56"/>
        <v>บ</v>
      </c>
    </row>
    <row r="3611" spans="1:2" x14ac:dyDescent="0.25">
      <c r="A3611">
        <v>3611</v>
      </c>
      <c r="B3611" t="str">
        <f t="shared" si="56"/>
        <v>ป</v>
      </c>
    </row>
    <row r="3612" spans="1:2" x14ac:dyDescent="0.25">
      <c r="A3612">
        <v>3612</v>
      </c>
      <c r="B3612" t="str">
        <f t="shared" si="56"/>
        <v>ผ</v>
      </c>
    </row>
    <row r="3613" spans="1:2" x14ac:dyDescent="0.25">
      <c r="A3613">
        <v>3613</v>
      </c>
      <c r="B3613" t="str">
        <f t="shared" si="56"/>
        <v>ฝ</v>
      </c>
    </row>
    <row r="3614" spans="1:2" x14ac:dyDescent="0.25">
      <c r="A3614">
        <v>3614</v>
      </c>
      <c r="B3614" t="str">
        <f t="shared" si="56"/>
        <v>พ</v>
      </c>
    </row>
    <row r="3615" spans="1:2" x14ac:dyDescent="0.25">
      <c r="A3615">
        <v>3615</v>
      </c>
      <c r="B3615" t="str">
        <f t="shared" si="56"/>
        <v>ฟ</v>
      </c>
    </row>
    <row r="3616" spans="1:2" x14ac:dyDescent="0.25">
      <c r="A3616">
        <v>3616</v>
      </c>
      <c r="B3616" t="str">
        <f t="shared" si="56"/>
        <v>ภ</v>
      </c>
    </row>
    <row r="3617" spans="1:2" x14ac:dyDescent="0.25">
      <c r="A3617">
        <v>3617</v>
      </c>
      <c r="B3617" t="str">
        <f t="shared" si="56"/>
        <v>ม</v>
      </c>
    </row>
    <row r="3618" spans="1:2" x14ac:dyDescent="0.25">
      <c r="A3618">
        <v>3618</v>
      </c>
      <c r="B3618" t="str">
        <f t="shared" si="56"/>
        <v>ย</v>
      </c>
    </row>
    <row r="3619" spans="1:2" x14ac:dyDescent="0.25">
      <c r="A3619">
        <v>3619</v>
      </c>
      <c r="B3619" t="str">
        <f t="shared" si="56"/>
        <v>ร</v>
      </c>
    </row>
    <row r="3620" spans="1:2" x14ac:dyDescent="0.25">
      <c r="A3620">
        <v>3620</v>
      </c>
      <c r="B3620" t="str">
        <f t="shared" si="56"/>
        <v>ฤ</v>
      </c>
    </row>
    <row r="3621" spans="1:2" x14ac:dyDescent="0.25">
      <c r="A3621">
        <v>3621</v>
      </c>
      <c r="B3621" t="str">
        <f t="shared" si="56"/>
        <v>ล</v>
      </c>
    </row>
    <row r="3622" spans="1:2" x14ac:dyDescent="0.25">
      <c r="A3622">
        <v>3622</v>
      </c>
      <c r="B3622" t="str">
        <f t="shared" si="56"/>
        <v>ฦ</v>
      </c>
    </row>
    <row r="3623" spans="1:2" x14ac:dyDescent="0.25">
      <c r="A3623">
        <v>3623</v>
      </c>
      <c r="B3623" t="str">
        <f t="shared" si="56"/>
        <v>ว</v>
      </c>
    </row>
    <row r="3624" spans="1:2" x14ac:dyDescent="0.25">
      <c r="A3624">
        <v>3624</v>
      </c>
      <c r="B3624" t="str">
        <f t="shared" si="56"/>
        <v>ศ</v>
      </c>
    </row>
    <row r="3625" spans="1:2" x14ac:dyDescent="0.25">
      <c r="A3625">
        <v>3625</v>
      </c>
      <c r="B3625" t="str">
        <f t="shared" si="56"/>
        <v>ษ</v>
      </c>
    </row>
    <row r="3626" spans="1:2" x14ac:dyDescent="0.25">
      <c r="A3626">
        <v>3626</v>
      </c>
      <c r="B3626" t="str">
        <f t="shared" si="56"/>
        <v>ส</v>
      </c>
    </row>
    <row r="3627" spans="1:2" x14ac:dyDescent="0.25">
      <c r="A3627">
        <v>3627</v>
      </c>
      <c r="B3627" t="str">
        <f t="shared" si="56"/>
        <v>ห</v>
      </c>
    </row>
    <row r="3628" spans="1:2" x14ac:dyDescent="0.25">
      <c r="A3628">
        <v>3628</v>
      </c>
      <c r="B3628" t="str">
        <f t="shared" si="56"/>
        <v>ฬ</v>
      </c>
    </row>
    <row r="3629" spans="1:2" x14ac:dyDescent="0.25">
      <c r="A3629">
        <v>3629</v>
      </c>
      <c r="B3629" t="str">
        <f t="shared" si="56"/>
        <v>อ</v>
      </c>
    </row>
    <row r="3630" spans="1:2" x14ac:dyDescent="0.25">
      <c r="A3630">
        <v>3630</v>
      </c>
      <c r="B3630" t="str">
        <f t="shared" si="56"/>
        <v>ฮ</v>
      </c>
    </row>
    <row r="3631" spans="1:2" x14ac:dyDescent="0.25">
      <c r="A3631">
        <v>3631</v>
      </c>
      <c r="B3631" t="str">
        <f t="shared" si="56"/>
        <v>ฯ</v>
      </c>
    </row>
    <row r="3632" spans="1:2" x14ac:dyDescent="0.25">
      <c r="A3632">
        <v>3632</v>
      </c>
      <c r="B3632" t="str">
        <f t="shared" si="56"/>
        <v>ะ</v>
      </c>
    </row>
    <row r="3633" spans="1:2" x14ac:dyDescent="0.25">
      <c r="A3633">
        <v>3633</v>
      </c>
      <c r="B3633" t="str">
        <f t="shared" si="56"/>
        <v>ั</v>
      </c>
    </row>
    <row r="3634" spans="1:2" x14ac:dyDescent="0.25">
      <c r="A3634">
        <v>3634</v>
      </c>
      <c r="B3634" t="str">
        <f t="shared" si="56"/>
        <v>า</v>
      </c>
    </row>
    <row r="3635" spans="1:2" x14ac:dyDescent="0.25">
      <c r="A3635">
        <v>3635</v>
      </c>
      <c r="B3635" t="str">
        <f t="shared" si="56"/>
        <v>ำ</v>
      </c>
    </row>
    <row r="3636" spans="1:2" x14ac:dyDescent="0.25">
      <c r="A3636">
        <v>3636</v>
      </c>
      <c r="B3636" t="str">
        <f t="shared" si="56"/>
        <v>ิ</v>
      </c>
    </row>
    <row r="3637" spans="1:2" x14ac:dyDescent="0.25">
      <c r="A3637">
        <v>3637</v>
      </c>
      <c r="B3637" t="str">
        <f t="shared" si="56"/>
        <v>ี</v>
      </c>
    </row>
    <row r="3638" spans="1:2" x14ac:dyDescent="0.25">
      <c r="A3638">
        <v>3638</v>
      </c>
      <c r="B3638" t="str">
        <f t="shared" si="56"/>
        <v>ึ</v>
      </c>
    </row>
    <row r="3639" spans="1:2" x14ac:dyDescent="0.25">
      <c r="A3639">
        <v>3639</v>
      </c>
      <c r="B3639" t="str">
        <f t="shared" si="56"/>
        <v>ื</v>
      </c>
    </row>
    <row r="3640" spans="1:2" x14ac:dyDescent="0.25">
      <c r="A3640">
        <v>3640</v>
      </c>
      <c r="B3640" t="str">
        <f t="shared" si="56"/>
        <v>ุ</v>
      </c>
    </row>
    <row r="3641" spans="1:2" x14ac:dyDescent="0.25">
      <c r="A3641">
        <v>3641</v>
      </c>
      <c r="B3641" t="str">
        <f t="shared" si="56"/>
        <v>ู</v>
      </c>
    </row>
    <row r="3642" spans="1:2" x14ac:dyDescent="0.25">
      <c r="A3642">
        <v>3642</v>
      </c>
      <c r="B3642" t="str">
        <f t="shared" si="56"/>
        <v>ฺ</v>
      </c>
    </row>
    <row r="3643" spans="1:2" x14ac:dyDescent="0.25">
      <c r="A3643">
        <v>3643</v>
      </c>
      <c r="B3643" t="str">
        <f t="shared" si="56"/>
        <v>฻</v>
      </c>
    </row>
    <row r="3644" spans="1:2" x14ac:dyDescent="0.25">
      <c r="A3644">
        <v>3644</v>
      </c>
      <c r="B3644" t="str">
        <f t="shared" si="56"/>
        <v>฼</v>
      </c>
    </row>
    <row r="3645" spans="1:2" x14ac:dyDescent="0.25">
      <c r="A3645">
        <v>3645</v>
      </c>
      <c r="B3645" t="str">
        <f t="shared" si="56"/>
        <v>฽</v>
      </c>
    </row>
    <row r="3646" spans="1:2" x14ac:dyDescent="0.25">
      <c r="A3646">
        <v>3646</v>
      </c>
      <c r="B3646" t="str">
        <f t="shared" si="56"/>
        <v>฾</v>
      </c>
    </row>
    <row r="3647" spans="1:2" x14ac:dyDescent="0.25">
      <c r="A3647">
        <v>3647</v>
      </c>
      <c r="B3647" t="str">
        <f t="shared" si="56"/>
        <v>฿</v>
      </c>
    </row>
    <row r="3648" spans="1:2" x14ac:dyDescent="0.25">
      <c r="A3648">
        <v>3648</v>
      </c>
      <c r="B3648" t="str">
        <f t="shared" si="56"/>
        <v>เ</v>
      </c>
    </row>
    <row r="3649" spans="1:2" x14ac:dyDescent="0.25">
      <c r="A3649">
        <v>3649</v>
      </c>
      <c r="B3649" t="str">
        <f t="shared" si="56"/>
        <v>แ</v>
      </c>
    </row>
    <row r="3650" spans="1:2" x14ac:dyDescent="0.25">
      <c r="A3650">
        <v>3650</v>
      </c>
      <c r="B3650" t="str">
        <f t="shared" ref="B3650:B3713" si="57">_xlfn.UNICHAR(A3650)</f>
        <v>โ</v>
      </c>
    </row>
    <row r="3651" spans="1:2" x14ac:dyDescent="0.25">
      <c r="A3651">
        <v>3651</v>
      </c>
      <c r="B3651" t="str">
        <f t="shared" si="57"/>
        <v>ใ</v>
      </c>
    </row>
    <row r="3652" spans="1:2" x14ac:dyDescent="0.25">
      <c r="A3652">
        <v>3652</v>
      </c>
      <c r="B3652" t="str">
        <f t="shared" si="57"/>
        <v>ไ</v>
      </c>
    </row>
    <row r="3653" spans="1:2" x14ac:dyDescent="0.25">
      <c r="A3653">
        <v>3653</v>
      </c>
      <c r="B3653" t="str">
        <f t="shared" si="57"/>
        <v>ๅ</v>
      </c>
    </row>
    <row r="3654" spans="1:2" x14ac:dyDescent="0.25">
      <c r="A3654">
        <v>3654</v>
      </c>
      <c r="B3654" t="str">
        <f t="shared" si="57"/>
        <v>ๆ</v>
      </c>
    </row>
    <row r="3655" spans="1:2" x14ac:dyDescent="0.25">
      <c r="A3655">
        <v>3655</v>
      </c>
      <c r="B3655" t="str">
        <f t="shared" si="57"/>
        <v>็</v>
      </c>
    </row>
    <row r="3656" spans="1:2" x14ac:dyDescent="0.25">
      <c r="A3656">
        <v>3656</v>
      </c>
      <c r="B3656" t="str">
        <f t="shared" si="57"/>
        <v>่</v>
      </c>
    </row>
    <row r="3657" spans="1:2" x14ac:dyDescent="0.25">
      <c r="A3657">
        <v>3657</v>
      </c>
      <c r="B3657" t="str">
        <f t="shared" si="57"/>
        <v>้</v>
      </c>
    </row>
    <row r="3658" spans="1:2" x14ac:dyDescent="0.25">
      <c r="A3658">
        <v>3658</v>
      </c>
      <c r="B3658" t="str">
        <f t="shared" si="57"/>
        <v>๊</v>
      </c>
    </row>
    <row r="3659" spans="1:2" x14ac:dyDescent="0.25">
      <c r="A3659">
        <v>3659</v>
      </c>
      <c r="B3659" t="str">
        <f t="shared" si="57"/>
        <v>๋</v>
      </c>
    </row>
    <row r="3660" spans="1:2" x14ac:dyDescent="0.25">
      <c r="A3660">
        <v>3660</v>
      </c>
      <c r="B3660" t="str">
        <f t="shared" si="57"/>
        <v>์</v>
      </c>
    </row>
    <row r="3661" spans="1:2" x14ac:dyDescent="0.25">
      <c r="A3661">
        <v>3661</v>
      </c>
      <c r="B3661" t="str">
        <f t="shared" si="57"/>
        <v>ํ</v>
      </c>
    </row>
    <row r="3662" spans="1:2" x14ac:dyDescent="0.25">
      <c r="A3662">
        <v>3662</v>
      </c>
      <c r="B3662" t="str">
        <f t="shared" si="57"/>
        <v>๎</v>
      </c>
    </row>
    <row r="3663" spans="1:2" x14ac:dyDescent="0.25">
      <c r="A3663">
        <v>3663</v>
      </c>
      <c r="B3663" t="str">
        <f t="shared" si="57"/>
        <v>๏</v>
      </c>
    </row>
    <row r="3664" spans="1:2" x14ac:dyDescent="0.25">
      <c r="A3664">
        <v>3664</v>
      </c>
      <c r="B3664" t="str">
        <f t="shared" si="57"/>
        <v>๐</v>
      </c>
    </row>
    <row r="3665" spans="1:2" x14ac:dyDescent="0.25">
      <c r="A3665">
        <v>3665</v>
      </c>
      <c r="B3665" t="str">
        <f t="shared" si="57"/>
        <v>๑</v>
      </c>
    </row>
    <row r="3666" spans="1:2" x14ac:dyDescent="0.25">
      <c r="A3666">
        <v>3666</v>
      </c>
      <c r="B3666" t="str">
        <f t="shared" si="57"/>
        <v>๒</v>
      </c>
    </row>
    <row r="3667" spans="1:2" x14ac:dyDescent="0.25">
      <c r="A3667">
        <v>3667</v>
      </c>
      <c r="B3667" t="str">
        <f t="shared" si="57"/>
        <v>๓</v>
      </c>
    </row>
    <row r="3668" spans="1:2" x14ac:dyDescent="0.25">
      <c r="A3668">
        <v>3668</v>
      </c>
      <c r="B3668" t="str">
        <f t="shared" si="57"/>
        <v>๔</v>
      </c>
    </row>
    <row r="3669" spans="1:2" x14ac:dyDescent="0.25">
      <c r="A3669">
        <v>3669</v>
      </c>
      <c r="B3669" t="str">
        <f t="shared" si="57"/>
        <v>๕</v>
      </c>
    </row>
    <row r="3670" spans="1:2" x14ac:dyDescent="0.25">
      <c r="A3670">
        <v>3670</v>
      </c>
      <c r="B3670" t="str">
        <f t="shared" si="57"/>
        <v>๖</v>
      </c>
    </row>
    <row r="3671" spans="1:2" x14ac:dyDescent="0.25">
      <c r="A3671">
        <v>3671</v>
      </c>
      <c r="B3671" t="str">
        <f t="shared" si="57"/>
        <v>๗</v>
      </c>
    </row>
    <row r="3672" spans="1:2" x14ac:dyDescent="0.25">
      <c r="A3672">
        <v>3672</v>
      </c>
      <c r="B3672" t="str">
        <f t="shared" si="57"/>
        <v>๘</v>
      </c>
    </row>
    <row r="3673" spans="1:2" x14ac:dyDescent="0.25">
      <c r="A3673">
        <v>3673</v>
      </c>
      <c r="B3673" t="str">
        <f t="shared" si="57"/>
        <v>๙</v>
      </c>
    </row>
    <row r="3674" spans="1:2" x14ac:dyDescent="0.25">
      <c r="A3674">
        <v>3674</v>
      </c>
      <c r="B3674" t="str">
        <f t="shared" si="57"/>
        <v>๚</v>
      </c>
    </row>
    <row r="3675" spans="1:2" x14ac:dyDescent="0.25">
      <c r="A3675">
        <v>3675</v>
      </c>
      <c r="B3675" t="str">
        <f t="shared" si="57"/>
        <v>๛</v>
      </c>
    </row>
    <row r="3676" spans="1:2" x14ac:dyDescent="0.25">
      <c r="A3676">
        <v>3676</v>
      </c>
      <c r="B3676" t="str">
        <f t="shared" si="57"/>
        <v>๜</v>
      </c>
    </row>
    <row r="3677" spans="1:2" x14ac:dyDescent="0.25">
      <c r="A3677">
        <v>3677</v>
      </c>
      <c r="B3677" t="str">
        <f t="shared" si="57"/>
        <v>๝</v>
      </c>
    </row>
    <row r="3678" spans="1:2" x14ac:dyDescent="0.25">
      <c r="A3678">
        <v>3678</v>
      </c>
      <c r="B3678" t="str">
        <f t="shared" si="57"/>
        <v>๞</v>
      </c>
    </row>
    <row r="3679" spans="1:2" x14ac:dyDescent="0.25">
      <c r="A3679">
        <v>3679</v>
      </c>
      <c r="B3679" t="str">
        <f t="shared" si="57"/>
        <v>๟</v>
      </c>
    </row>
    <row r="3680" spans="1:2" x14ac:dyDescent="0.25">
      <c r="A3680">
        <v>3680</v>
      </c>
      <c r="B3680" t="str">
        <f t="shared" si="57"/>
        <v>๠</v>
      </c>
    </row>
    <row r="3681" spans="1:2" x14ac:dyDescent="0.25">
      <c r="A3681">
        <v>3681</v>
      </c>
      <c r="B3681" t="str">
        <f t="shared" si="57"/>
        <v>๡</v>
      </c>
    </row>
    <row r="3682" spans="1:2" x14ac:dyDescent="0.25">
      <c r="A3682">
        <v>3682</v>
      </c>
      <c r="B3682" t="str">
        <f t="shared" si="57"/>
        <v>๢</v>
      </c>
    </row>
    <row r="3683" spans="1:2" x14ac:dyDescent="0.25">
      <c r="A3683">
        <v>3683</v>
      </c>
      <c r="B3683" t="str">
        <f t="shared" si="57"/>
        <v>๣</v>
      </c>
    </row>
    <row r="3684" spans="1:2" x14ac:dyDescent="0.25">
      <c r="A3684">
        <v>3684</v>
      </c>
      <c r="B3684" t="str">
        <f t="shared" si="57"/>
        <v>๤</v>
      </c>
    </row>
    <row r="3685" spans="1:2" x14ac:dyDescent="0.25">
      <c r="A3685">
        <v>3685</v>
      </c>
      <c r="B3685" t="str">
        <f t="shared" si="57"/>
        <v>๥</v>
      </c>
    </row>
    <row r="3686" spans="1:2" x14ac:dyDescent="0.25">
      <c r="A3686">
        <v>3686</v>
      </c>
      <c r="B3686" t="str">
        <f t="shared" si="57"/>
        <v>๦</v>
      </c>
    </row>
    <row r="3687" spans="1:2" x14ac:dyDescent="0.25">
      <c r="A3687">
        <v>3687</v>
      </c>
      <c r="B3687" t="str">
        <f t="shared" si="57"/>
        <v>๧</v>
      </c>
    </row>
    <row r="3688" spans="1:2" x14ac:dyDescent="0.25">
      <c r="A3688">
        <v>3688</v>
      </c>
      <c r="B3688" t="str">
        <f t="shared" si="57"/>
        <v>๨</v>
      </c>
    </row>
    <row r="3689" spans="1:2" x14ac:dyDescent="0.25">
      <c r="A3689">
        <v>3689</v>
      </c>
      <c r="B3689" t="str">
        <f t="shared" si="57"/>
        <v>๩</v>
      </c>
    </row>
    <row r="3690" spans="1:2" x14ac:dyDescent="0.25">
      <c r="A3690">
        <v>3690</v>
      </c>
      <c r="B3690" t="str">
        <f t="shared" si="57"/>
        <v>๪</v>
      </c>
    </row>
    <row r="3691" spans="1:2" x14ac:dyDescent="0.25">
      <c r="A3691">
        <v>3691</v>
      </c>
      <c r="B3691" t="str">
        <f t="shared" si="57"/>
        <v>๫</v>
      </c>
    </row>
    <row r="3692" spans="1:2" x14ac:dyDescent="0.25">
      <c r="A3692">
        <v>3692</v>
      </c>
      <c r="B3692" t="str">
        <f t="shared" si="57"/>
        <v>๬</v>
      </c>
    </row>
    <row r="3693" spans="1:2" x14ac:dyDescent="0.25">
      <c r="A3693">
        <v>3693</v>
      </c>
      <c r="B3693" t="str">
        <f t="shared" si="57"/>
        <v>๭</v>
      </c>
    </row>
    <row r="3694" spans="1:2" x14ac:dyDescent="0.25">
      <c r="A3694">
        <v>3694</v>
      </c>
      <c r="B3694" t="str">
        <f t="shared" si="57"/>
        <v>๮</v>
      </c>
    </row>
    <row r="3695" spans="1:2" x14ac:dyDescent="0.25">
      <c r="A3695">
        <v>3695</v>
      </c>
      <c r="B3695" t="str">
        <f t="shared" si="57"/>
        <v>๯</v>
      </c>
    </row>
    <row r="3696" spans="1:2" x14ac:dyDescent="0.25">
      <c r="A3696">
        <v>3696</v>
      </c>
      <c r="B3696" t="str">
        <f t="shared" si="57"/>
        <v>๰</v>
      </c>
    </row>
    <row r="3697" spans="1:2" x14ac:dyDescent="0.25">
      <c r="A3697">
        <v>3697</v>
      </c>
      <c r="B3697" t="str">
        <f t="shared" si="57"/>
        <v>๱</v>
      </c>
    </row>
    <row r="3698" spans="1:2" x14ac:dyDescent="0.25">
      <c r="A3698">
        <v>3698</v>
      </c>
      <c r="B3698" t="str">
        <f t="shared" si="57"/>
        <v>๲</v>
      </c>
    </row>
    <row r="3699" spans="1:2" x14ac:dyDescent="0.25">
      <c r="A3699">
        <v>3699</v>
      </c>
      <c r="B3699" t="str">
        <f t="shared" si="57"/>
        <v>๳</v>
      </c>
    </row>
    <row r="3700" spans="1:2" x14ac:dyDescent="0.25">
      <c r="A3700">
        <v>3700</v>
      </c>
      <c r="B3700" t="str">
        <f t="shared" si="57"/>
        <v>๴</v>
      </c>
    </row>
    <row r="3701" spans="1:2" x14ac:dyDescent="0.25">
      <c r="A3701">
        <v>3701</v>
      </c>
      <c r="B3701" t="str">
        <f t="shared" si="57"/>
        <v>๵</v>
      </c>
    </row>
    <row r="3702" spans="1:2" x14ac:dyDescent="0.25">
      <c r="A3702">
        <v>3702</v>
      </c>
      <c r="B3702" t="str">
        <f t="shared" si="57"/>
        <v>๶</v>
      </c>
    </row>
    <row r="3703" spans="1:2" x14ac:dyDescent="0.25">
      <c r="A3703">
        <v>3703</v>
      </c>
      <c r="B3703" t="str">
        <f t="shared" si="57"/>
        <v>๷</v>
      </c>
    </row>
    <row r="3704" spans="1:2" x14ac:dyDescent="0.25">
      <c r="A3704">
        <v>3704</v>
      </c>
      <c r="B3704" t="str">
        <f t="shared" si="57"/>
        <v>๸</v>
      </c>
    </row>
    <row r="3705" spans="1:2" x14ac:dyDescent="0.25">
      <c r="A3705">
        <v>3705</v>
      </c>
      <c r="B3705" t="str">
        <f t="shared" si="57"/>
        <v>๹</v>
      </c>
    </row>
    <row r="3706" spans="1:2" x14ac:dyDescent="0.25">
      <c r="A3706">
        <v>3706</v>
      </c>
      <c r="B3706" t="str">
        <f t="shared" si="57"/>
        <v>๺</v>
      </c>
    </row>
    <row r="3707" spans="1:2" x14ac:dyDescent="0.25">
      <c r="A3707">
        <v>3707</v>
      </c>
      <c r="B3707" t="str">
        <f t="shared" si="57"/>
        <v>๻</v>
      </c>
    </row>
    <row r="3708" spans="1:2" x14ac:dyDescent="0.25">
      <c r="A3708">
        <v>3708</v>
      </c>
      <c r="B3708" t="str">
        <f t="shared" si="57"/>
        <v>๼</v>
      </c>
    </row>
    <row r="3709" spans="1:2" x14ac:dyDescent="0.25">
      <c r="A3709">
        <v>3709</v>
      </c>
      <c r="B3709" t="str">
        <f t="shared" si="57"/>
        <v>๽</v>
      </c>
    </row>
    <row r="3710" spans="1:2" x14ac:dyDescent="0.25">
      <c r="A3710">
        <v>3710</v>
      </c>
      <c r="B3710" t="str">
        <f t="shared" si="57"/>
        <v>๾</v>
      </c>
    </row>
    <row r="3711" spans="1:2" x14ac:dyDescent="0.25">
      <c r="A3711">
        <v>3711</v>
      </c>
      <c r="B3711" t="str">
        <f t="shared" si="57"/>
        <v>๿</v>
      </c>
    </row>
    <row r="3712" spans="1:2" x14ac:dyDescent="0.25">
      <c r="A3712">
        <v>3712</v>
      </c>
      <c r="B3712" t="str">
        <f t="shared" si="57"/>
        <v>຀</v>
      </c>
    </row>
    <row r="3713" spans="1:2" x14ac:dyDescent="0.25">
      <c r="A3713">
        <v>3713</v>
      </c>
      <c r="B3713" t="str">
        <f t="shared" si="57"/>
        <v>ກ</v>
      </c>
    </row>
    <row r="3714" spans="1:2" x14ac:dyDescent="0.25">
      <c r="A3714">
        <v>3714</v>
      </c>
      <c r="B3714" t="str">
        <f t="shared" ref="B3714:B3777" si="58">_xlfn.UNICHAR(A3714)</f>
        <v>ຂ</v>
      </c>
    </row>
    <row r="3715" spans="1:2" x14ac:dyDescent="0.25">
      <c r="A3715">
        <v>3715</v>
      </c>
      <c r="B3715" t="str">
        <f t="shared" si="58"/>
        <v>຃</v>
      </c>
    </row>
    <row r="3716" spans="1:2" x14ac:dyDescent="0.25">
      <c r="A3716">
        <v>3716</v>
      </c>
      <c r="B3716" t="str">
        <f t="shared" si="58"/>
        <v>ຄ</v>
      </c>
    </row>
    <row r="3717" spans="1:2" x14ac:dyDescent="0.25">
      <c r="A3717">
        <v>3717</v>
      </c>
      <c r="B3717" t="str">
        <f t="shared" si="58"/>
        <v>຅</v>
      </c>
    </row>
    <row r="3718" spans="1:2" x14ac:dyDescent="0.25">
      <c r="A3718">
        <v>3718</v>
      </c>
      <c r="B3718" t="str">
        <f t="shared" si="58"/>
        <v>ຆ</v>
      </c>
    </row>
    <row r="3719" spans="1:2" x14ac:dyDescent="0.25">
      <c r="A3719">
        <v>3719</v>
      </c>
      <c r="B3719" t="str">
        <f t="shared" si="58"/>
        <v>ງ</v>
      </c>
    </row>
    <row r="3720" spans="1:2" x14ac:dyDescent="0.25">
      <c r="A3720">
        <v>3720</v>
      </c>
      <c r="B3720" t="str">
        <f t="shared" si="58"/>
        <v>ຈ</v>
      </c>
    </row>
    <row r="3721" spans="1:2" x14ac:dyDescent="0.25">
      <c r="A3721">
        <v>3721</v>
      </c>
      <c r="B3721" t="str">
        <f t="shared" si="58"/>
        <v>ຉ</v>
      </c>
    </row>
    <row r="3722" spans="1:2" x14ac:dyDescent="0.25">
      <c r="A3722">
        <v>3722</v>
      </c>
      <c r="B3722" t="str">
        <f t="shared" si="58"/>
        <v>ຊ</v>
      </c>
    </row>
    <row r="3723" spans="1:2" x14ac:dyDescent="0.25">
      <c r="A3723">
        <v>3723</v>
      </c>
      <c r="B3723" t="str">
        <f t="shared" si="58"/>
        <v>຋</v>
      </c>
    </row>
    <row r="3724" spans="1:2" x14ac:dyDescent="0.25">
      <c r="A3724">
        <v>3724</v>
      </c>
      <c r="B3724" t="str">
        <f t="shared" si="58"/>
        <v>ຌ</v>
      </c>
    </row>
    <row r="3725" spans="1:2" x14ac:dyDescent="0.25">
      <c r="A3725">
        <v>3725</v>
      </c>
      <c r="B3725" t="str">
        <f t="shared" si="58"/>
        <v>ຍ</v>
      </c>
    </row>
    <row r="3726" spans="1:2" x14ac:dyDescent="0.25">
      <c r="A3726">
        <v>3726</v>
      </c>
      <c r="B3726" t="str">
        <f t="shared" si="58"/>
        <v>ຎ</v>
      </c>
    </row>
    <row r="3727" spans="1:2" x14ac:dyDescent="0.25">
      <c r="A3727">
        <v>3727</v>
      </c>
      <c r="B3727" t="str">
        <f t="shared" si="58"/>
        <v>ຏ</v>
      </c>
    </row>
    <row r="3728" spans="1:2" x14ac:dyDescent="0.25">
      <c r="A3728">
        <v>3728</v>
      </c>
      <c r="B3728" t="str">
        <f t="shared" si="58"/>
        <v>ຐ</v>
      </c>
    </row>
    <row r="3729" spans="1:2" x14ac:dyDescent="0.25">
      <c r="A3729">
        <v>3729</v>
      </c>
      <c r="B3729" t="str">
        <f t="shared" si="58"/>
        <v>ຑ</v>
      </c>
    </row>
    <row r="3730" spans="1:2" x14ac:dyDescent="0.25">
      <c r="A3730">
        <v>3730</v>
      </c>
      <c r="B3730" t="str">
        <f t="shared" si="58"/>
        <v>ຒ</v>
      </c>
    </row>
    <row r="3731" spans="1:2" x14ac:dyDescent="0.25">
      <c r="A3731">
        <v>3731</v>
      </c>
      <c r="B3731" t="str">
        <f t="shared" si="58"/>
        <v>ຓ</v>
      </c>
    </row>
    <row r="3732" spans="1:2" x14ac:dyDescent="0.25">
      <c r="A3732">
        <v>3732</v>
      </c>
      <c r="B3732" t="str">
        <f t="shared" si="58"/>
        <v>ດ</v>
      </c>
    </row>
    <row r="3733" spans="1:2" x14ac:dyDescent="0.25">
      <c r="A3733">
        <v>3733</v>
      </c>
      <c r="B3733" t="str">
        <f t="shared" si="58"/>
        <v>ຕ</v>
      </c>
    </row>
    <row r="3734" spans="1:2" x14ac:dyDescent="0.25">
      <c r="A3734">
        <v>3734</v>
      </c>
      <c r="B3734" t="str">
        <f t="shared" si="58"/>
        <v>ຖ</v>
      </c>
    </row>
    <row r="3735" spans="1:2" x14ac:dyDescent="0.25">
      <c r="A3735">
        <v>3735</v>
      </c>
      <c r="B3735" t="str">
        <f t="shared" si="58"/>
        <v>ທ</v>
      </c>
    </row>
    <row r="3736" spans="1:2" x14ac:dyDescent="0.25">
      <c r="A3736">
        <v>3736</v>
      </c>
      <c r="B3736" t="str">
        <f t="shared" si="58"/>
        <v>ຘ</v>
      </c>
    </row>
    <row r="3737" spans="1:2" x14ac:dyDescent="0.25">
      <c r="A3737">
        <v>3737</v>
      </c>
      <c r="B3737" t="str">
        <f t="shared" si="58"/>
        <v>ນ</v>
      </c>
    </row>
    <row r="3738" spans="1:2" x14ac:dyDescent="0.25">
      <c r="A3738">
        <v>3738</v>
      </c>
      <c r="B3738" t="str">
        <f t="shared" si="58"/>
        <v>ບ</v>
      </c>
    </row>
    <row r="3739" spans="1:2" x14ac:dyDescent="0.25">
      <c r="A3739">
        <v>3739</v>
      </c>
      <c r="B3739" t="str">
        <f t="shared" si="58"/>
        <v>ປ</v>
      </c>
    </row>
    <row r="3740" spans="1:2" x14ac:dyDescent="0.25">
      <c r="A3740">
        <v>3740</v>
      </c>
      <c r="B3740" t="str">
        <f t="shared" si="58"/>
        <v>ຜ</v>
      </c>
    </row>
    <row r="3741" spans="1:2" x14ac:dyDescent="0.25">
      <c r="A3741">
        <v>3741</v>
      </c>
      <c r="B3741" t="str">
        <f t="shared" si="58"/>
        <v>ຝ</v>
      </c>
    </row>
    <row r="3742" spans="1:2" x14ac:dyDescent="0.25">
      <c r="A3742">
        <v>3742</v>
      </c>
      <c r="B3742" t="str">
        <f t="shared" si="58"/>
        <v>ພ</v>
      </c>
    </row>
    <row r="3743" spans="1:2" x14ac:dyDescent="0.25">
      <c r="A3743">
        <v>3743</v>
      </c>
      <c r="B3743" t="str">
        <f t="shared" si="58"/>
        <v>ຟ</v>
      </c>
    </row>
    <row r="3744" spans="1:2" x14ac:dyDescent="0.25">
      <c r="A3744">
        <v>3744</v>
      </c>
      <c r="B3744" t="str">
        <f t="shared" si="58"/>
        <v>ຠ</v>
      </c>
    </row>
    <row r="3745" spans="1:2" x14ac:dyDescent="0.25">
      <c r="A3745">
        <v>3745</v>
      </c>
      <c r="B3745" t="str">
        <f t="shared" si="58"/>
        <v>ມ</v>
      </c>
    </row>
    <row r="3746" spans="1:2" x14ac:dyDescent="0.25">
      <c r="A3746">
        <v>3746</v>
      </c>
      <c r="B3746" t="str">
        <f t="shared" si="58"/>
        <v>ຢ</v>
      </c>
    </row>
    <row r="3747" spans="1:2" x14ac:dyDescent="0.25">
      <c r="A3747">
        <v>3747</v>
      </c>
      <c r="B3747" t="str">
        <f t="shared" si="58"/>
        <v>ຣ</v>
      </c>
    </row>
    <row r="3748" spans="1:2" x14ac:dyDescent="0.25">
      <c r="A3748">
        <v>3748</v>
      </c>
      <c r="B3748" t="str">
        <f t="shared" si="58"/>
        <v>຤</v>
      </c>
    </row>
    <row r="3749" spans="1:2" x14ac:dyDescent="0.25">
      <c r="A3749">
        <v>3749</v>
      </c>
      <c r="B3749" t="str">
        <f t="shared" si="58"/>
        <v>ລ</v>
      </c>
    </row>
    <row r="3750" spans="1:2" x14ac:dyDescent="0.25">
      <c r="A3750">
        <v>3750</v>
      </c>
      <c r="B3750" t="str">
        <f t="shared" si="58"/>
        <v>຦</v>
      </c>
    </row>
    <row r="3751" spans="1:2" x14ac:dyDescent="0.25">
      <c r="A3751">
        <v>3751</v>
      </c>
      <c r="B3751" t="str">
        <f t="shared" si="58"/>
        <v>ວ</v>
      </c>
    </row>
    <row r="3752" spans="1:2" x14ac:dyDescent="0.25">
      <c r="A3752">
        <v>3752</v>
      </c>
      <c r="B3752" t="str">
        <f t="shared" si="58"/>
        <v>ຨ</v>
      </c>
    </row>
    <row r="3753" spans="1:2" x14ac:dyDescent="0.25">
      <c r="A3753">
        <v>3753</v>
      </c>
      <c r="B3753" t="str">
        <f t="shared" si="58"/>
        <v>ຩ</v>
      </c>
    </row>
    <row r="3754" spans="1:2" x14ac:dyDescent="0.25">
      <c r="A3754">
        <v>3754</v>
      </c>
      <c r="B3754" t="str">
        <f t="shared" si="58"/>
        <v>ສ</v>
      </c>
    </row>
    <row r="3755" spans="1:2" x14ac:dyDescent="0.25">
      <c r="A3755">
        <v>3755</v>
      </c>
      <c r="B3755" t="str">
        <f t="shared" si="58"/>
        <v>ຫ</v>
      </c>
    </row>
    <row r="3756" spans="1:2" x14ac:dyDescent="0.25">
      <c r="A3756">
        <v>3756</v>
      </c>
      <c r="B3756" t="str">
        <f t="shared" si="58"/>
        <v>ຬ</v>
      </c>
    </row>
    <row r="3757" spans="1:2" x14ac:dyDescent="0.25">
      <c r="A3757">
        <v>3757</v>
      </c>
      <c r="B3757" t="str">
        <f t="shared" si="58"/>
        <v>ອ</v>
      </c>
    </row>
    <row r="3758" spans="1:2" x14ac:dyDescent="0.25">
      <c r="A3758">
        <v>3758</v>
      </c>
      <c r="B3758" t="str">
        <f t="shared" si="58"/>
        <v>ຮ</v>
      </c>
    </row>
    <row r="3759" spans="1:2" x14ac:dyDescent="0.25">
      <c r="A3759">
        <v>3759</v>
      </c>
      <c r="B3759" t="str">
        <f t="shared" si="58"/>
        <v>ຯ</v>
      </c>
    </row>
    <row r="3760" spans="1:2" x14ac:dyDescent="0.25">
      <c r="A3760">
        <v>3760</v>
      </c>
      <c r="B3760" t="str">
        <f t="shared" si="58"/>
        <v>ະ</v>
      </c>
    </row>
    <row r="3761" spans="1:2" x14ac:dyDescent="0.25">
      <c r="A3761">
        <v>3761</v>
      </c>
      <c r="B3761" t="str">
        <f t="shared" si="58"/>
        <v>ັ</v>
      </c>
    </row>
    <row r="3762" spans="1:2" x14ac:dyDescent="0.25">
      <c r="A3762">
        <v>3762</v>
      </c>
      <c r="B3762" t="str">
        <f t="shared" si="58"/>
        <v>າ</v>
      </c>
    </row>
    <row r="3763" spans="1:2" x14ac:dyDescent="0.25">
      <c r="A3763">
        <v>3763</v>
      </c>
      <c r="B3763" t="str">
        <f t="shared" si="58"/>
        <v>ຳ</v>
      </c>
    </row>
    <row r="3764" spans="1:2" x14ac:dyDescent="0.25">
      <c r="A3764">
        <v>3764</v>
      </c>
      <c r="B3764" t="str">
        <f t="shared" si="58"/>
        <v>ິ</v>
      </c>
    </row>
    <row r="3765" spans="1:2" x14ac:dyDescent="0.25">
      <c r="A3765">
        <v>3765</v>
      </c>
      <c r="B3765" t="str">
        <f t="shared" si="58"/>
        <v>ີ</v>
      </c>
    </row>
    <row r="3766" spans="1:2" x14ac:dyDescent="0.25">
      <c r="A3766">
        <v>3766</v>
      </c>
      <c r="B3766" t="str">
        <f t="shared" si="58"/>
        <v>ຶ</v>
      </c>
    </row>
    <row r="3767" spans="1:2" x14ac:dyDescent="0.25">
      <c r="A3767">
        <v>3767</v>
      </c>
      <c r="B3767" t="str">
        <f t="shared" si="58"/>
        <v>ື</v>
      </c>
    </row>
    <row r="3768" spans="1:2" x14ac:dyDescent="0.25">
      <c r="A3768">
        <v>3768</v>
      </c>
      <c r="B3768" t="str">
        <f t="shared" si="58"/>
        <v>ຸ</v>
      </c>
    </row>
    <row r="3769" spans="1:2" x14ac:dyDescent="0.25">
      <c r="A3769">
        <v>3769</v>
      </c>
      <c r="B3769" t="str">
        <f t="shared" si="58"/>
        <v>ູ</v>
      </c>
    </row>
    <row r="3770" spans="1:2" x14ac:dyDescent="0.25">
      <c r="A3770">
        <v>3770</v>
      </c>
      <c r="B3770" t="str">
        <f t="shared" si="58"/>
        <v>຺</v>
      </c>
    </row>
    <row r="3771" spans="1:2" x14ac:dyDescent="0.25">
      <c r="A3771">
        <v>3771</v>
      </c>
      <c r="B3771" t="str">
        <f t="shared" si="58"/>
        <v>ົ</v>
      </c>
    </row>
    <row r="3772" spans="1:2" x14ac:dyDescent="0.25">
      <c r="A3772">
        <v>3772</v>
      </c>
      <c r="B3772" t="str">
        <f t="shared" si="58"/>
        <v>ຼ</v>
      </c>
    </row>
    <row r="3773" spans="1:2" x14ac:dyDescent="0.25">
      <c r="A3773">
        <v>3773</v>
      </c>
      <c r="B3773" t="str">
        <f t="shared" si="58"/>
        <v>ຽ</v>
      </c>
    </row>
    <row r="3774" spans="1:2" x14ac:dyDescent="0.25">
      <c r="A3774">
        <v>3774</v>
      </c>
      <c r="B3774" t="str">
        <f t="shared" si="58"/>
        <v>຾</v>
      </c>
    </row>
    <row r="3775" spans="1:2" x14ac:dyDescent="0.25">
      <c r="A3775">
        <v>3775</v>
      </c>
      <c r="B3775" t="str">
        <f t="shared" si="58"/>
        <v>຿</v>
      </c>
    </row>
    <row r="3776" spans="1:2" x14ac:dyDescent="0.25">
      <c r="A3776">
        <v>3776</v>
      </c>
      <c r="B3776" t="str">
        <f t="shared" si="58"/>
        <v>ເ</v>
      </c>
    </row>
    <row r="3777" spans="1:2" x14ac:dyDescent="0.25">
      <c r="A3777">
        <v>3777</v>
      </c>
      <c r="B3777" t="str">
        <f t="shared" si="58"/>
        <v>ແ</v>
      </c>
    </row>
    <row r="3778" spans="1:2" x14ac:dyDescent="0.25">
      <c r="A3778">
        <v>3778</v>
      </c>
      <c r="B3778" t="str">
        <f t="shared" ref="B3778:B3841" si="59">_xlfn.UNICHAR(A3778)</f>
        <v>ໂ</v>
      </c>
    </row>
    <row r="3779" spans="1:2" x14ac:dyDescent="0.25">
      <c r="A3779">
        <v>3779</v>
      </c>
      <c r="B3779" t="str">
        <f t="shared" si="59"/>
        <v>ໃ</v>
      </c>
    </row>
    <row r="3780" spans="1:2" x14ac:dyDescent="0.25">
      <c r="A3780">
        <v>3780</v>
      </c>
      <c r="B3780" t="str">
        <f t="shared" si="59"/>
        <v>ໄ</v>
      </c>
    </row>
    <row r="3781" spans="1:2" x14ac:dyDescent="0.25">
      <c r="A3781">
        <v>3781</v>
      </c>
      <c r="B3781" t="str">
        <f t="shared" si="59"/>
        <v>໅</v>
      </c>
    </row>
    <row r="3782" spans="1:2" x14ac:dyDescent="0.25">
      <c r="A3782">
        <v>3782</v>
      </c>
      <c r="B3782" t="str">
        <f t="shared" si="59"/>
        <v>ໆ</v>
      </c>
    </row>
    <row r="3783" spans="1:2" x14ac:dyDescent="0.25">
      <c r="A3783">
        <v>3783</v>
      </c>
      <c r="B3783" t="str">
        <f t="shared" si="59"/>
        <v>໇</v>
      </c>
    </row>
    <row r="3784" spans="1:2" x14ac:dyDescent="0.25">
      <c r="A3784">
        <v>3784</v>
      </c>
      <c r="B3784" t="str">
        <f t="shared" si="59"/>
        <v>່</v>
      </c>
    </row>
    <row r="3785" spans="1:2" x14ac:dyDescent="0.25">
      <c r="A3785">
        <v>3785</v>
      </c>
      <c r="B3785" t="str">
        <f t="shared" si="59"/>
        <v>້</v>
      </c>
    </row>
    <row r="3786" spans="1:2" x14ac:dyDescent="0.25">
      <c r="A3786">
        <v>3786</v>
      </c>
      <c r="B3786" t="str">
        <f t="shared" si="59"/>
        <v>໊</v>
      </c>
    </row>
    <row r="3787" spans="1:2" x14ac:dyDescent="0.25">
      <c r="A3787">
        <v>3787</v>
      </c>
      <c r="B3787" t="str">
        <f t="shared" si="59"/>
        <v>໋</v>
      </c>
    </row>
    <row r="3788" spans="1:2" x14ac:dyDescent="0.25">
      <c r="A3788">
        <v>3788</v>
      </c>
      <c r="B3788" t="str">
        <f t="shared" si="59"/>
        <v>໌</v>
      </c>
    </row>
    <row r="3789" spans="1:2" x14ac:dyDescent="0.25">
      <c r="A3789">
        <v>3789</v>
      </c>
      <c r="B3789" t="str">
        <f t="shared" si="59"/>
        <v>ໍ</v>
      </c>
    </row>
    <row r="3790" spans="1:2" x14ac:dyDescent="0.25">
      <c r="A3790">
        <v>3790</v>
      </c>
      <c r="B3790" t="str">
        <f t="shared" si="59"/>
        <v>໎</v>
      </c>
    </row>
    <row r="3791" spans="1:2" x14ac:dyDescent="0.25">
      <c r="A3791">
        <v>3791</v>
      </c>
      <c r="B3791" t="str">
        <f t="shared" si="59"/>
        <v>໏</v>
      </c>
    </row>
    <row r="3792" spans="1:2" x14ac:dyDescent="0.25">
      <c r="A3792">
        <v>3792</v>
      </c>
      <c r="B3792" t="str">
        <f t="shared" si="59"/>
        <v>໐</v>
      </c>
    </row>
    <row r="3793" spans="1:2" x14ac:dyDescent="0.25">
      <c r="A3793">
        <v>3793</v>
      </c>
      <c r="B3793" t="str">
        <f t="shared" si="59"/>
        <v>໑</v>
      </c>
    </row>
    <row r="3794" spans="1:2" x14ac:dyDescent="0.25">
      <c r="A3794">
        <v>3794</v>
      </c>
      <c r="B3794" t="str">
        <f t="shared" si="59"/>
        <v>໒</v>
      </c>
    </row>
    <row r="3795" spans="1:2" x14ac:dyDescent="0.25">
      <c r="A3795">
        <v>3795</v>
      </c>
      <c r="B3795" t="str">
        <f t="shared" si="59"/>
        <v>໓</v>
      </c>
    </row>
    <row r="3796" spans="1:2" x14ac:dyDescent="0.25">
      <c r="A3796">
        <v>3796</v>
      </c>
      <c r="B3796" t="str">
        <f t="shared" si="59"/>
        <v>໔</v>
      </c>
    </row>
    <row r="3797" spans="1:2" x14ac:dyDescent="0.25">
      <c r="A3797">
        <v>3797</v>
      </c>
      <c r="B3797" t="str">
        <f t="shared" si="59"/>
        <v>໕</v>
      </c>
    </row>
    <row r="3798" spans="1:2" x14ac:dyDescent="0.25">
      <c r="A3798">
        <v>3798</v>
      </c>
      <c r="B3798" t="str">
        <f t="shared" si="59"/>
        <v>໖</v>
      </c>
    </row>
    <row r="3799" spans="1:2" x14ac:dyDescent="0.25">
      <c r="A3799">
        <v>3799</v>
      </c>
      <c r="B3799" t="str">
        <f t="shared" si="59"/>
        <v>໗</v>
      </c>
    </row>
    <row r="3800" spans="1:2" x14ac:dyDescent="0.25">
      <c r="A3800">
        <v>3800</v>
      </c>
      <c r="B3800" t="str">
        <f t="shared" si="59"/>
        <v>໘</v>
      </c>
    </row>
    <row r="3801" spans="1:2" x14ac:dyDescent="0.25">
      <c r="A3801">
        <v>3801</v>
      </c>
      <c r="B3801" t="str">
        <f t="shared" si="59"/>
        <v>໙</v>
      </c>
    </row>
    <row r="3802" spans="1:2" x14ac:dyDescent="0.25">
      <c r="A3802">
        <v>3802</v>
      </c>
      <c r="B3802" t="str">
        <f t="shared" si="59"/>
        <v>໚</v>
      </c>
    </row>
    <row r="3803" spans="1:2" x14ac:dyDescent="0.25">
      <c r="A3803">
        <v>3803</v>
      </c>
      <c r="B3803" t="str">
        <f t="shared" si="59"/>
        <v>໛</v>
      </c>
    </row>
    <row r="3804" spans="1:2" x14ac:dyDescent="0.25">
      <c r="A3804">
        <v>3804</v>
      </c>
      <c r="B3804" t="str">
        <f t="shared" si="59"/>
        <v>ໜ</v>
      </c>
    </row>
    <row r="3805" spans="1:2" x14ac:dyDescent="0.25">
      <c r="A3805">
        <v>3805</v>
      </c>
      <c r="B3805" t="str">
        <f t="shared" si="59"/>
        <v>ໝ</v>
      </c>
    </row>
    <row r="3806" spans="1:2" x14ac:dyDescent="0.25">
      <c r="A3806">
        <v>3806</v>
      </c>
      <c r="B3806" t="str">
        <f t="shared" si="59"/>
        <v>ໞ</v>
      </c>
    </row>
    <row r="3807" spans="1:2" x14ac:dyDescent="0.25">
      <c r="A3807">
        <v>3807</v>
      </c>
      <c r="B3807" t="str">
        <f t="shared" si="59"/>
        <v>ໟ</v>
      </c>
    </row>
    <row r="3808" spans="1:2" x14ac:dyDescent="0.25">
      <c r="A3808">
        <v>3808</v>
      </c>
      <c r="B3808" t="str">
        <f t="shared" si="59"/>
        <v>໠</v>
      </c>
    </row>
    <row r="3809" spans="1:2" x14ac:dyDescent="0.25">
      <c r="A3809">
        <v>3809</v>
      </c>
      <c r="B3809" t="str">
        <f t="shared" si="59"/>
        <v>໡</v>
      </c>
    </row>
    <row r="3810" spans="1:2" x14ac:dyDescent="0.25">
      <c r="A3810">
        <v>3810</v>
      </c>
      <c r="B3810" t="str">
        <f t="shared" si="59"/>
        <v>໢</v>
      </c>
    </row>
    <row r="3811" spans="1:2" x14ac:dyDescent="0.25">
      <c r="A3811">
        <v>3811</v>
      </c>
      <c r="B3811" t="str">
        <f t="shared" si="59"/>
        <v>໣</v>
      </c>
    </row>
    <row r="3812" spans="1:2" x14ac:dyDescent="0.25">
      <c r="A3812">
        <v>3812</v>
      </c>
      <c r="B3812" t="str">
        <f t="shared" si="59"/>
        <v>໤</v>
      </c>
    </row>
    <row r="3813" spans="1:2" x14ac:dyDescent="0.25">
      <c r="A3813">
        <v>3813</v>
      </c>
      <c r="B3813" t="str">
        <f t="shared" si="59"/>
        <v>໥</v>
      </c>
    </row>
    <row r="3814" spans="1:2" x14ac:dyDescent="0.25">
      <c r="A3814">
        <v>3814</v>
      </c>
      <c r="B3814" t="str">
        <f t="shared" si="59"/>
        <v>໦</v>
      </c>
    </row>
    <row r="3815" spans="1:2" x14ac:dyDescent="0.25">
      <c r="A3815">
        <v>3815</v>
      </c>
      <c r="B3815" t="str">
        <f t="shared" si="59"/>
        <v>໧</v>
      </c>
    </row>
    <row r="3816" spans="1:2" x14ac:dyDescent="0.25">
      <c r="A3816">
        <v>3816</v>
      </c>
      <c r="B3816" t="str">
        <f t="shared" si="59"/>
        <v>໨</v>
      </c>
    </row>
    <row r="3817" spans="1:2" x14ac:dyDescent="0.25">
      <c r="A3817">
        <v>3817</v>
      </c>
      <c r="B3817" t="str">
        <f t="shared" si="59"/>
        <v>໩</v>
      </c>
    </row>
    <row r="3818" spans="1:2" x14ac:dyDescent="0.25">
      <c r="A3818">
        <v>3818</v>
      </c>
      <c r="B3818" t="str">
        <f t="shared" si="59"/>
        <v>໪</v>
      </c>
    </row>
    <row r="3819" spans="1:2" x14ac:dyDescent="0.25">
      <c r="A3819">
        <v>3819</v>
      </c>
      <c r="B3819" t="str">
        <f t="shared" si="59"/>
        <v>໫</v>
      </c>
    </row>
    <row r="3820" spans="1:2" x14ac:dyDescent="0.25">
      <c r="A3820">
        <v>3820</v>
      </c>
      <c r="B3820" t="str">
        <f t="shared" si="59"/>
        <v>໬</v>
      </c>
    </row>
    <row r="3821" spans="1:2" x14ac:dyDescent="0.25">
      <c r="A3821">
        <v>3821</v>
      </c>
      <c r="B3821" t="str">
        <f t="shared" si="59"/>
        <v>໭</v>
      </c>
    </row>
    <row r="3822" spans="1:2" x14ac:dyDescent="0.25">
      <c r="A3822">
        <v>3822</v>
      </c>
      <c r="B3822" t="str">
        <f t="shared" si="59"/>
        <v>໮</v>
      </c>
    </row>
    <row r="3823" spans="1:2" x14ac:dyDescent="0.25">
      <c r="A3823">
        <v>3823</v>
      </c>
      <c r="B3823" t="str">
        <f t="shared" si="59"/>
        <v>໯</v>
      </c>
    </row>
    <row r="3824" spans="1:2" x14ac:dyDescent="0.25">
      <c r="A3824">
        <v>3824</v>
      </c>
      <c r="B3824" t="str">
        <f t="shared" si="59"/>
        <v>໰</v>
      </c>
    </row>
    <row r="3825" spans="1:2" x14ac:dyDescent="0.25">
      <c r="A3825">
        <v>3825</v>
      </c>
      <c r="B3825" t="str">
        <f t="shared" si="59"/>
        <v>໱</v>
      </c>
    </row>
    <row r="3826" spans="1:2" x14ac:dyDescent="0.25">
      <c r="A3826">
        <v>3826</v>
      </c>
      <c r="B3826" t="str">
        <f t="shared" si="59"/>
        <v>໲</v>
      </c>
    </row>
    <row r="3827" spans="1:2" x14ac:dyDescent="0.25">
      <c r="A3827">
        <v>3827</v>
      </c>
      <c r="B3827" t="str">
        <f t="shared" si="59"/>
        <v>໳</v>
      </c>
    </row>
    <row r="3828" spans="1:2" x14ac:dyDescent="0.25">
      <c r="A3828">
        <v>3828</v>
      </c>
      <c r="B3828" t="str">
        <f t="shared" si="59"/>
        <v>໴</v>
      </c>
    </row>
    <row r="3829" spans="1:2" x14ac:dyDescent="0.25">
      <c r="A3829">
        <v>3829</v>
      </c>
      <c r="B3829" t="str">
        <f t="shared" si="59"/>
        <v>໵</v>
      </c>
    </row>
    <row r="3830" spans="1:2" x14ac:dyDescent="0.25">
      <c r="A3830">
        <v>3830</v>
      </c>
      <c r="B3830" t="str">
        <f t="shared" si="59"/>
        <v>໶</v>
      </c>
    </row>
    <row r="3831" spans="1:2" x14ac:dyDescent="0.25">
      <c r="A3831">
        <v>3831</v>
      </c>
      <c r="B3831" t="str">
        <f t="shared" si="59"/>
        <v>໷</v>
      </c>
    </row>
    <row r="3832" spans="1:2" x14ac:dyDescent="0.25">
      <c r="A3832">
        <v>3832</v>
      </c>
      <c r="B3832" t="str">
        <f t="shared" si="59"/>
        <v>໸</v>
      </c>
    </row>
    <row r="3833" spans="1:2" x14ac:dyDescent="0.25">
      <c r="A3833">
        <v>3833</v>
      </c>
      <c r="B3833" t="str">
        <f t="shared" si="59"/>
        <v>໹</v>
      </c>
    </row>
    <row r="3834" spans="1:2" x14ac:dyDescent="0.25">
      <c r="A3834">
        <v>3834</v>
      </c>
      <c r="B3834" t="str">
        <f t="shared" si="59"/>
        <v>໺</v>
      </c>
    </row>
    <row r="3835" spans="1:2" x14ac:dyDescent="0.25">
      <c r="A3835">
        <v>3835</v>
      </c>
      <c r="B3835" t="str">
        <f t="shared" si="59"/>
        <v>໻</v>
      </c>
    </row>
    <row r="3836" spans="1:2" x14ac:dyDescent="0.25">
      <c r="A3836">
        <v>3836</v>
      </c>
      <c r="B3836" t="str">
        <f t="shared" si="59"/>
        <v>໼</v>
      </c>
    </row>
    <row r="3837" spans="1:2" x14ac:dyDescent="0.25">
      <c r="A3837">
        <v>3837</v>
      </c>
      <c r="B3837" t="str">
        <f t="shared" si="59"/>
        <v>໽</v>
      </c>
    </row>
    <row r="3838" spans="1:2" x14ac:dyDescent="0.25">
      <c r="A3838">
        <v>3838</v>
      </c>
      <c r="B3838" t="str">
        <f t="shared" si="59"/>
        <v>໾</v>
      </c>
    </row>
    <row r="3839" spans="1:2" x14ac:dyDescent="0.25">
      <c r="A3839">
        <v>3839</v>
      </c>
      <c r="B3839" t="str">
        <f t="shared" si="59"/>
        <v>໿</v>
      </c>
    </row>
    <row r="3840" spans="1:2" x14ac:dyDescent="0.25">
      <c r="A3840">
        <v>3840</v>
      </c>
      <c r="B3840" t="str">
        <f t="shared" si="59"/>
        <v>ༀ</v>
      </c>
    </row>
    <row r="3841" spans="1:2" x14ac:dyDescent="0.25">
      <c r="A3841">
        <v>3841</v>
      </c>
      <c r="B3841" t="str">
        <f t="shared" si="59"/>
        <v>༁</v>
      </c>
    </row>
    <row r="3842" spans="1:2" x14ac:dyDescent="0.25">
      <c r="A3842">
        <v>3842</v>
      </c>
      <c r="B3842" t="str">
        <f t="shared" ref="B3842:B3905" si="60">_xlfn.UNICHAR(A3842)</f>
        <v>༂</v>
      </c>
    </row>
    <row r="3843" spans="1:2" x14ac:dyDescent="0.25">
      <c r="A3843">
        <v>3843</v>
      </c>
      <c r="B3843" t="str">
        <f t="shared" si="60"/>
        <v>༃</v>
      </c>
    </row>
    <row r="3844" spans="1:2" x14ac:dyDescent="0.25">
      <c r="A3844">
        <v>3844</v>
      </c>
      <c r="B3844" t="str">
        <f t="shared" si="60"/>
        <v>༄</v>
      </c>
    </row>
    <row r="3845" spans="1:2" x14ac:dyDescent="0.25">
      <c r="A3845">
        <v>3845</v>
      </c>
      <c r="B3845" t="str">
        <f t="shared" si="60"/>
        <v>༅</v>
      </c>
    </row>
    <row r="3846" spans="1:2" x14ac:dyDescent="0.25">
      <c r="A3846">
        <v>3846</v>
      </c>
      <c r="B3846" t="str">
        <f t="shared" si="60"/>
        <v>༆</v>
      </c>
    </row>
    <row r="3847" spans="1:2" x14ac:dyDescent="0.25">
      <c r="A3847">
        <v>3847</v>
      </c>
      <c r="B3847" t="str">
        <f t="shared" si="60"/>
        <v>༇</v>
      </c>
    </row>
    <row r="3848" spans="1:2" x14ac:dyDescent="0.25">
      <c r="A3848">
        <v>3848</v>
      </c>
      <c r="B3848" t="str">
        <f t="shared" si="60"/>
        <v>༈</v>
      </c>
    </row>
    <row r="3849" spans="1:2" x14ac:dyDescent="0.25">
      <c r="A3849">
        <v>3849</v>
      </c>
      <c r="B3849" t="str">
        <f t="shared" si="60"/>
        <v>༉</v>
      </c>
    </row>
    <row r="3850" spans="1:2" x14ac:dyDescent="0.25">
      <c r="A3850">
        <v>3850</v>
      </c>
      <c r="B3850" t="str">
        <f t="shared" si="60"/>
        <v>༊</v>
      </c>
    </row>
    <row r="3851" spans="1:2" x14ac:dyDescent="0.25">
      <c r="A3851">
        <v>3851</v>
      </c>
      <c r="B3851" t="str">
        <f t="shared" si="60"/>
        <v>་</v>
      </c>
    </row>
    <row r="3852" spans="1:2" x14ac:dyDescent="0.25">
      <c r="A3852">
        <v>3852</v>
      </c>
      <c r="B3852" t="str">
        <f t="shared" si="60"/>
        <v>༌</v>
      </c>
    </row>
    <row r="3853" spans="1:2" x14ac:dyDescent="0.25">
      <c r="A3853">
        <v>3853</v>
      </c>
      <c r="B3853" t="str">
        <f t="shared" si="60"/>
        <v>།</v>
      </c>
    </row>
    <row r="3854" spans="1:2" x14ac:dyDescent="0.25">
      <c r="A3854">
        <v>3854</v>
      </c>
      <c r="B3854" t="str">
        <f t="shared" si="60"/>
        <v>༎</v>
      </c>
    </row>
    <row r="3855" spans="1:2" x14ac:dyDescent="0.25">
      <c r="A3855">
        <v>3855</v>
      </c>
      <c r="B3855" t="str">
        <f t="shared" si="60"/>
        <v>༏</v>
      </c>
    </row>
    <row r="3856" spans="1:2" x14ac:dyDescent="0.25">
      <c r="A3856">
        <v>3856</v>
      </c>
      <c r="B3856" t="str">
        <f t="shared" si="60"/>
        <v>༐</v>
      </c>
    </row>
    <row r="3857" spans="1:2" x14ac:dyDescent="0.25">
      <c r="A3857">
        <v>3857</v>
      </c>
      <c r="B3857" t="str">
        <f t="shared" si="60"/>
        <v>༑</v>
      </c>
    </row>
    <row r="3858" spans="1:2" x14ac:dyDescent="0.25">
      <c r="A3858">
        <v>3858</v>
      </c>
      <c r="B3858" t="str">
        <f t="shared" si="60"/>
        <v>༒</v>
      </c>
    </row>
    <row r="3859" spans="1:2" x14ac:dyDescent="0.25">
      <c r="A3859">
        <v>3859</v>
      </c>
      <c r="B3859" t="str">
        <f t="shared" si="60"/>
        <v>༓</v>
      </c>
    </row>
    <row r="3860" spans="1:2" x14ac:dyDescent="0.25">
      <c r="A3860">
        <v>3860</v>
      </c>
      <c r="B3860" t="str">
        <f t="shared" si="60"/>
        <v>༔</v>
      </c>
    </row>
    <row r="3861" spans="1:2" x14ac:dyDescent="0.25">
      <c r="A3861">
        <v>3861</v>
      </c>
      <c r="B3861" t="str">
        <f t="shared" si="60"/>
        <v>༕</v>
      </c>
    </row>
    <row r="3862" spans="1:2" x14ac:dyDescent="0.25">
      <c r="A3862">
        <v>3862</v>
      </c>
      <c r="B3862" t="str">
        <f t="shared" si="60"/>
        <v>༖</v>
      </c>
    </row>
    <row r="3863" spans="1:2" x14ac:dyDescent="0.25">
      <c r="A3863">
        <v>3863</v>
      </c>
      <c r="B3863" t="str">
        <f t="shared" si="60"/>
        <v>༗</v>
      </c>
    </row>
    <row r="3864" spans="1:2" x14ac:dyDescent="0.25">
      <c r="A3864">
        <v>3864</v>
      </c>
      <c r="B3864" t="str">
        <f t="shared" si="60"/>
        <v>༘</v>
      </c>
    </row>
    <row r="3865" spans="1:2" x14ac:dyDescent="0.25">
      <c r="A3865">
        <v>3865</v>
      </c>
      <c r="B3865" t="str">
        <f t="shared" si="60"/>
        <v>༙</v>
      </c>
    </row>
    <row r="3866" spans="1:2" x14ac:dyDescent="0.25">
      <c r="A3866">
        <v>3866</v>
      </c>
      <c r="B3866" t="str">
        <f t="shared" si="60"/>
        <v>༚</v>
      </c>
    </row>
    <row r="3867" spans="1:2" x14ac:dyDescent="0.25">
      <c r="A3867">
        <v>3867</v>
      </c>
      <c r="B3867" t="str">
        <f t="shared" si="60"/>
        <v>༛</v>
      </c>
    </row>
    <row r="3868" spans="1:2" x14ac:dyDescent="0.25">
      <c r="A3868">
        <v>3868</v>
      </c>
      <c r="B3868" t="str">
        <f t="shared" si="60"/>
        <v>༜</v>
      </c>
    </row>
    <row r="3869" spans="1:2" x14ac:dyDescent="0.25">
      <c r="A3869">
        <v>3869</v>
      </c>
      <c r="B3869" t="str">
        <f t="shared" si="60"/>
        <v>༝</v>
      </c>
    </row>
    <row r="3870" spans="1:2" x14ac:dyDescent="0.25">
      <c r="A3870">
        <v>3870</v>
      </c>
      <c r="B3870" t="str">
        <f t="shared" si="60"/>
        <v>༞</v>
      </c>
    </row>
    <row r="3871" spans="1:2" x14ac:dyDescent="0.25">
      <c r="A3871">
        <v>3871</v>
      </c>
      <c r="B3871" t="str">
        <f t="shared" si="60"/>
        <v>༟</v>
      </c>
    </row>
    <row r="3872" spans="1:2" x14ac:dyDescent="0.25">
      <c r="A3872">
        <v>3872</v>
      </c>
      <c r="B3872" t="str">
        <f t="shared" si="60"/>
        <v>༠</v>
      </c>
    </row>
    <row r="3873" spans="1:2" x14ac:dyDescent="0.25">
      <c r="A3873">
        <v>3873</v>
      </c>
      <c r="B3873" t="str">
        <f t="shared" si="60"/>
        <v>༡</v>
      </c>
    </row>
    <row r="3874" spans="1:2" x14ac:dyDescent="0.25">
      <c r="A3874">
        <v>3874</v>
      </c>
      <c r="B3874" t="str">
        <f t="shared" si="60"/>
        <v>༢</v>
      </c>
    </row>
    <row r="3875" spans="1:2" x14ac:dyDescent="0.25">
      <c r="A3875">
        <v>3875</v>
      </c>
      <c r="B3875" t="str">
        <f t="shared" si="60"/>
        <v>༣</v>
      </c>
    </row>
    <row r="3876" spans="1:2" x14ac:dyDescent="0.25">
      <c r="A3876">
        <v>3876</v>
      </c>
      <c r="B3876" t="str">
        <f t="shared" si="60"/>
        <v>༤</v>
      </c>
    </row>
    <row r="3877" spans="1:2" x14ac:dyDescent="0.25">
      <c r="A3877">
        <v>3877</v>
      </c>
      <c r="B3877" t="str">
        <f t="shared" si="60"/>
        <v>༥</v>
      </c>
    </row>
    <row r="3878" spans="1:2" x14ac:dyDescent="0.25">
      <c r="A3878">
        <v>3878</v>
      </c>
      <c r="B3878" t="str">
        <f t="shared" si="60"/>
        <v>༦</v>
      </c>
    </row>
    <row r="3879" spans="1:2" x14ac:dyDescent="0.25">
      <c r="A3879">
        <v>3879</v>
      </c>
      <c r="B3879" t="str">
        <f t="shared" si="60"/>
        <v>༧</v>
      </c>
    </row>
    <row r="3880" spans="1:2" x14ac:dyDescent="0.25">
      <c r="A3880">
        <v>3880</v>
      </c>
      <c r="B3880" t="str">
        <f t="shared" si="60"/>
        <v>༨</v>
      </c>
    </row>
    <row r="3881" spans="1:2" x14ac:dyDescent="0.25">
      <c r="A3881">
        <v>3881</v>
      </c>
      <c r="B3881" t="str">
        <f t="shared" si="60"/>
        <v>༩</v>
      </c>
    </row>
    <row r="3882" spans="1:2" x14ac:dyDescent="0.25">
      <c r="A3882">
        <v>3882</v>
      </c>
      <c r="B3882" t="str">
        <f t="shared" si="60"/>
        <v>༪</v>
      </c>
    </row>
    <row r="3883" spans="1:2" x14ac:dyDescent="0.25">
      <c r="A3883">
        <v>3883</v>
      </c>
      <c r="B3883" t="str">
        <f t="shared" si="60"/>
        <v>༫</v>
      </c>
    </row>
    <row r="3884" spans="1:2" x14ac:dyDescent="0.25">
      <c r="A3884">
        <v>3884</v>
      </c>
      <c r="B3884" t="str">
        <f t="shared" si="60"/>
        <v>༬</v>
      </c>
    </row>
    <row r="3885" spans="1:2" x14ac:dyDescent="0.25">
      <c r="A3885">
        <v>3885</v>
      </c>
      <c r="B3885" t="str">
        <f t="shared" si="60"/>
        <v>༭</v>
      </c>
    </row>
    <row r="3886" spans="1:2" x14ac:dyDescent="0.25">
      <c r="A3886">
        <v>3886</v>
      </c>
      <c r="B3886" t="str">
        <f t="shared" si="60"/>
        <v>༮</v>
      </c>
    </row>
    <row r="3887" spans="1:2" x14ac:dyDescent="0.25">
      <c r="A3887">
        <v>3887</v>
      </c>
      <c r="B3887" t="str">
        <f t="shared" si="60"/>
        <v>༯</v>
      </c>
    </row>
    <row r="3888" spans="1:2" x14ac:dyDescent="0.25">
      <c r="A3888">
        <v>3888</v>
      </c>
      <c r="B3888" t="str">
        <f t="shared" si="60"/>
        <v>༰</v>
      </c>
    </row>
    <row r="3889" spans="1:2" x14ac:dyDescent="0.25">
      <c r="A3889">
        <v>3889</v>
      </c>
      <c r="B3889" t="str">
        <f t="shared" si="60"/>
        <v>༱</v>
      </c>
    </row>
    <row r="3890" spans="1:2" x14ac:dyDescent="0.25">
      <c r="A3890">
        <v>3890</v>
      </c>
      <c r="B3890" t="str">
        <f t="shared" si="60"/>
        <v>༲</v>
      </c>
    </row>
    <row r="3891" spans="1:2" x14ac:dyDescent="0.25">
      <c r="A3891">
        <v>3891</v>
      </c>
      <c r="B3891" t="str">
        <f t="shared" si="60"/>
        <v>༳</v>
      </c>
    </row>
    <row r="3892" spans="1:2" x14ac:dyDescent="0.25">
      <c r="A3892">
        <v>3892</v>
      </c>
      <c r="B3892" t="str">
        <f t="shared" si="60"/>
        <v>༴</v>
      </c>
    </row>
    <row r="3893" spans="1:2" x14ac:dyDescent="0.25">
      <c r="A3893">
        <v>3893</v>
      </c>
      <c r="B3893" t="str">
        <f t="shared" si="60"/>
        <v>༵</v>
      </c>
    </row>
    <row r="3894" spans="1:2" x14ac:dyDescent="0.25">
      <c r="A3894">
        <v>3894</v>
      </c>
      <c r="B3894" t="str">
        <f t="shared" si="60"/>
        <v>༶</v>
      </c>
    </row>
    <row r="3895" spans="1:2" x14ac:dyDescent="0.25">
      <c r="A3895">
        <v>3895</v>
      </c>
      <c r="B3895" t="str">
        <f t="shared" si="60"/>
        <v>༷</v>
      </c>
    </row>
    <row r="3896" spans="1:2" x14ac:dyDescent="0.25">
      <c r="A3896">
        <v>3896</v>
      </c>
      <c r="B3896" t="str">
        <f t="shared" si="60"/>
        <v>༸</v>
      </c>
    </row>
    <row r="3897" spans="1:2" x14ac:dyDescent="0.25">
      <c r="A3897">
        <v>3897</v>
      </c>
      <c r="B3897" t="str">
        <f t="shared" si="60"/>
        <v>༹</v>
      </c>
    </row>
    <row r="3898" spans="1:2" x14ac:dyDescent="0.25">
      <c r="A3898">
        <v>3898</v>
      </c>
      <c r="B3898" t="str">
        <f t="shared" si="60"/>
        <v>༺</v>
      </c>
    </row>
    <row r="3899" spans="1:2" x14ac:dyDescent="0.25">
      <c r="A3899">
        <v>3899</v>
      </c>
      <c r="B3899" t="str">
        <f t="shared" si="60"/>
        <v>༻</v>
      </c>
    </row>
    <row r="3900" spans="1:2" x14ac:dyDescent="0.25">
      <c r="A3900">
        <v>3900</v>
      </c>
      <c r="B3900" t="str">
        <f t="shared" si="60"/>
        <v>༼</v>
      </c>
    </row>
    <row r="3901" spans="1:2" x14ac:dyDescent="0.25">
      <c r="A3901">
        <v>3901</v>
      </c>
      <c r="B3901" t="str">
        <f t="shared" si="60"/>
        <v>༽</v>
      </c>
    </row>
    <row r="3902" spans="1:2" x14ac:dyDescent="0.25">
      <c r="A3902">
        <v>3902</v>
      </c>
      <c r="B3902" t="str">
        <f t="shared" si="60"/>
        <v>༾</v>
      </c>
    </row>
    <row r="3903" spans="1:2" x14ac:dyDescent="0.25">
      <c r="A3903">
        <v>3903</v>
      </c>
      <c r="B3903" t="str">
        <f t="shared" si="60"/>
        <v>༿</v>
      </c>
    </row>
    <row r="3904" spans="1:2" x14ac:dyDescent="0.25">
      <c r="A3904">
        <v>3904</v>
      </c>
      <c r="B3904" t="str">
        <f t="shared" si="60"/>
        <v>ཀ</v>
      </c>
    </row>
    <row r="3905" spans="1:2" x14ac:dyDescent="0.25">
      <c r="A3905">
        <v>3905</v>
      </c>
      <c r="B3905" t="str">
        <f t="shared" si="60"/>
        <v>ཁ</v>
      </c>
    </row>
    <row r="3906" spans="1:2" x14ac:dyDescent="0.25">
      <c r="A3906">
        <v>3906</v>
      </c>
      <c r="B3906" t="str">
        <f t="shared" ref="B3906:B3969" si="61">_xlfn.UNICHAR(A3906)</f>
        <v>ག</v>
      </c>
    </row>
    <row r="3907" spans="1:2" x14ac:dyDescent="0.25">
      <c r="A3907">
        <v>3907</v>
      </c>
      <c r="B3907" t="str">
        <f t="shared" si="61"/>
        <v>གྷ</v>
      </c>
    </row>
    <row r="3908" spans="1:2" x14ac:dyDescent="0.25">
      <c r="A3908">
        <v>3908</v>
      </c>
      <c r="B3908" t="str">
        <f t="shared" si="61"/>
        <v>ང</v>
      </c>
    </row>
    <row r="3909" spans="1:2" x14ac:dyDescent="0.25">
      <c r="A3909">
        <v>3909</v>
      </c>
      <c r="B3909" t="str">
        <f t="shared" si="61"/>
        <v>ཅ</v>
      </c>
    </row>
    <row r="3910" spans="1:2" x14ac:dyDescent="0.25">
      <c r="A3910">
        <v>3910</v>
      </c>
      <c r="B3910" t="str">
        <f t="shared" si="61"/>
        <v>ཆ</v>
      </c>
    </row>
    <row r="3911" spans="1:2" x14ac:dyDescent="0.25">
      <c r="A3911">
        <v>3911</v>
      </c>
      <c r="B3911" t="str">
        <f t="shared" si="61"/>
        <v>ཇ</v>
      </c>
    </row>
    <row r="3912" spans="1:2" x14ac:dyDescent="0.25">
      <c r="A3912">
        <v>3912</v>
      </c>
      <c r="B3912" t="str">
        <f t="shared" si="61"/>
        <v>཈</v>
      </c>
    </row>
    <row r="3913" spans="1:2" x14ac:dyDescent="0.25">
      <c r="A3913">
        <v>3913</v>
      </c>
      <c r="B3913" t="str">
        <f t="shared" si="61"/>
        <v>ཉ</v>
      </c>
    </row>
    <row r="3914" spans="1:2" x14ac:dyDescent="0.25">
      <c r="A3914">
        <v>3914</v>
      </c>
      <c r="B3914" t="str">
        <f t="shared" si="61"/>
        <v>ཊ</v>
      </c>
    </row>
    <row r="3915" spans="1:2" x14ac:dyDescent="0.25">
      <c r="A3915">
        <v>3915</v>
      </c>
      <c r="B3915" t="str">
        <f t="shared" si="61"/>
        <v>ཋ</v>
      </c>
    </row>
    <row r="3916" spans="1:2" x14ac:dyDescent="0.25">
      <c r="A3916">
        <v>3916</v>
      </c>
      <c r="B3916" t="str">
        <f t="shared" si="61"/>
        <v>ཌ</v>
      </c>
    </row>
    <row r="3917" spans="1:2" x14ac:dyDescent="0.25">
      <c r="A3917">
        <v>3917</v>
      </c>
      <c r="B3917" t="str">
        <f t="shared" si="61"/>
        <v>ཌྷ</v>
      </c>
    </row>
    <row r="3918" spans="1:2" x14ac:dyDescent="0.25">
      <c r="A3918">
        <v>3918</v>
      </c>
      <c r="B3918" t="str">
        <f t="shared" si="61"/>
        <v>ཎ</v>
      </c>
    </row>
    <row r="3919" spans="1:2" x14ac:dyDescent="0.25">
      <c r="A3919">
        <v>3919</v>
      </c>
      <c r="B3919" t="str">
        <f t="shared" si="61"/>
        <v>ཏ</v>
      </c>
    </row>
    <row r="3920" spans="1:2" x14ac:dyDescent="0.25">
      <c r="A3920">
        <v>3920</v>
      </c>
      <c r="B3920" t="str">
        <f t="shared" si="61"/>
        <v>ཐ</v>
      </c>
    </row>
    <row r="3921" spans="1:2" x14ac:dyDescent="0.25">
      <c r="A3921">
        <v>3921</v>
      </c>
      <c r="B3921" t="str">
        <f t="shared" si="61"/>
        <v>ད</v>
      </c>
    </row>
    <row r="3922" spans="1:2" x14ac:dyDescent="0.25">
      <c r="A3922">
        <v>3922</v>
      </c>
      <c r="B3922" t="str">
        <f t="shared" si="61"/>
        <v>དྷ</v>
      </c>
    </row>
    <row r="3923" spans="1:2" x14ac:dyDescent="0.25">
      <c r="A3923">
        <v>3923</v>
      </c>
      <c r="B3923" t="str">
        <f t="shared" si="61"/>
        <v>ན</v>
      </c>
    </row>
    <row r="3924" spans="1:2" x14ac:dyDescent="0.25">
      <c r="A3924">
        <v>3924</v>
      </c>
      <c r="B3924" t="str">
        <f t="shared" si="61"/>
        <v>པ</v>
      </c>
    </row>
    <row r="3925" spans="1:2" x14ac:dyDescent="0.25">
      <c r="A3925">
        <v>3925</v>
      </c>
      <c r="B3925" t="str">
        <f t="shared" si="61"/>
        <v>ཕ</v>
      </c>
    </row>
    <row r="3926" spans="1:2" x14ac:dyDescent="0.25">
      <c r="A3926">
        <v>3926</v>
      </c>
      <c r="B3926" t="str">
        <f t="shared" si="61"/>
        <v>བ</v>
      </c>
    </row>
    <row r="3927" spans="1:2" x14ac:dyDescent="0.25">
      <c r="A3927">
        <v>3927</v>
      </c>
      <c r="B3927" t="str">
        <f t="shared" si="61"/>
        <v>བྷ</v>
      </c>
    </row>
    <row r="3928" spans="1:2" x14ac:dyDescent="0.25">
      <c r="A3928">
        <v>3928</v>
      </c>
      <c r="B3928" t="str">
        <f t="shared" si="61"/>
        <v>མ</v>
      </c>
    </row>
    <row r="3929" spans="1:2" x14ac:dyDescent="0.25">
      <c r="A3929">
        <v>3929</v>
      </c>
      <c r="B3929" t="str">
        <f t="shared" si="61"/>
        <v>ཙ</v>
      </c>
    </row>
    <row r="3930" spans="1:2" x14ac:dyDescent="0.25">
      <c r="A3930">
        <v>3930</v>
      </c>
      <c r="B3930" t="str">
        <f t="shared" si="61"/>
        <v>ཚ</v>
      </c>
    </row>
    <row r="3931" spans="1:2" x14ac:dyDescent="0.25">
      <c r="A3931">
        <v>3931</v>
      </c>
      <c r="B3931" t="str">
        <f t="shared" si="61"/>
        <v>ཛ</v>
      </c>
    </row>
    <row r="3932" spans="1:2" x14ac:dyDescent="0.25">
      <c r="A3932">
        <v>3932</v>
      </c>
      <c r="B3932" t="str">
        <f t="shared" si="61"/>
        <v>ཛྷ</v>
      </c>
    </row>
    <row r="3933" spans="1:2" x14ac:dyDescent="0.25">
      <c r="A3933">
        <v>3933</v>
      </c>
      <c r="B3933" t="str">
        <f t="shared" si="61"/>
        <v>ཝ</v>
      </c>
    </row>
    <row r="3934" spans="1:2" x14ac:dyDescent="0.25">
      <c r="A3934">
        <v>3934</v>
      </c>
      <c r="B3934" t="str">
        <f t="shared" si="61"/>
        <v>ཞ</v>
      </c>
    </row>
    <row r="3935" spans="1:2" x14ac:dyDescent="0.25">
      <c r="A3935">
        <v>3935</v>
      </c>
      <c r="B3935" t="str">
        <f t="shared" si="61"/>
        <v>ཟ</v>
      </c>
    </row>
    <row r="3936" spans="1:2" x14ac:dyDescent="0.25">
      <c r="A3936">
        <v>3936</v>
      </c>
      <c r="B3936" t="str">
        <f t="shared" si="61"/>
        <v>འ</v>
      </c>
    </row>
    <row r="3937" spans="1:2" x14ac:dyDescent="0.25">
      <c r="A3937">
        <v>3937</v>
      </c>
      <c r="B3937" t="str">
        <f t="shared" si="61"/>
        <v>ཡ</v>
      </c>
    </row>
    <row r="3938" spans="1:2" x14ac:dyDescent="0.25">
      <c r="A3938">
        <v>3938</v>
      </c>
      <c r="B3938" t="str">
        <f t="shared" si="61"/>
        <v>ར</v>
      </c>
    </row>
    <row r="3939" spans="1:2" x14ac:dyDescent="0.25">
      <c r="A3939">
        <v>3939</v>
      </c>
      <c r="B3939" t="str">
        <f t="shared" si="61"/>
        <v>ལ</v>
      </c>
    </row>
    <row r="3940" spans="1:2" x14ac:dyDescent="0.25">
      <c r="A3940">
        <v>3940</v>
      </c>
      <c r="B3940" t="str">
        <f t="shared" si="61"/>
        <v>ཤ</v>
      </c>
    </row>
    <row r="3941" spans="1:2" x14ac:dyDescent="0.25">
      <c r="A3941">
        <v>3941</v>
      </c>
      <c r="B3941" t="str">
        <f t="shared" si="61"/>
        <v>ཥ</v>
      </c>
    </row>
    <row r="3942" spans="1:2" x14ac:dyDescent="0.25">
      <c r="A3942">
        <v>3942</v>
      </c>
      <c r="B3942" t="str">
        <f t="shared" si="61"/>
        <v>ས</v>
      </c>
    </row>
    <row r="3943" spans="1:2" x14ac:dyDescent="0.25">
      <c r="A3943">
        <v>3943</v>
      </c>
      <c r="B3943" t="str">
        <f t="shared" si="61"/>
        <v>ཧ</v>
      </c>
    </row>
    <row r="3944" spans="1:2" x14ac:dyDescent="0.25">
      <c r="A3944">
        <v>3944</v>
      </c>
      <c r="B3944" t="str">
        <f t="shared" si="61"/>
        <v>ཨ</v>
      </c>
    </row>
    <row r="3945" spans="1:2" x14ac:dyDescent="0.25">
      <c r="A3945">
        <v>3945</v>
      </c>
      <c r="B3945" t="str">
        <f t="shared" si="61"/>
        <v>ཀྵ</v>
      </c>
    </row>
    <row r="3946" spans="1:2" x14ac:dyDescent="0.25">
      <c r="A3946">
        <v>3946</v>
      </c>
      <c r="B3946" t="str">
        <f t="shared" si="61"/>
        <v>ཪ</v>
      </c>
    </row>
    <row r="3947" spans="1:2" x14ac:dyDescent="0.25">
      <c r="A3947">
        <v>3947</v>
      </c>
      <c r="B3947" t="str">
        <f t="shared" si="61"/>
        <v>ཫ</v>
      </c>
    </row>
    <row r="3948" spans="1:2" x14ac:dyDescent="0.25">
      <c r="A3948">
        <v>3948</v>
      </c>
      <c r="B3948" t="str">
        <f t="shared" si="61"/>
        <v>ཬ</v>
      </c>
    </row>
    <row r="3949" spans="1:2" x14ac:dyDescent="0.25">
      <c r="A3949">
        <v>3949</v>
      </c>
      <c r="B3949" t="str">
        <f t="shared" si="61"/>
        <v>཭</v>
      </c>
    </row>
    <row r="3950" spans="1:2" x14ac:dyDescent="0.25">
      <c r="A3950">
        <v>3950</v>
      </c>
      <c r="B3950" t="str">
        <f t="shared" si="61"/>
        <v>཮</v>
      </c>
    </row>
    <row r="3951" spans="1:2" x14ac:dyDescent="0.25">
      <c r="A3951">
        <v>3951</v>
      </c>
      <c r="B3951" t="str">
        <f t="shared" si="61"/>
        <v>཯</v>
      </c>
    </row>
    <row r="3952" spans="1:2" x14ac:dyDescent="0.25">
      <c r="A3952">
        <v>3952</v>
      </c>
      <c r="B3952" t="str">
        <f t="shared" si="61"/>
        <v>཰</v>
      </c>
    </row>
    <row r="3953" spans="1:2" x14ac:dyDescent="0.25">
      <c r="A3953">
        <v>3953</v>
      </c>
      <c r="B3953" t="str">
        <f t="shared" si="61"/>
        <v>ཱ</v>
      </c>
    </row>
    <row r="3954" spans="1:2" x14ac:dyDescent="0.25">
      <c r="A3954">
        <v>3954</v>
      </c>
      <c r="B3954" t="str">
        <f t="shared" si="61"/>
        <v>ི</v>
      </c>
    </row>
    <row r="3955" spans="1:2" x14ac:dyDescent="0.25">
      <c r="A3955">
        <v>3955</v>
      </c>
      <c r="B3955" t="str">
        <f t="shared" si="61"/>
        <v>ཱི</v>
      </c>
    </row>
    <row r="3956" spans="1:2" x14ac:dyDescent="0.25">
      <c r="A3956">
        <v>3956</v>
      </c>
      <c r="B3956" t="str">
        <f t="shared" si="61"/>
        <v>ུ</v>
      </c>
    </row>
    <row r="3957" spans="1:2" x14ac:dyDescent="0.25">
      <c r="A3957">
        <v>3957</v>
      </c>
      <c r="B3957" t="str">
        <f t="shared" si="61"/>
        <v>ཱུ</v>
      </c>
    </row>
    <row r="3958" spans="1:2" x14ac:dyDescent="0.25">
      <c r="A3958">
        <v>3958</v>
      </c>
      <c r="B3958" t="str">
        <f t="shared" si="61"/>
        <v>ྲྀ</v>
      </c>
    </row>
    <row r="3959" spans="1:2" x14ac:dyDescent="0.25">
      <c r="A3959">
        <v>3959</v>
      </c>
      <c r="B3959" t="str">
        <f t="shared" si="61"/>
        <v>ཷ</v>
      </c>
    </row>
    <row r="3960" spans="1:2" x14ac:dyDescent="0.25">
      <c r="A3960">
        <v>3960</v>
      </c>
      <c r="B3960" t="str">
        <f t="shared" si="61"/>
        <v>ླྀ</v>
      </c>
    </row>
    <row r="3961" spans="1:2" x14ac:dyDescent="0.25">
      <c r="A3961">
        <v>3961</v>
      </c>
      <c r="B3961" t="str">
        <f t="shared" si="61"/>
        <v>ཹ</v>
      </c>
    </row>
    <row r="3962" spans="1:2" x14ac:dyDescent="0.25">
      <c r="A3962">
        <v>3962</v>
      </c>
      <c r="B3962" t="str">
        <f t="shared" si="61"/>
        <v>ེ</v>
      </c>
    </row>
    <row r="3963" spans="1:2" x14ac:dyDescent="0.25">
      <c r="A3963">
        <v>3963</v>
      </c>
      <c r="B3963" t="str">
        <f t="shared" si="61"/>
        <v>ཻ</v>
      </c>
    </row>
    <row r="3964" spans="1:2" x14ac:dyDescent="0.25">
      <c r="A3964">
        <v>3964</v>
      </c>
      <c r="B3964" t="str">
        <f t="shared" si="61"/>
        <v>ོ</v>
      </c>
    </row>
    <row r="3965" spans="1:2" x14ac:dyDescent="0.25">
      <c r="A3965">
        <v>3965</v>
      </c>
      <c r="B3965" t="str">
        <f t="shared" si="61"/>
        <v>ཽ</v>
      </c>
    </row>
    <row r="3966" spans="1:2" x14ac:dyDescent="0.25">
      <c r="A3966">
        <v>3966</v>
      </c>
      <c r="B3966" t="str">
        <f t="shared" si="61"/>
        <v>ཾ</v>
      </c>
    </row>
    <row r="3967" spans="1:2" x14ac:dyDescent="0.25">
      <c r="A3967">
        <v>3967</v>
      </c>
      <c r="B3967" t="str">
        <f t="shared" si="61"/>
        <v>ཿ</v>
      </c>
    </row>
    <row r="3968" spans="1:2" x14ac:dyDescent="0.25">
      <c r="A3968">
        <v>3968</v>
      </c>
      <c r="B3968" t="str">
        <f t="shared" si="61"/>
        <v>ྀ</v>
      </c>
    </row>
    <row r="3969" spans="1:2" x14ac:dyDescent="0.25">
      <c r="A3969">
        <v>3969</v>
      </c>
      <c r="B3969" t="str">
        <f t="shared" si="61"/>
        <v>ཱྀ</v>
      </c>
    </row>
    <row r="3970" spans="1:2" x14ac:dyDescent="0.25">
      <c r="A3970">
        <v>3970</v>
      </c>
      <c r="B3970" t="str">
        <f t="shared" ref="B3970:B4033" si="62">_xlfn.UNICHAR(A3970)</f>
        <v>ྂ</v>
      </c>
    </row>
    <row r="3971" spans="1:2" x14ac:dyDescent="0.25">
      <c r="A3971">
        <v>3971</v>
      </c>
      <c r="B3971" t="str">
        <f t="shared" si="62"/>
        <v>ྃ</v>
      </c>
    </row>
    <row r="3972" spans="1:2" x14ac:dyDescent="0.25">
      <c r="A3972">
        <v>3972</v>
      </c>
      <c r="B3972" t="str">
        <f t="shared" si="62"/>
        <v>྄</v>
      </c>
    </row>
    <row r="3973" spans="1:2" x14ac:dyDescent="0.25">
      <c r="A3973">
        <v>3973</v>
      </c>
      <c r="B3973" t="str">
        <f t="shared" si="62"/>
        <v>྅</v>
      </c>
    </row>
    <row r="3974" spans="1:2" x14ac:dyDescent="0.25">
      <c r="A3974">
        <v>3974</v>
      </c>
      <c r="B3974" t="str">
        <f t="shared" si="62"/>
        <v>྆</v>
      </c>
    </row>
    <row r="3975" spans="1:2" x14ac:dyDescent="0.25">
      <c r="A3975">
        <v>3975</v>
      </c>
      <c r="B3975" t="str">
        <f t="shared" si="62"/>
        <v>྇</v>
      </c>
    </row>
    <row r="3976" spans="1:2" x14ac:dyDescent="0.25">
      <c r="A3976">
        <v>3976</v>
      </c>
      <c r="B3976" t="str">
        <f t="shared" si="62"/>
        <v>ྈ</v>
      </c>
    </row>
    <row r="3977" spans="1:2" x14ac:dyDescent="0.25">
      <c r="A3977">
        <v>3977</v>
      </c>
      <c r="B3977" t="str">
        <f t="shared" si="62"/>
        <v>ྉ</v>
      </c>
    </row>
    <row r="3978" spans="1:2" x14ac:dyDescent="0.25">
      <c r="A3978">
        <v>3978</v>
      </c>
      <c r="B3978" t="str">
        <f t="shared" si="62"/>
        <v>ྊ</v>
      </c>
    </row>
    <row r="3979" spans="1:2" x14ac:dyDescent="0.25">
      <c r="A3979">
        <v>3979</v>
      </c>
      <c r="B3979" t="str">
        <f t="shared" si="62"/>
        <v>ྋ</v>
      </c>
    </row>
    <row r="3980" spans="1:2" x14ac:dyDescent="0.25">
      <c r="A3980">
        <v>3980</v>
      </c>
      <c r="B3980" t="str">
        <f t="shared" si="62"/>
        <v>ྌ</v>
      </c>
    </row>
    <row r="3981" spans="1:2" x14ac:dyDescent="0.25">
      <c r="A3981">
        <v>3981</v>
      </c>
      <c r="B3981" t="str">
        <f t="shared" si="62"/>
        <v>ྍ</v>
      </c>
    </row>
    <row r="3982" spans="1:2" x14ac:dyDescent="0.25">
      <c r="A3982">
        <v>3982</v>
      </c>
      <c r="B3982" t="str">
        <f t="shared" si="62"/>
        <v>ྎ</v>
      </c>
    </row>
    <row r="3983" spans="1:2" x14ac:dyDescent="0.25">
      <c r="A3983">
        <v>3983</v>
      </c>
      <c r="B3983" t="str">
        <f t="shared" si="62"/>
        <v>ྏ</v>
      </c>
    </row>
    <row r="3984" spans="1:2" x14ac:dyDescent="0.25">
      <c r="A3984">
        <v>3984</v>
      </c>
      <c r="B3984" t="str">
        <f t="shared" si="62"/>
        <v>ྐ</v>
      </c>
    </row>
    <row r="3985" spans="1:2" x14ac:dyDescent="0.25">
      <c r="A3985">
        <v>3985</v>
      </c>
      <c r="B3985" t="str">
        <f t="shared" si="62"/>
        <v>ྑ</v>
      </c>
    </row>
    <row r="3986" spans="1:2" x14ac:dyDescent="0.25">
      <c r="A3986">
        <v>3986</v>
      </c>
      <c r="B3986" t="str">
        <f t="shared" si="62"/>
        <v>ྒ</v>
      </c>
    </row>
    <row r="3987" spans="1:2" x14ac:dyDescent="0.25">
      <c r="A3987">
        <v>3987</v>
      </c>
      <c r="B3987" t="str">
        <f t="shared" si="62"/>
        <v>ྒྷ</v>
      </c>
    </row>
    <row r="3988" spans="1:2" x14ac:dyDescent="0.25">
      <c r="A3988">
        <v>3988</v>
      </c>
      <c r="B3988" t="str">
        <f t="shared" si="62"/>
        <v>ྔ</v>
      </c>
    </row>
    <row r="3989" spans="1:2" x14ac:dyDescent="0.25">
      <c r="A3989">
        <v>3989</v>
      </c>
      <c r="B3989" t="str">
        <f t="shared" si="62"/>
        <v>ྕ</v>
      </c>
    </row>
    <row r="3990" spans="1:2" x14ac:dyDescent="0.25">
      <c r="A3990">
        <v>3990</v>
      </c>
      <c r="B3990" t="str">
        <f t="shared" si="62"/>
        <v>ྖ</v>
      </c>
    </row>
    <row r="3991" spans="1:2" x14ac:dyDescent="0.25">
      <c r="A3991">
        <v>3991</v>
      </c>
      <c r="B3991" t="str">
        <f t="shared" si="62"/>
        <v>ྗ</v>
      </c>
    </row>
    <row r="3992" spans="1:2" x14ac:dyDescent="0.25">
      <c r="A3992">
        <v>3992</v>
      </c>
      <c r="B3992" t="str">
        <f t="shared" si="62"/>
        <v>྘</v>
      </c>
    </row>
    <row r="3993" spans="1:2" x14ac:dyDescent="0.25">
      <c r="A3993">
        <v>3993</v>
      </c>
      <c r="B3993" t="str">
        <f t="shared" si="62"/>
        <v>ྙ</v>
      </c>
    </row>
    <row r="3994" spans="1:2" x14ac:dyDescent="0.25">
      <c r="A3994">
        <v>3994</v>
      </c>
      <c r="B3994" t="str">
        <f t="shared" si="62"/>
        <v>ྚ</v>
      </c>
    </row>
    <row r="3995" spans="1:2" x14ac:dyDescent="0.25">
      <c r="A3995">
        <v>3995</v>
      </c>
      <c r="B3995" t="str">
        <f t="shared" si="62"/>
        <v>ྛ</v>
      </c>
    </row>
    <row r="3996" spans="1:2" x14ac:dyDescent="0.25">
      <c r="A3996">
        <v>3996</v>
      </c>
      <c r="B3996" t="str">
        <f t="shared" si="62"/>
        <v>ྜ</v>
      </c>
    </row>
    <row r="3997" spans="1:2" x14ac:dyDescent="0.25">
      <c r="A3997">
        <v>3997</v>
      </c>
      <c r="B3997" t="str">
        <f t="shared" si="62"/>
        <v>ྜྷ</v>
      </c>
    </row>
    <row r="3998" spans="1:2" x14ac:dyDescent="0.25">
      <c r="A3998">
        <v>3998</v>
      </c>
      <c r="B3998" t="str">
        <f t="shared" si="62"/>
        <v>ྞ</v>
      </c>
    </row>
    <row r="3999" spans="1:2" x14ac:dyDescent="0.25">
      <c r="A3999">
        <v>3999</v>
      </c>
      <c r="B3999" t="str">
        <f t="shared" si="62"/>
        <v>ྟ</v>
      </c>
    </row>
    <row r="4000" spans="1:2" x14ac:dyDescent="0.25">
      <c r="A4000">
        <v>4000</v>
      </c>
      <c r="B4000" t="str">
        <f t="shared" si="62"/>
        <v>ྠ</v>
      </c>
    </row>
    <row r="4001" spans="1:2" x14ac:dyDescent="0.25">
      <c r="A4001">
        <v>4001</v>
      </c>
      <c r="B4001" t="str">
        <f t="shared" si="62"/>
        <v>ྡ</v>
      </c>
    </row>
    <row r="4002" spans="1:2" x14ac:dyDescent="0.25">
      <c r="A4002">
        <v>4002</v>
      </c>
      <c r="B4002" t="str">
        <f t="shared" si="62"/>
        <v>ྡྷ</v>
      </c>
    </row>
    <row r="4003" spans="1:2" x14ac:dyDescent="0.25">
      <c r="A4003">
        <v>4003</v>
      </c>
      <c r="B4003" t="str">
        <f t="shared" si="62"/>
        <v>ྣ</v>
      </c>
    </row>
    <row r="4004" spans="1:2" x14ac:dyDescent="0.25">
      <c r="A4004">
        <v>4004</v>
      </c>
      <c r="B4004" t="str">
        <f t="shared" si="62"/>
        <v>ྤ</v>
      </c>
    </row>
    <row r="4005" spans="1:2" x14ac:dyDescent="0.25">
      <c r="A4005">
        <v>4005</v>
      </c>
      <c r="B4005" t="str">
        <f t="shared" si="62"/>
        <v>ྥ</v>
      </c>
    </row>
    <row r="4006" spans="1:2" x14ac:dyDescent="0.25">
      <c r="A4006">
        <v>4006</v>
      </c>
      <c r="B4006" t="str">
        <f t="shared" si="62"/>
        <v>ྦ</v>
      </c>
    </row>
    <row r="4007" spans="1:2" x14ac:dyDescent="0.25">
      <c r="A4007">
        <v>4007</v>
      </c>
      <c r="B4007" t="str">
        <f t="shared" si="62"/>
        <v>ྦྷ</v>
      </c>
    </row>
    <row r="4008" spans="1:2" x14ac:dyDescent="0.25">
      <c r="A4008">
        <v>4008</v>
      </c>
      <c r="B4008" t="str">
        <f t="shared" si="62"/>
        <v>ྨ</v>
      </c>
    </row>
    <row r="4009" spans="1:2" x14ac:dyDescent="0.25">
      <c r="A4009">
        <v>4009</v>
      </c>
      <c r="B4009" t="str">
        <f t="shared" si="62"/>
        <v>ྩ</v>
      </c>
    </row>
    <row r="4010" spans="1:2" x14ac:dyDescent="0.25">
      <c r="A4010">
        <v>4010</v>
      </c>
      <c r="B4010" t="str">
        <f t="shared" si="62"/>
        <v>ྪ</v>
      </c>
    </row>
    <row r="4011" spans="1:2" x14ac:dyDescent="0.25">
      <c r="A4011">
        <v>4011</v>
      </c>
      <c r="B4011" t="str">
        <f t="shared" si="62"/>
        <v>ྫ</v>
      </c>
    </row>
    <row r="4012" spans="1:2" x14ac:dyDescent="0.25">
      <c r="A4012">
        <v>4012</v>
      </c>
      <c r="B4012" t="str">
        <f t="shared" si="62"/>
        <v>ྫྷ</v>
      </c>
    </row>
    <row r="4013" spans="1:2" x14ac:dyDescent="0.25">
      <c r="A4013">
        <v>4013</v>
      </c>
      <c r="B4013" t="str">
        <f t="shared" si="62"/>
        <v>ྭ</v>
      </c>
    </row>
    <row r="4014" spans="1:2" x14ac:dyDescent="0.25">
      <c r="A4014">
        <v>4014</v>
      </c>
      <c r="B4014" t="str">
        <f t="shared" si="62"/>
        <v>ྮ</v>
      </c>
    </row>
    <row r="4015" spans="1:2" x14ac:dyDescent="0.25">
      <c r="A4015">
        <v>4015</v>
      </c>
      <c r="B4015" t="str">
        <f t="shared" si="62"/>
        <v>ྯ</v>
      </c>
    </row>
    <row r="4016" spans="1:2" x14ac:dyDescent="0.25">
      <c r="A4016">
        <v>4016</v>
      </c>
      <c r="B4016" t="str">
        <f t="shared" si="62"/>
        <v>ྰ</v>
      </c>
    </row>
    <row r="4017" spans="1:2" x14ac:dyDescent="0.25">
      <c r="A4017">
        <v>4017</v>
      </c>
      <c r="B4017" t="str">
        <f t="shared" si="62"/>
        <v>ྱ</v>
      </c>
    </row>
    <row r="4018" spans="1:2" x14ac:dyDescent="0.25">
      <c r="A4018">
        <v>4018</v>
      </c>
      <c r="B4018" t="str">
        <f t="shared" si="62"/>
        <v>ྲ</v>
      </c>
    </row>
    <row r="4019" spans="1:2" x14ac:dyDescent="0.25">
      <c r="A4019">
        <v>4019</v>
      </c>
      <c r="B4019" t="str">
        <f t="shared" si="62"/>
        <v>ླ</v>
      </c>
    </row>
    <row r="4020" spans="1:2" x14ac:dyDescent="0.25">
      <c r="A4020">
        <v>4020</v>
      </c>
      <c r="B4020" t="str">
        <f t="shared" si="62"/>
        <v>ྴ</v>
      </c>
    </row>
    <row r="4021" spans="1:2" x14ac:dyDescent="0.25">
      <c r="A4021">
        <v>4021</v>
      </c>
      <c r="B4021" t="str">
        <f t="shared" si="62"/>
        <v>ྵ</v>
      </c>
    </row>
    <row r="4022" spans="1:2" x14ac:dyDescent="0.25">
      <c r="A4022">
        <v>4022</v>
      </c>
      <c r="B4022" t="str">
        <f t="shared" si="62"/>
        <v>ྶ</v>
      </c>
    </row>
    <row r="4023" spans="1:2" x14ac:dyDescent="0.25">
      <c r="A4023">
        <v>4023</v>
      </c>
      <c r="B4023" t="str">
        <f t="shared" si="62"/>
        <v>ྷ</v>
      </c>
    </row>
    <row r="4024" spans="1:2" x14ac:dyDescent="0.25">
      <c r="A4024">
        <v>4024</v>
      </c>
      <c r="B4024" t="str">
        <f t="shared" si="62"/>
        <v>ྸ</v>
      </c>
    </row>
    <row r="4025" spans="1:2" x14ac:dyDescent="0.25">
      <c r="A4025">
        <v>4025</v>
      </c>
      <c r="B4025" t="str">
        <f t="shared" si="62"/>
        <v>ྐྵ</v>
      </c>
    </row>
    <row r="4026" spans="1:2" x14ac:dyDescent="0.25">
      <c r="A4026">
        <v>4026</v>
      </c>
      <c r="B4026" t="str">
        <f t="shared" si="62"/>
        <v>ྺ</v>
      </c>
    </row>
    <row r="4027" spans="1:2" x14ac:dyDescent="0.25">
      <c r="A4027">
        <v>4027</v>
      </c>
      <c r="B4027" t="str">
        <f t="shared" si="62"/>
        <v>ྻ</v>
      </c>
    </row>
    <row r="4028" spans="1:2" x14ac:dyDescent="0.25">
      <c r="A4028">
        <v>4028</v>
      </c>
      <c r="B4028" t="str">
        <f t="shared" si="62"/>
        <v>ྼ</v>
      </c>
    </row>
    <row r="4029" spans="1:2" x14ac:dyDescent="0.25">
      <c r="A4029">
        <v>4029</v>
      </c>
      <c r="B4029" t="str">
        <f t="shared" si="62"/>
        <v>྽</v>
      </c>
    </row>
    <row r="4030" spans="1:2" x14ac:dyDescent="0.25">
      <c r="A4030">
        <v>4030</v>
      </c>
      <c r="B4030" t="str">
        <f t="shared" si="62"/>
        <v>྾</v>
      </c>
    </row>
    <row r="4031" spans="1:2" x14ac:dyDescent="0.25">
      <c r="A4031">
        <v>4031</v>
      </c>
      <c r="B4031" t="str">
        <f t="shared" si="62"/>
        <v>྿</v>
      </c>
    </row>
    <row r="4032" spans="1:2" x14ac:dyDescent="0.25">
      <c r="A4032">
        <v>4032</v>
      </c>
      <c r="B4032" t="str">
        <f t="shared" si="62"/>
        <v>࿀</v>
      </c>
    </row>
    <row r="4033" spans="1:2" x14ac:dyDescent="0.25">
      <c r="A4033">
        <v>4033</v>
      </c>
      <c r="B4033" t="str">
        <f t="shared" si="62"/>
        <v>࿁</v>
      </c>
    </row>
    <row r="4034" spans="1:2" x14ac:dyDescent="0.25">
      <c r="A4034">
        <v>4034</v>
      </c>
      <c r="B4034" t="str">
        <f t="shared" ref="B4034:B4097" si="63">_xlfn.UNICHAR(A4034)</f>
        <v>࿂</v>
      </c>
    </row>
    <row r="4035" spans="1:2" x14ac:dyDescent="0.25">
      <c r="A4035">
        <v>4035</v>
      </c>
      <c r="B4035" t="str">
        <f t="shared" si="63"/>
        <v>࿃</v>
      </c>
    </row>
    <row r="4036" spans="1:2" x14ac:dyDescent="0.25">
      <c r="A4036">
        <v>4036</v>
      </c>
      <c r="B4036" t="str">
        <f t="shared" si="63"/>
        <v>࿄</v>
      </c>
    </row>
    <row r="4037" spans="1:2" x14ac:dyDescent="0.25">
      <c r="A4037">
        <v>4037</v>
      </c>
      <c r="B4037" t="str">
        <f t="shared" si="63"/>
        <v>࿅</v>
      </c>
    </row>
    <row r="4038" spans="1:2" x14ac:dyDescent="0.25">
      <c r="A4038">
        <v>4038</v>
      </c>
      <c r="B4038" t="str">
        <f t="shared" si="63"/>
        <v>࿆</v>
      </c>
    </row>
    <row r="4039" spans="1:2" x14ac:dyDescent="0.25">
      <c r="A4039">
        <v>4039</v>
      </c>
      <c r="B4039" t="str">
        <f t="shared" si="63"/>
        <v>࿇</v>
      </c>
    </row>
    <row r="4040" spans="1:2" x14ac:dyDescent="0.25">
      <c r="A4040">
        <v>4040</v>
      </c>
      <c r="B4040" t="str">
        <f t="shared" si="63"/>
        <v>࿈</v>
      </c>
    </row>
    <row r="4041" spans="1:2" x14ac:dyDescent="0.25">
      <c r="A4041">
        <v>4041</v>
      </c>
      <c r="B4041" t="str">
        <f t="shared" si="63"/>
        <v>࿉</v>
      </c>
    </row>
    <row r="4042" spans="1:2" x14ac:dyDescent="0.25">
      <c r="A4042">
        <v>4042</v>
      </c>
      <c r="B4042" t="str">
        <f t="shared" si="63"/>
        <v>࿊</v>
      </c>
    </row>
    <row r="4043" spans="1:2" x14ac:dyDescent="0.25">
      <c r="A4043">
        <v>4043</v>
      </c>
      <c r="B4043" t="str">
        <f t="shared" si="63"/>
        <v>࿋</v>
      </c>
    </row>
    <row r="4044" spans="1:2" x14ac:dyDescent="0.25">
      <c r="A4044">
        <v>4044</v>
      </c>
      <c r="B4044" t="str">
        <f t="shared" si="63"/>
        <v>࿌</v>
      </c>
    </row>
    <row r="4045" spans="1:2" x14ac:dyDescent="0.25">
      <c r="A4045">
        <v>4045</v>
      </c>
      <c r="B4045" t="str">
        <f t="shared" si="63"/>
        <v>࿍</v>
      </c>
    </row>
    <row r="4046" spans="1:2" x14ac:dyDescent="0.25">
      <c r="A4046">
        <v>4046</v>
      </c>
      <c r="B4046" t="str">
        <f t="shared" si="63"/>
        <v>࿎</v>
      </c>
    </row>
    <row r="4047" spans="1:2" x14ac:dyDescent="0.25">
      <c r="A4047">
        <v>4047</v>
      </c>
      <c r="B4047" t="str">
        <f t="shared" si="63"/>
        <v>࿏</v>
      </c>
    </row>
    <row r="4048" spans="1:2" x14ac:dyDescent="0.25">
      <c r="A4048">
        <v>4048</v>
      </c>
      <c r="B4048" t="str">
        <f t="shared" si="63"/>
        <v>࿐</v>
      </c>
    </row>
    <row r="4049" spans="1:2" x14ac:dyDescent="0.25">
      <c r="A4049">
        <v>4049</v>
      </c>
      <c r="B4049" t="str">
        <f t="shared" si="63"/>
        <v>࿑</v>
      </c>
    </row>
    <row r="4050" spans="1:2" x14ac:dyDescent="0.25">
      <c r="A4050">
        <v>4050</v>
      </c>
      <c r="B4050" t="str">
        <f t="shared" si="63"/>
        <v>࿒</v>
      </c>
    </row>
    <row r="4051" spans="1:2" x14ac:dyDescent="0.25">
      <c r="A4051">
        <v>4051</v>
      </c>
      <c r="B4051" t="str">
        <f t="shared" si="63"/>
        <v>࿓</v>
      </c>
    </row>
    <row r="4052" spans="1:2" x14ac:dyDescent="0.25">
      <c r="A4052">
        <v>4052</v>
      </c>
      <c r="B4052" t="str">
        <f t="shared" si="63"/>
        <v>࿔</v>
      </c>
    </row>
    <row r="4053" spans="1:2" x14ac:dyDescent="0.25">
      <c r="A4053">
        <v>4053</v>
      </c>
      <c r="B4053" t="str">
        <f t="shared" si="63"/>
        <v>࿕</v>
      </c>
    </row>
    <row r="4054" spans="1:2" x14ac:dyDescent="0.25">
      <c r="A4054">
        <v>4054</v>
      </c>
      <c r="B4054" t="str">
        <f t="shared" si="63"/>
        <v>࿖</v>
      </c>
    </row>
    <row r="4055" spans="1:2" x14ac:dyDescent="0.25">
      <c r="A4055">
        <v>4055</v>
      </c>
      <c r="B4055" t="str">
        <f t="shared" si="63"/>
        <v>࿗</v>
      </c>
    </row>
    <row r="4056" spans="1:2" x14ac:dyDescent="0.25">
      <c r="A4056">
        <v>4056</v>
      </c>
      <c r="B4056" t="str">
        <f t="shared" si="63"/>
        <v>࿘</v>
      </c>
    </row>
    <row r="4057" spans="1:2" x14ac:dyDescent="0.25">
      <c r="A4057">
        <v>4057</v>
      </c>
      <c r="B4057" t="str">
        <f t="shared" si="63"/>
        <v>࿙</v>
      </c>
    </row>
    <row r="4058" spans="1:2" x14ac:dyDescent="0.25">
      <c r="A4058">
        <v>4058</v>
      </c>
      <c r="B4058" t="str">
        <f t="shared" si="63"/>
        <v>࿚</v>
      </c>
    </row>
    <row r="4059" spans="1:2" x14ac:dyDescent="0.25">
      <c r="A4059">
        <v>4059</v>
      </c>
      <c r="B4059" t="str">
        <f t="shared" si="63"/>
        <v>࿛</v>
      </c>
    </row>
    <row r="4060" spans="1:2" x14ac:dyDescent="0.25">
      <c r="A4060">
        <v>4060</v>
      </c>
      <c r="B4060" t="str">
        <f t="shared" si="63"/>
        <v>࿜</v>
      </c>
    </row>
    <row r="4061" spans="1:2" x14ac:dyDescent="0.25">
      <c r="A4061">
        <v>4061</v>
      </c>
      <c r="B4061" t="str">
        <f t="shared" si="63"/>
        <v>࿝</v>
      </c>
    </row>
    <row r="4062" spans="1:2" x14ac:dyDescent="0.25">
      <c r="A4062">
        <v>4062</v>
      </c>
      <c r="B4062" t="str">
        <f t="shared" si="63"/>
        <v>࿞</v>
      </c>
    </row>
    <row r="4063" spans="1:2" x14ac:dyDescent="0.25">
      <c r="A4063">
        <v>4063</v>
      </c>
      <c r="B4063" t="str">
        <f t="shared" si="63"/>
        <v>࿟</v>
      </c>
    </row>
    <row r="4064" spans="1:2" x14ac:dyDescent="0.25">
      <c r="A4064">
        <v>4064</v>
      </c>
      <c r="B4064" t="str">
        <f t="shared" si="63"/>
        <v>࿠</v>
      </c>
    </row>
    <row r="4065" spans="1:2" x14ac:dyDescent="0.25">
      <c r="A4065">
        <v>4065</v>
      </c>
      <c r="B4065" t="str">
        <f t="shared" si="63"/>
        <v>࿡</v>
      </c>
    </row>
    <row r="4066" spans="1:2" x14ac:dyDescent="0.25">
      <c r="A4066">
        <v>4066</v>
      </c>
      <c r="B4066" t="str">
        <f t="shared" si="63"/>
        <v>࿢</v>
      </c>
    </row>
    <row r="4067" spans="1:2" x14ac:dyDescent="0.25">
      <c r="A4067">
        <v>4067</v>
      </c>
      <c r="B4067" t="str">
        <f t="shared" si="63"/>
        <v>࿣</v>
      </c>
    </row>
    <row r="4068" spans="1:2" x14ac:dyDescent="0.25">
      <c r="A4068">
        <v>4068</v>
      </c>
      <c r="B4068" t="str">
        <f t="shared" si="63"/>
        <v>࿤</v>
      </c>
    </row>
    <row r="4069" spans="1:2" x14ac:dyDescent="0.25">
      <c r="A4069">
        <v>4069</v>
      </c>
      <c r="B4069" t="str">
        <f t="shared" si="63"/>
        <v>࿥</v>
      </c>
    </row>
    <row r="4070" spans="1:2" x14ac:dyDescent="0.25">
      <c r="A4070">
        <v>4070</v>
      </c>
      <c r="B4070" t="str">
        <f t="shared" si="63"/>
        <v>࿦</v>
      </c>
    </row>
    <row r="4071" spans="1:2" x14ac:dyDescent="0.25">
      <c r="A4071">
        <v>4071</v>
      </c>
      <c r="B4071" t="str">
        <f t="shared" si="63"/>
        <v>࿧</v>
      </c>
    </row>
    <row r="4072" spans="1:2" x14ac:dyDescent="0.25">
      <c r="A4072">
        <v>4072</v>
      </c>
      <c r="B4072" t="str">
        <f t="shared" si="63"/>
        <v>࿨</v>
      </c>
    </row>
    <row r="4073" spans="1:2" x14ac:dyDescent="0.25">
      <c r="A4073">
        <v>4073</v>
      </c>
      <c r="B4073" t="str">
        <f t="shared" si="63"/>
        <v>࿩</v>
      </c>
    </row>
    <row r="4074" spans="1:2" x14ac:dyDescent="0.25">
      <c r="A4074">
        <v>4074</v>
      </c>
      <c r="B4074" t="str">
        <f t="shared" si="63"/>
        <v>࿪</v>
      </c>
    </row>
    <row r="4075" spans="1:2" x14ac:dyDescent="0.25">
      <c r="A4075">
        <v>4075</v>
      </c>
      <c r="B4075" t="str">
        <f t="shared" si="63"/>
        <v>࿫</v>
      </c>
    </row>
    <row r="4076" spans="1:2" x14ac:dyDescent="0.25">
      <c r="A4076">
        <v>4076</v>
      </c>
      <c r="B4076" t="str">
        <f t="shared" si="63"/>
        <v>࿬</v>
      </c>
    </row>
    <row r="4077" spans="1:2" x14ac:dyDescent="0.25">
      <c r="A4077">
        <v>4077</v>
      </c>
      <c r="B4077" t="str">
        <f t="shared" si="63"/>
        <v>࿭</v>
      </c>
    </row>
    <row r="4078" spans="1:2" x14ac:dyDescent="0.25">
      <c r="A4078">
        <v>4078</v>
      </c>
      <c r="B4078" t="str">
        <f t="shared" si="63"/>
        <v>࿮</v>
      </c>
    </row>
    <row r="4079" spans="1:2" x14ac:dyDescent="0.25">
      <c r="A4079">
        <v>4079</v>
      </c>
      <c r="B4079" t="str">
        <f t="shared" si="63"/>
        <v>࿯</v>
      </c>
    </row>
    <row r="4080" spans="1:2" x14ac:dyDescent="0.25">
      <c r="A4080">
        <v>4080</v>
      </c>
      <c r="B4080" t="str">
        <f t="shared" si="63"/>
        <v>࿰</v>
      </c>
    </row>
    <row r="4081" spans="1:2" x14ac:dyDescent="0.25">
      <c r="A4081">
        <v>4081</v>
      </c>
      <c r="B4081" t="str">
        <f t="shared" si="63"/>
        <v>࿱</v>
      </c>
    </row>
    <row r="4082" spans="1:2" x14ac:dyDescent="0.25">
      <c r="A4082">
        <v>4082</v>
      </c>
      <c r="B4082" t="str">
        <f t="shared" si="63"/>
        <v>࿲</v>
      </c>
    </row>
    <row r="4083" spans="1:2" x14ac:dyDescent="0.25">
      <c r="A4083">
        <v>4083</v>
      </c>
      <c r="B4083" t="str">
        <f t="shared" si="63"/>
        <v>࿳</v>
      </c>
    </row>
    <row r="4084" spans="1:2" x14ac:dyDescent="0.25">
      <c r="A4084">
        <v>4084</v>
      </c>
      <c r="B4084" t="str">
        <f t="shared" si="63"/>
        <v>࿴</v>
      </c>
    </row>
    <row r="4085" spans="1:2" x14ac:dyDescent="0.25">
      <c r="A4085">
        <v>4085</v>
      </c>
      <c r="B4085" t="str">
        <f t="shared" si="63"/>
        <v>࿵</v>
      </c>
    </row>
    <row r="4086" spans="1:2" x14ac:dyDescent="0.25">
      <c r="A4086">
        <v>4086</v>
      </c>
      <c r="B4086" t="str">
        <f t="shared" si="63"/>
        <v>࿶</v>
      </c>
    </row>
    <row r="4087" spans="1:2" x14ac:dyDescent="0.25">
      <c r="A4087">
        <v>4087</v>
      </c>
      <c r="B4087" t="str">
        <f t="shared" si="63"/>
        <v>࿷</v>
      </c>
    </row>
    <row r="4088" spans="1:2" x14ac:dyDescent="0.25">
      <c r="A4088">
        <v>4088</v>
      </c>
      <c r="B4088" t="str">
        <f t="shared" si="63"/>
        <v>࿸</v>
      </c>
    </row>
    <row r="4089" spans="1:2" x14ac:dyDescent="0.25">
      <c r="A4089">
        <v>4089</v>
      </c>
      <c r="B4089" t="str">
        <f t="shared" si="63"/>
        <v>࿹</v>
      </c>
    </row>
    <row r="4090" spans="1:2" x14ac:dyDescent="0.25">
      <c r="A4090">
        <v>4090</v>
      </c>
      <c r="B4090" t="str">
        <f t="shared" si="63"/>
        <v>࿺</v>
      </c>
    </row>
    <row r="4091" spans="1:2" x14ac:dyDescent="0.25">
      <c r="A4091">
        <v>4091</v>
      </c>
      <c r="B4091" t="str">
        <f t="shared" si="63"/>
        <v>࿻</v>
      </c>
    </row>
    <row r="4092" spans="1:2" x14ac:dyDescent="0.25">
      <c r="A4092">
        <v>4092</v>
      </c>
      <c r="B4092" t="str">
        <f t="shared" si="63"/>
        <v>࿼</v>
      </c>
    </row>
    <row r="4093" spans="1:2" x14ac:dyDescent="0.25">
      <c r="A4093">
        <v>4093</v>
      </c>
      <c r="B4093" t="str">
        <f t="shared" si="63"/>
        <v>࿽</v>
      </c>
    </row>
    <row r="4094" spans="1:2" x14ac:dyDescent="0.25">
      <c r="A4094">
        <v>4094</v>
      </c>
      <c r="B4094" t="str">
        <f t="shared" si="63"/>
        <v>࿾</v>
      </c>
    </row>
    <row r="4095" spans="1:2" x14ac:dyDescent="0.25">
      <c r="A4095">
        <v>4095</v>
      </c>
      <c r="B4095" t="str">
        <f t="shared" si="63"/>
        <v>࿿</v>
      </c>
    </row>
    <row r="4096" spans="1:2" x14ac:dyDescent="0.25">
      <c r="A4096">
        <v>4096</v>
      </c>
      <c r="B4096" t="str">
        <f t="shared" si="63"/>
        <v>က</v>
      </c>
    </row>
    <row r="4097" spans="1:2" x14ac:dyDescent="0.25">
      <c r="A4097">
        <v>4097</v>
      </c>
      <c r="B4097" t="str">
        <f t="shared" si="63"/>
        <v>ခ</v>
      </c>
    </row>
    <row r="4098" spans="1:2" x14ac:dyDescent="0.25">
      <c r="A4098">
        <v>4098</v>
      </c>
      <c r="B4098" t="str">
        <f t="shared" ref="B4098:B4161" si="64">_xlfn.UNICHAR(A4098)</f>
        <v>ဂ</v>
      </c>
    </row>
    <row r="4099" spans="1:2" x14ac:dyDescent="0.25">
      <c r="A4099">
        <v>4099</v>
      </c>
      <c r="B4099" t="str">
        <f t="shared" si="64"/>
        <v>ဃ</v>
      </c>
    </row>
    <row r="4100" spans="1:2" x14ac:dyDescent="0.25">
      <c r="A4100">
        <v>4100</v>
      </c>
      <c r="B4100" t="str">
        <f t="shared" si="64"/>
        <v>င</v>
      </c>
    </row>
    <row r="4101" spans="1:2" x14ac:dyDescent="0.25">
      <c r="A4101">
        <v>4101</v>
      </c>
      <c r="B4101" t="str">
        <f t="shared" si="64"/>
        <v>စ</v>
      </c>
    </row>
    <row r="4102" spans="1:2" x14ac:dyDescent="0.25">
      <c r="A4102">
        <v>4102</v>
      </c>
      <c r="B4102" t="str">
        <f t="shared" si="64"/>
        <v>ဆ</v>
      </c>
    </row>
    <row r="4103" spans="1:2" x14ac:dyDescent="0.25">
      <c r="A4103">
        <v>4103</v>
      </c>
      <c r="B4103" t="str">
        <f t="shared" si="64"/>
        <v>ဇ</v>
      </c>
    </row>
    <row r="4104" spans="1:2" x14ac:dyDescent="0.25">
      <c r="A4104">
        <v>4104</v>
      </c>
      <c r="B4104" t="str">
        <f t="shared" si="64"/>
        <v>ဈ</v>
      </c>
    </row>
    <row r="4105" spans="1:2" x14ac:dyDescent="0.25">
      <c r="A4105">
        <v>4105</v>
      </c>
      <c r="B4105" t="str">
        <f t="shared" si="64"/>
        <v>ဉ</v>
      </c>
    </row>
    <row r="4106" spans="1:2" x14ac:dyDescent="0.25">
      <c r="A4106">
        <v>4106</v>
      </c>
      <c r="B4106" t="str">
        <f t="shared" si="64"/>
        <v>ည</v>
      </c>
    </row>
    <row r="4107" spans="1:2" x14ac:dyDescent="0.25">
      <c r="A4107">
        <v>4107</v>
      </c>
      <c r="B4107" t="str">
        <f t="shared" si="64"/>
        <v>ဋ</v>
      </c>
    </row>
    <row r="4108" spans="1:2" x14ac:dyDescent="0.25">
      <c r="A4108">
        <v>4108</v>
      </c>
      <c r="B4108" t="str">
        <f t="shared" si="64"/>
        <v>ဌ</v>
      </c>
    </row>
    <row r="4109" spans="1:2" x14ac:dyDescent="0.25">
      <c r="A4109">
        <v>4109</v>
      </c>
      <c r="B4109" t="str">
        <f t="shared" si="64"/>
        <v>ဍ</v>
      </c>
    </row>
    <row r="4110" spans="1:2" x14ac:dyDescent="0.25">
      <c r="A4110">
        <v>4110</v>
      </c>
      <c r="B4110" t="str">
        <f t="shared" si="64"/>
        <v>ဎ</v>
      </c>
    </row>
    <row r="4111" spans="1:2" x14ac:dyDescent="0.25">
      <c r="A4111">
        <v>4111</v>
      </c>
      <c r="B4111" t="str">
        <f t="shared" si="64"/>
        <v>ဏ</v>
      </c>
    </row>
    <row r="4112" spans="1:2" x14ac:dyDescent="0.25">
      <c r="A4112">
        <v>4112</v>
      </c>
      <c r="B4112" t="str">
        <f t="shared" si="64"/>
        <v>တ</v>
      </c>
    </row>
    <row r="4113" spans="1:2" x14ac:dyDescent="0.25">
      <c r="A4113">
        <v>4113</v>
      </c>
      <c r="B4113" t="str">
        <f t="shared" si="64"/>
        <v>ထ</v>
      </c>
    </row>
    <row r="4114" spans="1:2" x14ac:dyDescent="0.25">
      <c r="A4114">
        <v>4114</v>
      </c>
      <c r="B4114" t="str">
        <f t="shared" si="64"/>
        <v>ဒ</v>
      </c>
    </row>
    <row r="4115" spans="1:2" x14ac:dyDescent="0.25">
      <c r="A4115">
        <v>4115</v>
      </c>
      <c r="B4115" t="str">
        <f t="shared" si="64"/>
        <v>ဓ</v>
      </c>
    </row>
    <row r="4116" spans="1:2" x14ac:dyDescent="0.25">
      <c r="A4116">
        <v>4116</v>
      </c>
      <c r="B4116" t="str">
        <f t="shared" si="64"/>
        <v>န</v>
      </c>
    </row>
    <row r="4117" spans="1:2" x14ac:dyDescent="0.25">
      <c r="A4117">
        <v>4117</v>
      </c>
      <c r="B4117" t="str">
        <f t="shared" si="64"/>
        <v>ပ</v>
      </c>
    </row>
    <row r="4118" spans="1:2" x14ac:dyDescent="0.25">
      <c r="A4118">
        <v>4118</v>
      </c>
      <c r="B4118" t="str">
        <f t="shared" si="64"/>
        <v>ဖ</v>
      </c>
    </row>
    <row r="4119" spans="1:2" x14ac:dyDescent="0.25">
      <c r="A4119">
        <v>4119</v>
      </c>
      <c r="B4119" t="str">
        <f t="shared" si="64"/>
        <v>ဗ</v>
      </c>
    </row>
    <row r="4120" spans="1:2" x14ac:dyDescent="0.25">
      <c r="A4120">
        <v>4120</v>
      </c>
      <c r="B4120" t="str">
        <f t="shared" si="64"/>
        <v>ဘ</v>
      </c>
    </row>
    <row r="4121" spans="1:2" x14ac:dyDescent="0.25">
      <c r="A4121">
        <v>4121</v>
      </c>
      <c r="B4121" t="str">
        <f t="shared" si="64"/>
        <v>မ</v>
      </c>
    </row>
    <row r="4122" spans="1:2" x14ac:dyDescent="0.25">
      <c r="A4122">
        <v>4122</v>
      </c>
      <c r="B4122" t="str">
        <f t="shared" si="64"/>
        <v>ယ</v>
      </c>
    </row>
    <row r="4123" spans="1:2" x14ac:dyDescent="0.25">
      <c r="A4123">
        <v>4123</v>
      </c>
      <c r="B4123" t="str">
        <f t="shared" si="64"/>
        <v>ရ</v>
      </c>
    </row>
    <row r="4124" spans="1:2" x14ac:dyDescent="0.25">
      <c r="A4124">
        <v>4124</v>
      </c>
      <c r="B4124" t="str">
        <f t="shared" si="64"/>
        <v>လ</v>
      </c>
    </row>
    <row r="4125" spans="1:2" x14ac:dyDescent="0.25">
      <c r="A4125">
        <v>4125</v>
      </c>
      <c r="B4125" t="str">
        <f t="shared" si="64"/>
        <v>ဝ</v>
      </c>
    </row>
    <row r="4126" spans="1:2" x14ac:dyDescent="0.25">
      <c r="A4126">
        <v>4126</v>
      </c>
      <c r="B4126" t="str">
        <f t="shared" si="64"/>
        <v>သ</v>
      </c>
    </row>
    <row r="4127" spans="1:2" x14ac:dyDescent="0.25">
      <c r="A4127">
        <v>4127</v>
      </c>
      <c r="B4127" t="str">
        <f t="shared" si="64"/>
        <v>ဟ</v>
      </c>
    </row>
    <row r="4128" spans="1:2" x14ac:dyDescent="0.25">
      <c r="A4128">
        <v>4128</v>
      </c>
      <c r="B4128" t="str">
        <f t="shared" si="64"/>
        <v>ဠ</v>
      </c>
    </row>
    <row r="4129" spans="1:2" x14ac:dyDescent="0.25">
      <c r="A4129">
        <v>4129</v>
      </c>
      <c r="B4129" t="str">
        <f t="shared" si="64"/>
        <v>အ</v>
      </c>
    </row>
    <row r="4130" spans="1:2" x14ac:dyDescent="0.25">
      <c r="A4130">
        <v>4130</v>
      </c>
      <c r="B4130" t="str">
        <f t="shared" si="64"/>
        <v>ဢ</v>
      </c>
    </row>
    <row r="4131" spans="1:2" x14ac:dyDescent="0.25">
      <c r="A4131">
        <v>4131</v>
      </c>
      <c r="B4131" t="str">
        <f t="shared" si="64"/>
        <v>ဣ</v>
      </c>
    </row>
    <row r="4132" spans="1:2" x14ac:dyDescent="0.25">
      <c r="A4132">
        <v>4132</v>
      </c>
      <c r="B4132" t="str">
        <f t="shared" si="64"/>
        <v>ဤ</v>
      </c>
    </row>
    <row r="4133" spans="1:2" x14ac:dyDescent="0.25">
      <c r="A4133">
        <v>4133</v>
      </c>
      <c r="B4133" t="str">
        <f t="shared" si="64"/>
        <v>ဥ</v>
      </c>
    </row>
    <row r="4134" spans="1:2" x14ac:dyDescent="0.25">
      <c r="A4134">
        <v>4134</v>
      </c>
      <c r="B4134" t="str">
        <f t="shared" si="64"/>
        <v>ဦ</v>
      </c>
    </row>
    <row r="4135" spans="1:2" x14ac:dyDescent="0.25">
      <c r="A4135">
        <v>4135</v>
      </c>
      <c r="B4135" t="str">
        <f t="shared" si="64"/>
        <v>ဧ</v>
      </c>
    </row>
    <row r="4136" spans="1:2" x14ac:dyDescent="0.25">
      <c r="A4136">
        <v>4136</v>
      </c>
      <c r="B4136" t="str">
        <f t="shared" si="64"/>
        <v>ဨ</v>
      </c>
    </row>
    <row r="4137" spans="1:2" x14ac:dyDescent="0.25">
      <c r="A4137">
        <v>4137</v>
      </c>
      <c r="B4137" t="str">
        <f t="shared" si="64"/>
        <v>ဩ</v>
      </c>
    </row>
    <row r="4138" spans="1:2" x14ac:dyDescent="0.25">
      <c r="A4138">
        <v>4138</v>
      </c>
      <c r="B4138" t="str">
        <f t="shared" si="64"/>
        <v>ဪ</v>
      </c>
    </row>
    <row r="4139" spans="1:2" x14ac:dyDescent="0.25">
      <c r="A4139">
        <v>4139</v>
      </c>
      <c r="B4139" t="str">
        <f t="shared" si="64"/>
        <v>ါ</v>
      </c>
    </row>
    <row r="4140" spans="1:2" x14ac:dyDescent="0.25">
      <c r="A4140">
        <v>4140</v>
      </c>
      <c r="B4140" t="str">
        <f t="shared" si="64"/>
        <v>ာ</v>
      </c>
    </row>
    <row r="4141" spans="1:2" x14ac:dyDescent="0.25">
      <c r="A4141">
        <v>4141</v>
      </c>
      <c r="B4141" t="str">
        <f t="shared" si="64"/>
        <v>ိ</v>
      </c>
    </row>
    <row r="4142" spans="1:2" x14ac:dyDescent="0.25">
      <c r="A4142">
        <v>4142</v>
      </c>
      <c r="B4142" t="str">
        <f t="shared" si="64"/>
        <v>ီ</v>
      </c>
    </row>
    <row r="4143" spans="1:2" x14ac:dyDescent="0.25">
      <c r="A4143">
        <v>4143</v>
      </c>
      <c r="B4143" t="str">
        <f t="shared" si="64"/>
        <v>ု</v>
      </c>
    </row>
    <row r="4144" spans="1:2" x14ac:dyDescent="0.25">
      <c r="A4144">
        <v>4144</v>
      </c>
      <c r="B4144" t="str">
        <f t="shared" si="64"/>
        <v>ူ</v>
      </c>
    </row>
    <row r="4145" spans="1:2" x14ac:dyDescent="0.25">
      <c r="A4145">
        <v>4145</v>
      </c>
      <c r="B4145" t="str">
        <f t="shared" si="64"/>
        <v>ေ</v>
      </c>
    </row>
    <row r="4146" spans="1:2" x14ac:dyDescent="0.25">
      <c r="A4146">
        <v>4146</v>
      </c>
      <c r="B4146" t="str">
        <f t="shared" si="64"/>
        <v>ဲ</v>
      </c>
    </row>
    <row r="4147" spans="1:2" x14ac:dyDescent="0.25">
      <c r="A4147">
        <v>4147</v>
      </c>
      <c r="B4147" t="str">
        <f t="shared" si="64"/>
        <v>ဳ</v>
      </c>
    </row>
    <row r="4148" spans="1:2" x14ac:dyDescent="0.25">
      <c r="A4148">
        <v>4148</v>
      </c>
      <c r="B4148" t="str">
        <f t="shared" si="64"/>
        <v>ဴ</v>
      </c>
    </row>
    <row r="4149" spans="1:2" x14ac:dyDescent="0.25">
      <c r="A4149">
        <v>4149</v>
      </c>
      <c r="B4149" t="str">
        <f t="shared" si="64"/>
        <v>ဵ</v>
      </c>
    </row>
    <row r="4150" spans="1:2" x14ac:dyDescent="0.25">
      <c r="A4150">
        <v>4150</v>
      </c>
      <c r="B4150" t="str">
        <f t="shared" si="64"/>
        <v>ံ</v>
      </c>
    </row>
    <row r="4151" spans="1:2" x14ac:dyDescent="0.25">
      <c r="A4151">
        <v>4151</v>
      </c>
      <c r="B4151" t="str">
        <f t="shared" si="64"/>
        <v>့</v>
      </c>
    </row>
    <row r="4152" spans="1:2" x14ac:dyDescent="0.25">
      <c r="A4152">
        <v>4152</v>
      </c>
      <c r="B4152" t="str">
        <f t="shared" si="64"/>
        <v>း</v>
      </c>
    </row>
    <row r="4153" spans="1:2" x14ac:dyDescent="0.25">
      <c r="A4153">
        <v>4153</v>
      </c>
      <c r="B4153" t="str">
        <f t="shared" si="64"/>
        <v>္</v>
      </c>
    </row>
    <row r="4154" spans="1:2" x14ac:dyDescent="0.25">
      <c r="A4154">
        <v>4154</v>
      </c>
      <c r="B4154" t="str">
        <f t="shared" si="64"/>
        <v>်</v>
      </c>
    </row>
    <row r="4155" spans="1:2" x14ac:dyDescent="0.25">
      <c r="A4155">
        <v>4155</v>
      </c>
      <c r="B4155" t="str">
        <f t="shared" si="64"/>
        <v>ျ</v>
      </c>
    </row>
    <row r="4156" spans="1:2" x14ac:dyDescent="0.25">
      <c r="A4156">
        <v>4156</v>
      </c>
      <c r="B4156" t="str">
        <f t="shared" si="64"/>
        <v>ြ</v>
      </c>
    </row>
    <row r="4157" spans="1:2" x14ac:dyDescent="0.25">
      <c r="A4157">
        <v>4157</v>
      </c>
      <c r="B4157" t="str">
        <f t="shared" si="64"/>
        <v>ွ</v>
      </c>
    </row>
    <row r="4158" spans="1:2" x14ac:dyDescent="0.25">
      <c r="A4158">
        <v>4158</v>
      </c>
      <c r="B4158" t="str">
        <f t="shared" si="64"/>
        <v>ှ</v>
      </c>
    </row>
    <row r="4159" spans="1:2" x14ac:dyDescent="0.25">
      <c r="A4159">
        <v>4159</v>
      </c>
      <c r="B4159" t="str">
        <f t="shared" si="64"/>
        <v>ဿ</v>
      </c>
    </row>
    <row r="4160" spans="1:2" x14ac:dyDescent="0.25">
      <c r="A4160">
        <v>4160</v>
      </c>
      <c r="B4160" t="str">
        <f t="shared" si="64"/>
        <v>၀</v>
      </c>
    </row>
    <row r="4161" spans="1:2" x14ac:dyDescent="0.25">
      <c r="A4161">
        <v>4161</v>
      </c>
      <c r="B4161" t="str">
        <f t="shared" si="64"/>
        <v>၁</v>
      </c>
    </row>
    <row r="4162" spans="1:2" x14ac:dyDescent="0.25">
      <c r="A4162">
        <v>4162</v>
      </c>
      <c r="B4162" t="str">
        <f t="shared" ref="B4162:B4225" si="65">_xlfn.UNICHAR(A4162)</f>
        <v>၂</v>
      </c>
    </row>
    <row r="4163" spans="1:2" x14ac:dyDescent="0.25">
      <c r="A4163">
        <v>4163</v>
      </c>
      <c r="B4163" t="str">
        <f t="shared" si="65"/>
        <v>၃</v>
      </c>
    </row>
    <row r="4164" spans="1:2" x14ac:dyDescent="0.25">
      <c r="A4164">
        <v>4164</v>
      </c>
      <c r="B4164" t="str">
        <f t="shared" si="65"/>
        <v>၄</v>
      </c>
    </row>
    <row r="4165" spans="1:2" x14ac:dyDescent="0.25">
      <c r="A4165">
        <v>4165</v>
      </c>
      <c r="B4165" t="str">
        <f t="shared" si="65"/>
        <v>၅</v>
      </c>
    </row>
    <row r="4166" spans="1:2" x14ac:dyDescent="0.25">
      <c r="A4166">
        <v>4166</v>
      </c>
      <c r="B4166" t="str">
        <f t="shared" si="65"/>
        <v>၆</v>
      </c>
    </row>
    <row r="4167" spans="1:2" x14ac:dyDescent="0.25">
      <c r="A4167">
        <v>4167</v>
      </c>
      <c r="B4167" t="str">
        <f t="shared" si="65"/>
        <v>၇</v>
      </c>
    </row>
    <row r="4168" spans="1:2" x14ac:dyDescent="0.25">
      <c r="A4168">
        <v>4168</v>
      </c>
      <c r="B4168" t="str">
        <f t="shared" si="65"/>
        <v>၈</v>
      </c>
    </row>
    <row r="4169" spans="1:2" x14ac:dyDescent="0.25">
      <c r="A4169">
        <v>4169</v>
      </c>
      <c r="B4169" t="str">
        <f t="shared" si="65"/>
        <v>၉</v>
      </c>
    </row>
    <row r="4170" spans="1:2" x14ac:dyDescent="0.25">
      <c r="A4170">
        <v>4170</v>
      </c>
      <c r="B4170" t="str">
        <f t="shared" si="65"/>
        <v>၊</v>
      </c>
    </row>
    <row r="4171" spans="1:2" x14ac:dyDescent="0.25">
      <c r="A4171">
        <v>4171</v>
      </c>
      <c r="B4171" t="str">
        <f t="shared" si="65"/>
        <v>။</v>
      </c>
    </row>
    <row r="4172" spans="1:2" x14ac:dyDescent="0.25">
      <c r="A4172">
        <v>4172</v>
      </c>
      <c r="B4172" t="str">
        <f t="shared" si="65"/>
        <v>၌</v>
      </c>
    </row>
    <row r="4173" spans="1:2" x14ac:dyDescent="0.25">
      <c r="A4173">
        <v>4173</v>
      </c>
      <c r="B4173" t="str">
        <f t="shared" si="65"/>
        <v>၍</v>
      </c>
    </row>
    <row r="4174" spans="1:2" x14ac:dyDescent="0.25">
      <c r="A4174">
        <v>4174</v>
      </c>
      <c r="B4174" t="str">
        <f t="shared" si="65"/>
        <v>၎</v>
      </c>
    </row>
    <row r="4175" spans="1:2" x14ac:dyDescent="0.25">
      <c r="A4175">
        <v>4175</v>
      </c>
      <c r="B4175" t="str">
        <f t="shared" si="65"/>
        <v>၏</v>
      </c>
    </row>
    <row r="4176" spans="1:2" x14ac:dyDescent="0.25">
      <c r="A4176">
        <v>4176</v>
      </c>
      <c r="B4176" t="str">
        <f t="shared" si="65"/>
        <v>ၐ</v>
      </c>
    </row>
    <row r="4177" spans="1:2" x14ac:dyDescent="0.25">
      <c r="A4177">
        <v>4177</v>
      </c>
      <c r="B4177" t="str">
        <f t="shared" si="65"/>
        <v>ၑ</v>
      </c>
    </row>
    <row r="4178" spans="1:2" x14ac:dyDescent="0.25">
      <c r="A4178">
        <v>4178</v>
      </c>
      <c r="B4178" t="str">
        <f t="shared" si="65"/>
        <v>ၒ</v>
      </c>
    </row>
    <row r="4179" spans="1:2" x14ac:dyDescent="0.25">
      <c r="A4179">
        <v>4179</v>
      </c>
      <c r="B4179" t="str">
        <f t="shared" si="65"/>
        <v>ၓ</v>
      </c>
    </row>
    <row r="4180" spans="1:2" x14ac:dyDescent="0.25">
      <c r="A4180">
        <v>4180</v>
      </c>
      <c r="B4180" t="str">
        <f t="shared" si="65"/>
        <v>ၔ</v>
      </c>
    </row>
    <row r="4181" spans="1:2" x14ac:dyDescent="0.25">
      <c r="A4181">
        <v>4181</v>
      </c>
      <c r="B4181" t="str">
        <f t="shared" si="65"/>
        <v>ၕ</v>
      </c>
    </row>
    <row r="4182" spans="1:2" x14ac:dyDescent="0.25">
      <c r="A4182">
        <v>4182</v>
      </c>
      <c r="B4182" t="str">
        <f t="shared" si="65"/>
        <v>ၖ</v>
      </c>
    </row>
    <row r="4183" spans="1:2" x14ac:dyDescent="0.25">
      <c r="A4183">
        <v>4183</v>
      </c>
      <c r="B4183" t="str">
        <f t="shared" si="65"/>
        <v>ၗ</v>
      </c>
    </row>
    <row r="4184" spans="1:2" x14ac:dyDescent="0.25">
      <c r="A4184">
        <v>4184</v>
      </c>
      <c r="B4184" t="str">
        <f t="shared" si="65"/>
        <v>ၘ</v>
      </c>
    </row>
    <row r="4185" spans="1:2" x14ac:dyDescent="0.25">
      <c r="A4185">
        <v>4185</v>
      </c>
      <c r="B4185" t="str">
        <f t="shared" si="65"/>
        <v>ၙ</v>
      </c>
    </row>
    <row r="4186" spans="1:2" x14ac:dyDescent="0.25">
      <c r="A4186">
        <v>4186</v>
      </c>
      <c r="B4186" t="str">
        <f t="shared" si="65"/>
        <v>ၚ</v>
      </c>
    </row>
    <row r="4187" spans="1:2" x14ac:dyDescent="0.25">
      <c r="A4187">
        <v>4187</v>
      </c>
      <c r="B4187" t="str">
        <f t="shared" si="65"/>
        <v>ၛ</v>
      </c>
    </row>
    <row r="4188" spans="1:2" x14ac:dyDescent="0.25">
      <c r="A4188">
        <v>4188</v>
      </c>
      <c r="B4188" t="str">
        <f t="shared" si="65"/>
        <v>ၜ</v>
      </c>
    </row>
    <row r="4189" spans="1:2" x14ac:dyDescent="0.25">
      <c r="A4189">
        <v>4189</v>
      </c>
      <c r="B4189" t="str">
        <f t="shared" si="65"/>
        <v>ၝ</v>
      </c>
    </row>
    <row r="4190" spans="1:2" x14ac:dyDescent="0.25">
      <c r="A4190">
        <v>4190</v>
      </c>
      <c r="B4190" t="str">
        <f t="shared" si="65"/>
        <v>ၞ</v>
      </c>
    </row>
    <row r="4191" spans="1:2" x14ac:dyDescent="0.25">
      <c r="A4191">
        <v>4191</v>
      </c>
      <c r="B4191" t="str">
        <f t="shared" si="65"/>
        <v>ၟ</v>
      </c>
    </row>
    <row r="4192" spans="1:2" x14ac:dyDescent="0.25">
      <c r="A4192">
        <v>4192</v>
      </c>
      <c r="B4192" t="str">
        <f t="shared" si="65"/>
        <v>ၠ</v>
      </c>
    </row>
    <row r="4193" spans="1:2" x14ac:dyDescent="0.25">
      <c r="A4193">
        <v>4193</v>
      </c>
      <c r="B4193" t="str">
        <f t="shared" si="65"/>
        <v>ၡ</v>
      </c>
    </row>
    <row r="4194" spans="1:2" x14ac:dyDescent="0.25">
      <c r="A4194">
        <v>4194</v>
      </c>
      <c r="B4194" t="str">
        <f t="shared" si="65"/>
        <v>ၢ</v>
      </c>
    </row>
    <row r="4195" spans="1:2" x14ac:dyDescent="0.25">
      <c r="A4195">
        <v>4195</v>
      </c>
      <c r="B4195" t="str">
        <f t="shared" si="65"/>
        <v>ၣ</v>
      </c>
    </row>
    <row r="4196" spans="1:2" x14ac:dyDescent="0.25">
      <c r="A4196">
        <v>4196</v>
      </c>
      <c r="B4196" t="str">
        <f t="shared" si="65"/>
        <v>ၤ</v>
      </c>
    </row>
    <row r="4197" spans="1:2" x14ac:dyDescent="0.25">
      <c r="A4197">
        <v>4197</v>
      </c>
      <c r="B4197" t="str">
        <f t="shared" si="65"/>
        <v>ၥ</v>
      </c>
    </row>
    <row r="4198" spans="1:2" x14ac:dyDescent="0.25">
      <c r="A4198">
        <v>4198</v>
      </c>
      <c r="B4198" t="str">
        <f t="shared" si="65"/>
        <v>ၦ</v>
      </c>
    </row>
    <row r="4199" spans="1:2" x14ac:dyDescent="0.25">
      <c r="A4199">
        <v>4199</v>
      </c>
      <c r="B4199" t="str">
        <f t="shared" si="65"/>
        <v>ၧ</v>
      </c>
    </row>
    <row r="4200" spans="1:2" x14ac:dyDescent="0.25">
      <c r="A4200">
        <v>4200</v>
      </c>
      <c r="B4200" t="str">
        <f t="shared" si="65"/>
        <v>ၨ</v>
      </c>
    </row>
    <row r="4201" spans="1:2" x14ac:dyDescent="0.25">
      <c r="A4201">
        <v>4201</v>
      </c>
      <c r="B4201" t="str">
        <f t="shared" si="65"/>
        <v>ၩ</v>
      </c>
    </row>
    <row r="4202" spans="1:2" x14ac:dyDescent="0.25">
      <c r="A4202">
        <v>4202</v>
      </c>
      <c r="B4202" t="str">
        <f t="shared" si="65"/>
        <v>ၪ</v>
      </c>
    </row>
    <row r="4203" spans="1:2" x14ac:dyDescent="0.25">
      <c r="A4203">
        <v>4203</v>
      </c>
      <c r="B4203" t="str">
        <f t="shared" si="65"/>
        <v>ၫ</v>
      </c>
    </row>
    <row r="4204" spans="1:2" x14ac:dyDescent="0.25">
      <c r="A4204">
        <v>4204</v>
      </c>
      <c r="B4204" t="str">
        <f t="shared" si="65"/>
        <v>ၬ</v>
      </c>
    </row>
    <row r="4205" spans="1:2" x14ac:dyDescent="0.25">
      <c r="A4205">
        <v>4205</v>
      </c>
      <c r="B4205" t="str">
        <f t="shared" si="65"/>
        <v>ၭ</v>
      </c>
    </row>
    <row r="4206" spans="1:2" x14ac:dyDescent="0.25">
      <c r="A4206">
        <v>4206</v>
      </c>
      <c r="B4206" t="str">
        <f t="shared" si="65"/>
        <v>ၮ</v>
      </c>
    </row>
    <row r="4207" spans="1:2" x14ac:dyDescent="0.25">
      <c r="A4207">
        <v>4207</v>
      </c>
      <c r="B4207" t="str">
        <f t="shared" si="65"/>
        <v>ၯ</v>
      </c>
    </row>
    <row r="4208" spans="1:2" x14ac:dyDescent="0.25">
      <c r="A4208">
        <v>4208</v>
      </c>
      <c r="B4208" t="str">
        <f t="shared" si="65"/>
        <v>ၰ</v>
      </c>
    </row>
    <row r="4209" spans="1:2" x14ac:dyDescent="0.25">
      <c r="A4209">
        <v>4209</v>
      </c>
      <c r="B4209" t="str">
        <f t="shared" si="65"/>
        <v>ၱ</v>
      </c>
    </row>
    <row r="4210" spans="1:2" x14ac:dyDescent="0.25">
      <c r="A4210">
        <v>4210</v>
      </c>
      <c r="B4210" t="str">
        <f t="shared" si="65"/>
        <v>ၲ</v>
      </c>
    </row>
    <row r="4211" spans="1:2" x14ac:dyDescent="0.25">
      <c r="A4211">
        <v>4211</v>
      </c>
      <c r="B4211" t="str">
        <f t="shared" si="65"/>
        <v>ၳ</v>
      </c>
    </row>
    <row r="4212" spans="1:2" x14ac:dyDescent="0.25">
      <c r="A4212">
        <v>4212</v>
      </c>
      <c r="B4212" t="str">
        <f t="shared" si="65"/>
        <v>ၴ</v>
      </c>
    </row>
    <row r="4213" spans="1:2" x14ac:dyDescent="0.25">
      <c r="A4213">
        <v>4213</v>
      </c>
      <c r="B4213" t="str">
        <f t="shared" si="65"/>
        <v>ၵ</v>
      </c>
    </row>
    <row r="4214" spans="1:2" x14ac:dyDescent="0.25">
      <c r="A4214">
        <v>4214</v>
      </c>
      <c r="B4214" t="str">
        <f t="shared" si="65"/>
        <v>ၶ</v>
      </c>
    </row>
    <row r="4215" spans="1:2" x14ac:dyDescent="0.25">
      <c r="A4215">
        <v>4215</v>
      </c>
      <c r="B4215" t="str">
        <f t="shared" si="65"/>
        <v>ၷ</v>
      </c>
    </row>
    <row r="4216" spans="1:2" x14ac:dyDescent="0.25">
      <c r="A4216">
        <v>4216</v>
      </c>
      <c r="B4216" t="str">
        <f t="shared" si="65"/>
        <v>ၸ</v>
      </c>
    </row>
    <row r="4217" spans="1:2" x14ac:dyDescent="0.25">
      <c r="A4217">
        <v>4217</v>
      </c>
      <c r="B4217" t="str">
        <f t="shared" si="65"/>
        <v>ၹ</v>
      </c>
    </row>
    <row r="4218" spans="1:2" x14ac:dyDescent="0.25">
      <c r="A4218">
        <v>4218</v>
      </c>
      <c r="B4218" t="str">
        <f t="shared" si="65"/>
        <v>ၺ</v>
      </c>
    </row>
    <row r="4219" spans="1:2" x14ac:dyDescent="0.25">
      <c r="A4219">
        <v>4219</v>
      </c>
      <c r="B4219" t="str">
        <f t="shared" si="65"/>
        <v>ၻ</v>
      </c>
    </row>
    <row r="4220" spans="1:2" x14ac:dyDescent="0.25">
      <c r="A4220">
        <v>4220</v>
      </c>
      <c r="B4220" t="str">
        <f t="shared" si="65"/>
        <v>ၼ</v>
      </c>
    </row>
    <row r="4221" spans="1:2" x14ac:dyDescent="0.25">
      <c r="A4221">
        <v>4221</v>
      </c>
      <c r="B4221" t="str">
        <f t="shared" si="65"/>
        <v>ၽ</v>
      </c>
    </row>
    <row r="4222" spans="1:2" x14ac:dyDescent="0.25">
      <c r="A4222">
        <v>4222</v>
      </c>
      <c r="B4222" t="str">
        <f t="shared" si="65"/>
        <v>ၾ</v>
      </c>
    </row>
    <row r="4223" spans="1:2" x14ac:dyDescent="0.25">
      <c r="A4223">
        <v>4223</v>
      </c>
      <c r="B4223" t="str">
        <f t="shared" si="65"/>
        <v>ၿ</v>
      </c>
    </row>
    <row r="4224" spans="1:2" x14ac:dyDescent="0.25">
      <c r="A4224">
        <v>4224</v>
      </c>
      <c r="B4224" t="str">
        <f t="shared" si="65"/>
        <v>ႀ</v>
      </c>
    </row>
    <row r="4225" spans="1:2" x14ac:dyDescent="0.25">
      <c r="A4225">
        <v>4225</v>
      </c>
      <c r="B4225" t="str">
        <f t="shared" si="65"/>
        <v>ႁ</v>
      </c>
    </row>
    <row r="4226" spans="1:2" x14ac:dyDescent="0.25">
      <c r="A4226">
        <v>4226</v>
      </c>
      <c r="B4226" t="str">
        <f t="shared" ref="B4226:B4289" si="66">_xlfn.UNICHAR(A4226)</f>
        <v>ႂ</v>
      </c>
    </row>
    <row r="4227" spans="1:2" x14ac:dyDescent="0.25">
      <c r="A4227">
        <v>4227</v>
      </c>
      <c r="B4227" t="str">
        <f t="shared" si="66"/>
        <v>ႃ</v>
      </c>
    </row>
    <row r="4228" spans="1:2" x14ac:dyDescent="0.25">
      <c r="A4228">
        <v>4228</v>
      </c>
      <c r="B4228" t="str">
        <f t="shared" si="66"/>
        <v>ႄ</v>
      </c>
    </row>
    <row r="4229" spans="1:2" x14ac:dyDescent="0.25">
      <c r="A4229">
        <v>4229</v>
      </c>
      <c r="B4229" t="str">
        <f t="shared" si="66"/>
        <v>ႅ</v>
      </c>
    </row>
    <row r="4230" spans="1:2" x14ac:dyDescent="0.25">
      <c r="A4230">
        <v>4230</v>
      </c>
      <c r="B4230" t="str">
        <f t="shared" si="66"/>
        <v>ႆ</v>
      </c>
    </row>
    <row r="4231" spans="1:2" x14ac:dyDescent="0.25">
      <c r="A4231">
        <v>4231</v>
      </c>
      <c r="B4231" t="str">
        <f t="shared" si="66"/>
        <v>ႇ</v>
      </c>
    </row>
    <row r="4232" spans="1:2" x14ac:dyDescent="0.25">
      <c r="A4232">
        <v>4232</v>
      </c>
      <c r="B4232" t="str">
        <f t="shared" si="66"/>
        <v>ႈ</v>
      </c>
    </row>
    <row r="4233" spans="1:2" x14ac:dyDescent="0.25">
      <c r="A4233">
        <v>4233</v>
      </c>
      <c r="B4233" t="str">
        <f t="shared" si="66"/>
        <v>ႉ</v>
      </c>
    </row>
    <row r="4234" spans="1:2" x14ac:dyDescent="0.25">
      <c r="A4234">
        <v>4234</v>
      </c>
      <c r="B4234" t="str">
        <f t="shared" si="66"/>
        <v>ႊ</v>
      </c>
    </row>
    <row r="4235" spans="1:2" x14ac:dyDescent="0.25">
      <c r="A4235">
        <v>4235</v>
      </c>
      <c r="B4235" t="str">
        <f t="shared" si="66"/>
        <v>ႋ</v>
      </c>
    </row>
    <row r="4236" spans="1:2" x14ac:dyDescent="0.25">
      <c r="A4236">
        <v>4236</v>
      </c>
      <c r="B4236" t="str">
        <f t="shared" si="66"/>
        <v>ႌ</v>
      </c>
    </row>
    <row r="4237" spans="1:2" x14ac:dyDescent="0.25">
      <c r="A4237">
        <v>4237</v>
      </c>
      <c r="B4237" t="str">
        <f t="shared" si="66"/>
        <v>ႍ</v>
      </c>
    </row>
    <row r="4238" spans="1:2" x14ac:dyDescent="0.25">
      <c r="A4238">
        <v>4238</v>
      </c>
      <c r="B4238" t="str">
        <f t="shared" si="66"/>
        <v>ႎ</v>
      </c>
    </row>
    <row r="4239" spans="1:2" x14ac:dyDescent="0.25">
      <c r="A4239">
        <v>4239</v>
      </c>
      <c r="B4239" t="str">
        <f t="shared" si="66"/>
        <v>ႏ</v>
      </c>
    </row>
    <row r="4240" spans="1:2" x14ac:dyDescent="0.25">
      <c r="A4240">
        <v>4240</v>
      </c>
      <c r="B4240" t="str">
        <f t="shared" si="66"/>
        <v>႐</v>
      </c>
    </row>
    <row r="4241" spans="1:2" x14ac:dyDescent="0.25">
      <c r="A4241">
        <v>4241</v>
      </c>
      <c r="B4241" t="str">
        <f t="shared" si="66"/>
        <v>႑</v>
      </c>
    </row>
    <row r="4242" spans="1:2" x14ac:dyDescent="0.25">
      <c r="A4242">
        <v>4242</v>
      </c>
      <c r="B4242" t="str">
        <f t="shared" si="66"/>
        <v>႒</v>
      </c>
    </row>
    <row r="4243" spans="1:2" x14ac:dyDescent="0.25">
      <c r="A4243">
        <v>4243</v>
      </c>
      <c r="B4243" t="str">
        <f t="shared" si="66"/>
        <v>႓</v>
      </c>
    </row>
    <row r="4244" spans="1:2" x14ac:dyDescent="0.25">
      <c r="A4244">
        <v>4244</v>
      </c>
      <c r="B4244" t="str">
        <f t="shared" si="66"/>
        <v>႔</v>
      </c>
    </row>
    <row r="4245" spans="1:2" x14ac:dyDescent="0.25">
      <c r="A4245">
        <v>4245</v>
      </c>
      <c r="B4245" t="str">
        <f t="shared" si="66"/>
        <v>႕</v>
      </c>
    </row>
    <row r="4246" spans="1:2" x14ac:dyDescent="0.25">
      <c r="A4246">
        <v>4246</v>
      </c>
      <c r="B4246" t="str">
        <f t="shared" si="66"/>
        <v>႖</v>
      </c>
    </row>
    <row r="4247" spans="1:2" x14ac:dyDescent="0.25">
      <c r="A4247">
        <v>4247</v>
      </c>
      <c r="B4247" t="str">
        <f t="shared" si="66"/>
        <v>႗</v>
      </c>
    </row>
    <row r="4248" spans="1:2" x14ac:dyDescent="0.25">
      <c r="A4248">
        <v>4248</v>
      </c>
      <c r="B4248" t="str">
        <f t="shared" si="66"/>
        <v>႘</v>
      </c>
    </row>
    <row r="4249" spans="1:2" x14ac:dyDescent="0.25">
      <c r="A4249">
        <v>4249</v>
      </c>
      <c r="B4249" t="str">
        <f t="shared" si="66"/>
        <v>႙</v>
      </c>
    </row>
    <row r="4250" spans="1:2" x14ac:dyDescent="0.25">
      <c r="A4250">
        <v>4250</v>
      </c>
      <c r="B4250" t="str">
        <f t="shared" si="66"/>
        <v>ႚ</v>
      </c>
    </row>
    <row r="4251" spans="1:2" x14ac:dyDescent="0.25">
      <c r="A4251">
        <v>4251</v>
      </c>
      <c r="B4251" t="str">
        <f t="shared" si="66"/>
        <v>ႛ</v>
      </c>
    </row>
    <row r="4252" spans="1:2" x14ac:dyDescent="0.25">
      <c r="A4252">
        <v>4252</v>
      </c>
      <c r="B4252" t="str">
        <f t="shared" si="66"/>
        <v>ႜ</v>
      </c>
    </row>
    <row r="4253" spans="1:2" x14ac:dyDescent="0.25">
      <c r="A4253">
        <v>4253</v>
      </c>
      <c r="B4253" t="str">
        <f t="shared" si="66"/>
        <v>ႝ</v>
      </c>
    </row>
    <row r="4254" spans="1:2" x14ac:dyDescent="0.25">
      <c r="A4254">
        <v>4254</v>
      </c>
      <c r="B4254" t="str">
        <f t="shared" si="66"/>
        <v>႞</v>
      </c>
    </row>
    <row r="4255" spans="1:2" x14ac:dyDescent="0.25">
      <c r="A4255">
        <v>4255</v>
      </c>
      <c r="B4255" t="str">
        <f t="shared" si="66"/>
        <v>႟</v>
      </c>
    </row>
    <row r="4256" spans="1:2" x14ac:dyDescent="0.25">
      <c r="A4256">
        <v>4256</v>
      </c>
      <c r="B4256" t="str">
        <f t="shared" si="66"/>
        <v>Ⴀ</v>
      </c>
    </row>
    <row r="4257" spans="1:2" x14ac:dyDescent="0.25">
      <c r="A4257">
        <v>4257</v>
      </c>
      <c r="B4257" t="str">
        <f t="shared" si="66"/>
        <v>Ⴁ</v>
      </c>
    </row>
    <row r="4258" spans="1:2" x14ac:dyDescent="0.25">
      <c r="A4258">
        <v>4258</v>
      </c>
      <c r="B4258" t="str">
        <f t="shared" si="66"/>
        <v>Ⴂ</v>
      </c>
    </row>
    <row r="4259" spans="1:2" x14ac:dyDescent="0.25">
      <c r="A4259">
        <v>4259</v>
      </c>
      <c r="B4259" t="str">
        <f t="shared" si="66"/>
        <v>Ⴃ</v>
      </c>
    </row>
    <row r="4260" spans="1:2" x14ac:dyDescent="0.25">
      <c r="A4260">
        <v>4260</v>
      </c>
      <c r="B4260" t="str">
        <f t="shared" si="66"/>
        <v>Ⴄ</v>
      </c>
    </row>
    <row r="4261" spans="1:2" x14ac:dyDescent="0.25">
      <c r="A4261">
        <v>4261</v>
      </c>
      <c r="B4261" t="str">
        <f t="shared" si="66"/>
        <v>Ⴅ</v>
      </c>
    </row>
    <row r="4262" spans="1:2" x14ac:dyDescent="0.25">
      <c r="A4262">
        <v>4262</v>
      </c>
      <c r="B4262" t="str">
        <f t="shared" si="66"/>
        <v>Ⴆ</v>
      </c>
    </row>
    <row r="4263" spans="1:2" x14ac:dyDescent="0.25">
      <c r="A4263">
        <v>4263</v>
      </c>
      <c r="B4263" t="str">
        <f t="shared" si="66"/>
        <v>Ⴇ</v>
      </c>
    </row>
    <row r="4264" spans="1:2" x14ac:dyDescent="0.25">
      <c r="A4264">
        <v>4264</v>
      </c>
      <c r="B4264" t="str">
        <f t="shared" si="66"/>
        <v>Ⴈ</v>
      </c>
    </row>
    <row r="4265" spans="1:2" x14ac:dyDescent="0.25">
      <c r="A4265">
        <v>4265</v>
      </c>
      <c r="B4265" t="str">
        <f t="shared" si="66"/>
        <v>Ⴉ</v>
      </c>
    </row>
    <row r="4266" spans="1:2" x14ac:dyDescent="0.25">
      <c r="A4266">
        <v>4266</v>
      </c>
      <c r="B4266" t="str">
        <f t="shared" si="66"/>
        <v>Ⴊ</v>
      </c>
    </row>
    <row r="4267" spans="1:2" x14ac:dyDescent="0.25">
      <c r="A4267">
        <v>4267</v>
      </c>
      <c r="B4267" t="str">
        <f t="shared" si="66"/>
        <v>Ⴋ</v>
      </c>
    </row>
    <row r="4268" spans="1:2" x14ac:dyDescent="0.25">
      <c r="A4268">
        <v>4268</v>
      </c>
      <c r="B4268" t="str">
        <f t="shared" si="66"/>
        <v>Ⴌ</v>
      </c>
    </row>
    <row r="4269" spans="1:2" x14ac:dyDescent="0.25">
      <c r="A4269">
        <v>4269</v>
      </c>
      <c r="B4269" t="str">
        <f t="shared" si="66"/>
        <v>Ⴍ</v>
      </c>
    </row>
    <row r="4270" spans="1:2" x14ac:dyDescent="0.25">
      <c r="A4270">
        <v>4270</v>
      </c>
      <c r="B4270" t="str">
        <f t="shared" si="66"/>
        <v>Ⴎ</v>
      </c>
    </row>
    <row r="4271" spans="1:2" x14ac:dyDescent="0.25">
      <c r="A4271">
        <v>4271</v>
      </c>
      <c r="B4271" t="str">
        <f t="shared" si="66"/>
        <v>Ⴏ</v>
      </c>
    </row>
    <row r="4272" spans="1:2" x14ac:dyDescent="0.25">
      <c r="A4272">
        <v>4272</v>
      </c>
      <c r="B4272" t="str">
        <f t="shared" si="66"/>
        <v>Ⴐ</v>
      </c>
    </row>
    <row r="4273" spans="1:2" x14ac:dyDescent="0.25">
      <c r="A4273">
        <v>4273</v>
      </c>
      <c r="B4273" t="str">
        <f t="shared" si="66"/>
        <v>Ⴑ</v>
      </c>
    </row>
    <row r="4274" spans="1:2" x14ac:dyDescent="0.25">
      <c r="A4274">
        <v>4274</v>
      </c>
      <c r="B4274" t="str">
        <f t="shared" si="66"/>
        <v>Ⴒ</v>
      </c>
    </row>
    <row r="4275" spans="1:2" x14ac:dyDescent="0.25">
      <c r="A4275">
        <v>4275</v>
      </c>
      <c r="B4275" t="str">
        <f t="shared" si="66"/>
        <v>Ⴓ</v>
      </c>
    </row>
    <row r="4276" spans="1:2" x14ac:dyDescent="0.25">
      <c r="A4276">
        <v>4276</v>
      </c>
      <c r="B4276" t="str">
        <f t="shared" si="66"/>
        <v>Ⴔ</v>
      </c>
    </row>
    <row r="4277" spans="1:2" x14ac:dyDescent="0.25">
      <c r="A4277">
        <v>4277</v>
      </c>
      <c r="B4277" t="str">
        <f t="shared" si="66"/>
        <v>Ⴕ</v>
      </c>
    </row>
    <row r="4278" spans="1:2" x14ac:dyDescent="0.25">
      <c r="A4278">
        <v>4278</v>
      </c>
      <c r="B4278" t="str">
        <f t="shared" si="66"/>
        <v>Ⴖ</v>
      </c>
    </row>
    <row r="4279" spans="1:2" x14ac:dyDescent="0.25">
      <c r="A4279">
        <v>4279</v>
      </c>
      <c r="B4279" t="str">
        <f t="shared" si="66"/>
        <v>Ⴗ</v>
      </c>
    </row>
    <row r="4280" spans="1:2" x14ac:dyDescent="0.25">
      <c r="A4280">
        <v>4280</v>
      </c>
      <c r="B4280" t="str">
        <f t="shared" si="66"/>
        <v>Ⴘ</v>
      </c>
    </row>
    <row r="4281" spans="1:2" x14ac:dyDescent="0.25">
      <c r="A4281">
        <v>4281</v>
      </c>
      <c r="B4281" t="str">
        <f t="shared" si="66"/>
        <v>Ⴙ</v>
      </c>
    </row>
    <row r="4282" spans="1:2" x14ac:dyDescent="0.25">
      <c r="A4282">
        <v>4282</v>
      </c>
      <c r="B4282" t="str">
        <f t="shared" si="66"/>
        <v>Ⴚ</v>
      </c>
    </row>
    <row r="4283" spans="1:2" x14ac:dyDescent="0.25">
      <c r="A4283">
        <v>4283</v>
      </c>
      <c r="B4283" t="str">
        <f t="shared" si="66"/>
        <v>Ⴛ</v>
      </c>
    </row>
    <row r="4284" spans="1:2" x14ac:dyDescent="0.25">
      <c r="A4284">
        <v>4284</v>
      </c>
      <c r="B4284" t="str">
        <f t="shared" si="66"/>
        <v>Ⴜ</v>
      </c>
    </row>
    <row r="4285" spans="1:2" x14ac:dyDescent="0.25">
      <c r="A4285">
        <v>4285</v>
      </c>
      <c r="B4285" t="str">
        <f t="shared" si="66"/>
        <v>Ⴝ</v>
      </c>
    </row>
    <row r="4286" spans="1:2" x14ac:dyDescent="0.25">
      <c r="A4286">
        <v>4286</v>
      </c>
      <c r="B4286" t="str">
        <f t="shared" si="66"/>
        <v>Ⴞ</v>
      </c>
    </row>
    <row r="4287" spans="1:2" x14ac:dyDescent="0.25">
      <c r="A4287">
        <v>4287</v>
      </c>
      <c r="B4287" t="str">
        <f t="shared" si="66"/>
        <v>Ⴟ</v>
      </c>
    </row>
    <row r="4288" spans="1:2" x14ac:dyDescent="0.25">
      <c r="A4288">
        <v>4288</v>
      </c>
      <c r="B4288" t="str">
        <f t="shared" si="66"/>
        <v>Ⴠ</v>
      </c>
    </row>
    <row r="4289" spans="1:2" x14ac:dyDescent="0.25">
      <c r="A4289">
        <v>4289</v>
      </c>
      <c r="B4289" t="str">
        <f t="shared" si="66"/>
        <v>Ⴡ</v>
      </c>
    </row>
    <row r="4290" spans="1:2" x14ac:dyDescent="0.25">
      <c r="A4290">
        <v>4290</v>
      </c>
      <c r="B4290" t="str">
        <f t="shared" ref="B4290:B4353" si="67">_xlfn.UNICHAR(A4290)</f>
        <v>Ⴢ</v>
      </c>
    </row>
    <row r="4291" spans="1:2" x14ac:dyDescent="0.25">
      <c r="A4291">
        <v>4291</v>
      </c>
      <c r="B4291" t="str">
        <f t="shared" si="67"/>
        <v>Ⴣ</v>
      </c>
    </row>
    <row r="4292" spans="1:2" x14ac:dyDescent="0.25">
      <c r="A4292">
        <v>4292</v>
      </c>
      <c r="B4292" t="str">
        <f t="shared" si="67"/>
        <v>Ⴤ</v>
      </c>
    </row>
    <row r="4293" spans="1:2" x14ac:dyDescent="0.25">
      <c r="A4293">
        <v>4293</v>
      </c>
      <c r="B4293" t="str">
        <f t="shared" si="67"/>
        <v>Ⴥ</v>
      </c>
    </row>
    <row r="4294" spans="1:2" x14ac:dyDescent="0.25">
      <c r="A4294">
        <v>4294</v>
      </c>
      <c r="B4294" t="str">
        <f t="shared" si="67"/>
        <v>჆</v>
      </c>
    </row>
    <row r="4295" spans="1:2" x14ac:dyDescent="0.25">
      <c r="A4295">
        <v>4295</v>
      </c>
      <c r="B4295" t="str">
        <f t="shared" si="67"/>
        <v>Ⴧ</v>
      </c>
    </row>
    <row r="4296" spans="1:2" x14ac:dyDescent="0.25">
      <c r="A4296">
        <v>4296</v>
      </c>
      <c r="B4296" t="str">
        <f t="shared" si="67"/>
        <v>჈</v>
      </c>
    </row>
    <row r="4297" spans="1:2" x14ac:dyDescent="0.25">
      <c r="A4297">
        <v>4297</v>
      </c>
      <c r="B4297" t="str">
        <f t="shared" si="67"/>
        <v>჉</v>
      </c>
    </row>
    <row r="4298" spans="1:2" x14ac:dyDescent="0.25">
      <c r="A4298">
        <v>4298</v>
      </c>
      <c r="B4298" t="str">
        <f t="shared" si="67"/>
        <v>჊</v>
      </c>
    </row>
    <row r="4299" spans="1:2" x14ac:dyDescent="0.25">
      <c r="A4299">
        <v>4299</v>
      </c>
      <c r="B4299" t="str">
        <f t="shared" si="67"/>
        <v>჋</v>
      </c>
    </row>
    <row r="4300" spans="1:2" x14ac:dyDescent="0.25">
      <c r="A4300">
        <v>4300</v>
      </c>
      <c r="B4300" t="str">
        <f t="shared" si="67"/>
        <v>჌</v>
      </c>
    </row>
    <row r="4301" spans="1:2" x14ac:dyDescent="0.25">
      <c r="A4301">
        <v>4301</v>
      </c>
      <c r="B4301" t="str">
        <f t="shared" si="67"/>
        <v>Ⴭ</v>
      </c>
    </row>
    <row r="4302" spans="1:2" x14ac:dyDescent="0.25">
      <c r="A4302">
        <v>4302</v>
      </c>
      <c r="B4302" t="str">
        <f t="shared" si="67"/>
        <v>჎</v>
      </c>
    </row>
    <row r="4303" spans="1:2" x14ac:dyDescent="0.25">
      <c r="A4303">
        <v>4303</v>
      </c>
      <c r="B4303" t="str">
        <f t="shared" si="67"/>
        <v>჏</v>
      </c>
    </row>
    <row r="4304" spans="1:2" x14ac:dyDescent="0.25">
      <c r="A4304">
        <v>4304</v>
      </c>
      <c r="B4304" t="str">
        <f t="shared" si="67"/>
        <v>ა</v>
      </c>
    </row>
    <row r="4305" spans="1:2" x14ac:dyDescent="0.25">
      <c r="A4305">
        <v>4305</v>
      </c>
      <c r="B4305" t="str">
        <f t="shared" si="67"/>
        <v>ბ</v>
      </c>
    </row>
    <row r="4306" spans="1:2" x14ac:dyDescent="0.25">
      <c r="A4306">
        <v>4306</v>
      </c>
      <c r="B4306" t="str">
        <f t="shared" si="67"/>
        <v>გ</v>
      </c>
    </row>
    <row r="4307" spans="1:2" x14ac:dyDescent="0.25">
      <c r="A4307">
        <v>4307</v>
      </c>
      <c r="B4307" t="str">
        <f t="shared" si="67"/>
        <v>დ</v>
      </c>
    </row>
    <row r="4308" spans="1:2" x14ac:dyDescent="0.25">
      <c r="A4308">
        <v>4308</v>
      </c>
      <c r="B4308" t="str">
        <f t="shared" si="67"/>
        <v>ე</v>
      </c>
    </row>
    <row r="4309" spans="1:2" x14ac:dyDescent="0.25">
      <c r="A4309">
        <v>4309</v>
      </c>
      <c r="B4309" t="str">
        <f t="shared" si="67"/>
        <v>ვ</v>
      </c>
    </row>
    <row r="4310" spans="1:2" x14ac:dyDescent="0.25">
      <c r="A4310">
        <v>4310</v>
      </c>
      <c r="B4310" t="str">
        <f t="shared" si="67"/>
        <v>ზ</v>
      </c>
    </row>
    <row r="4311" spans="1:2" x14ac:dyDescent="0.25">
      <c r="A4311">
        <v>4311</v>
      </c>
      <c r="B4311" t="str">
        <f t="shared" si="67"/>
        <v>თ</v>
      </c>
    </row>
    <row r="4312" spans="1:2" x14ac:dyDescent="0.25">
      <c r="A4312">
        <v>4312</v>
      </c>
      <c r="B4312" t="str">
        <f t="shared" si="67"/>
        <v>ი</v>
      </c>
    </row>
    <row r="4313" spans="1:2" x14ac:dyDescent="0.25">
      <c r="A4313">
        <v>4313</v>
      </c>
      <c r="B4313" t="str">
        <f t="shared" si="67"/>
        <v>კ</v>
      </c>
    </row>
    <row r="4314" spans="1:2" x14ac:dyDescent="0.25">
      <c r="A4314">
        <v>4314</v>
      </c>
      <c r="B4314" t="str">
        <f t="shared" si="67"/>
        <v>ლ</v>
      </c>
    </row>
    <row r="4315" spans="1:2" x14ac:dyDescent="0.25">
      <c r="A4315">
        <v>4315</v>
      </c>
      <c r="B4315" t="str">
        <f t="shared" si="67"/>
        <v>მ</v>
      </c>
    </row>
    <row r="4316" spans="1:2" x14ac:dyDescent="0.25">
      <c r="A4316">
        <v>4316</v>
      </c>
      <c r="B4316" t="str">
        <f t="shared" si="67"/>
        <v>ნ</v>
      </c>
    </row>
    <row r="4317" spans="1:2" x14ac:dyDescent="0.25">
      <c r="A4317">
        <v>4317</v>
      </c>
      <c r="B4317" t="str">
        <f t="shared" si="67"/>
        <v>ო</v>
      </c>
    </row>
    <row r="4318" spans="1:2" x14ac:dyDescent="0.25">
      <c r="A4318">
        <v>4318</v>
      </c>
      <c r="B4318" t="str">
        <f t="shared" si="67"/>
        <v>პ</v>
      </c>
    </row>
    <row r="4319" spans="1:2" x14ac:dyDescent="0.25">
      <c r="A4319">
        <v>4319</v>
      </c>
      <c r="B4319" t="str">
        <f t="shared" si="67"/>
        <v>ჟ</v>
      </c>
    </row>
    <row r="4320" spans="1:2" x14ac:dyDescent="0.25">
      <c r="A4320">
        <v>4320</v>
      </c>
      <c r="B4320" t="str">
        <f t="shared" si="67"/>
        <v>რ</v>
      </c>
    </row>
    <row r="4321" spans="1:2" x14ac:dyDescent="0.25">
      <c r="A4321">
        <v>4321</v>
      </c>
      <c r="B4321" t="str">
        <f t="shared" si="67"/>
        <v>ს</v>
      </c>
    </row>
    <row r="4322" spans="1:2" x14ac:dyDescent="0.25">
      <c r="A4322">
        <v>4322</v>
      </c>
      <c r="B4322" t="str">
        <f t="shared" si="67"/>
        <v>ტ</v>
      </c>
    </row>
    <row r="4323" spans="1:2" x14ac:dyDescent="0.25">
      <c r="A4323">
        <v>4323</v>
      </c>
      <c r="B4323" t="str">
        <f t="shared" si="67"/>
        <v>უ</v>
      </c>
    </row>
    <row r="4324" spans="1:2" x14ac:dyDescent="0.25">
      <c r="A4324">
        <v>4324</v>
      </c>
      <c r="B4324" t="str">
        <f t="shared" si="67"/>
        <v>ფ</v>
      </c>
    </row>
    <row r="4325" spans="1:2" x14ac:dyDescent="0.25">
      <c r="A4325">
        <v>4325</v>
      </c>
      <c r="B4325" t="str">
        <f t="shared" si="67"/>
        <v>ქ</v>
      </c>
    </row>
    <row r="4326" spans="1:2" x14ac:dyDescent="0.25">
      <c r="A4326">
        <v>4326</v>
      </c>
      <c r="B4326" t="str">
        <f t="shared" si="67"/>
        <v>ღ</v>
      </c>
    </row>
    <row r="4327" spans="1:2" x14ac:dyDescent="0.25">
      <c r="A4327">
        <v>4327</v>
      </c>
      <c r="B4327" t="str">
        <f t="shared" si="67"/>
        <v>ყ</v>
      </c>
    </row>
    <row r="4328" spans="1:2" x14ac:dyDescent="0.25">
      <c r="A4328">
        <v>4328</v>
      </c>
      <c r="B4328" t="str">
        <f t="shared" si="67"/>
        <v>შ</v>
      </c>
    </row>
    <row r="4329" spans="1:2" x14ac:dyDescent="0.25">
      <c r="A4329">
        <v>4329</v>
      </c>
      <c r="B4329" t="str">
        <f t="shared" si="67"/>
        <v>ჩ</v>
      </c>
    </row>
    <row r="4330" spans="1:2" x14ac:dyDescent="0.25">
      <c r="A4330">
        <v>4330</v>
      </c>
      <c r="B4330" t="str">
        <f t="shared" si="67"/>
        <v>ც</v>
      </c>
    </row>
    <row r="4331" spans="1:2" x14ac:dyDescent="0.25">
      <c r="A4331">
        <v>4331</v>
      </c>
      <c r="B4331" t="str">
        <f t="shared" si="67"/>
        <v>ძ</v>
      </c>
    </row>
    <row r="4332" spans="1:2" x14ac:dyDescent="0.25">
      <c r="A4332">
        <v>4332</v>
      </c>
      <c r="B4332" t="str">
        <f t="shared" si="67"/>
        <v>წ</v>
      </c>
    </row>
    <row r="4333" spans="1:2" x14ac:dyDescent="0.25">
      <c r="A4333">
        <v>4333</v>
      </c>
      <c r="B4333" t="str">
        <f t="shared" si="67"/>
        <v>ჭ</v>
      </c>
    </row>
    <row r="4334" spans="1:2" x14ac:dyDescent="0.25">
      <c r="A4334">
        <v>4334</v>
      </c>
      <c r="B4334" t="str">
        <f t="shared" si="67"/>
        <v>ხ</v>
      </c>
    </row>
    <row r="4335" spans="1:2" x14ac:dyDescent="0.25">
      <c r="A4335">
        <v>4335</v>
      </c>
      <c r="B4335" t="str">
        <f t="shared" si="67"/>
        <v>ჯ</v>
      </c>
    </row>
    <row r="4336" spans="1:2" x14ac:dyDescent="0.25">
      <c r="A4336">
        <v>4336</v>
      </c>
      <c r="B4336" t="str">
        <f t="shared" si="67"/>
        <v>ჰ</v>
      </c>
    </row>
    <row r="4337" spans="1:2" x14ac:dyDescent="0.25">
      <c r="A4337">
        <v>4337</v>
      </c>
      <c r="B4337" t="str">
        <f t="shared" si="67"/>
        <v>ჱ</v>
      </c>
    </row>
    <row r="4338" spans="1:2" x14ac:dyDescent="0.25">
      <c r="A4338">
        <v>4338</v>
      </c>
      <c r="B4338" t="str">
        <f t="shared" si="67"/>
        <v>ჲ</v>
      </c>
    </row>
    <row r="4339" spans="1:2" x14ac:dyDescent="0.25">
      <c r="A4339">
        <v>4339</v>
      </c>
      <c r="B4339" t="str">
        <f t="shared" si="67"/>
        <v>ჳ</v>
      </c>
    </row>
    <row r="4340" spans="1:2" x14ac:dyDescent="0.25">
      <c r="A4340">
        <v>4340</v>
      </c>
      <c r="B4340" t="str">
        <f t="shared" si="67"/>
        <v>ჴ</v>
      </c>
    </row>
    <row r="4341" spans="1:2" x14ac:dyDescent="0.25">
      <c r="A4341">
        <v>4341</v>
      </c>
      <c r="B4341" t="str">
        <f t="shared" si="67"/>
        <v>ჵ</v>
      </c>
    </row>
    <row r="4342" spans="1:2" x14ac:dyDescent="0.25">
      <c r="A4342">
        <v>4342</v>
      </c>
      <c r="B4342" t="str">
        <f t="shared" si="67"/>
        <v>ჶ</v>
      </c>
    </row>
    <row r="4343" spans="1:2" x14ac:dyDescent="0.25">
      <c r="A4343">
        <v>4343</v>
      </c>
      <c r="B4343" t="str">
        <f t="shared" si="67"/>
        <v>ჷ</v>
      </c>
    </row>
    <row r="4344" spans="1:2" x14ac:dyDescent="0.25">
      <c r="A4344">
        <v>4344</v>
      </c>
      <c r="B4344" t="str">
        <f t="shared" si="67"/>
        <v>ჸ</v>
      </c>
    </row>
    <row r="4345" spans="1:2" x14ac:dyDescent="0.25">
      <c r="A4345">
        <v>4345</v>
      </c>
      <c r="B4345" t="str">
        <f t="shared" si="67"/>
        <v>ჹ</v>
      </c>
    </row>
    <row r="4346" spans="1:2" x14ac:dyDescent="0.25">
      <c r="A4346">
        <v>4346</v>
      </c>
      <c r="B4346" t="str">
        <f t="shared" si="67"/>
        <v>ჺ</v>
      </c>
    </row>
    <row r="4347" spans="1:2" x14ac:dyDescent="0.25">
      <c r="A4347">
        <v>4347</v>
      </c>
      <c r="B4347" t="str">
        <f t="shared" si="67"/>
        <v>჻</v>
      </c>
    </row>
    <row r="4348" spans="1:2" x14ac:dyDescent="0.25">
      <c r="A4348">
        <v>4348</v>
      </c>
      <c r="B4348" t="str">
        <f t="shared" si="67"/>
        <v>ჼ</v>
      </c>
    </row>
    <row r="4349" spans="1:2" x14ac:dyDescent="0.25">
      <c r="A4349">
        <v>4349</v>
      </c>
      <c r="B4349" t="str">
        <f t="shared" si="67"/>
        <v>ჽ</v>
      </c>
    </row>
    <row r="4350" spans="1:2" x14ac:dyDescent="0.25">
      <c r="A4350">
        <v>4350</v>
      </c>
      <c r="B4350" t="str">
        <f t="shared" si="67"/>
        <v>ჾ</v>
      </c>
    </row>
    <row r="4351" spans="1:2" x14ac:dyDescent="0.25">
      <c r="A4351">
        <v>4351</v>
      </c>
      <c r="B4351" t="str">
        <f t="shared" si="67"/>
        <v>ჿ</v>
      </c>
    </row>
    <row r="4352" spans="1:2" x14ac:dyDescent="0.25">
      <c r="A4352">
        <v>4352</v>
      </c>
      <c r="B4352" t="str">
        <f t="shared" si="67"/>
        <v>ᄀ</v>
      </c>
    </row>
    <row r="4353" spans="1:2" x14ac:dyDescent="0.25">
      <c r="A4353">
        <v>4353</v>
      </c>
      <c r="B4353" t="str">
        <f t="shared" si="67"/>
        <v>ᄁ</v>
      </c>
    </row>
    <row r="4354" spans="1:2" x14ac:dyDescent="0.25">
      <c r="A4354">
        <v>4354</v>
      </c>
      <c r="B4354" t="str">
        <f t="shared" ref="B4354:B4417" si="68">_xlfn.UNICHAR(A4354)</f>
        <v>ᄂ</v>
      </c>
    </row>
    <row r="4355" spans="1:2" x14ac:dyDescent="0.25">
      <c r="A4355">
        <v>4355</v>
      </c>
      <c r="B4355" t="str">
        <f t="shared" si="68"/>
        <v>ᄃ</v>
      </c>
    </row>
    <row r="4356" spans="1:2" x14ac:dyDescent="0.25">
      <c r="A4356">
        <v>4356</v>
      </c>
      <c r="B4356" t="str">
        <f t="shared" si="68"/>
        <v>ᄄ</v>
      </c>
    </row>
    <row r="4357" spans="1:2" x14ac:dyDescent="0.25">
      <c r="A4357">
        <v>4357</v>
      </c>
      <c r="B4357" t="str">
        <f t="shared" si="68"/>
        <v>ᄅ</v>
      </c>
    </row>
    <row r="4358" spans="1:2" x14ac:dyDescent="0.25">
      <c r="A4358">
        <v>4358</v>
      </c>
      <c r="B4358" t="str">
        <f t="shared" si="68"/>
        <v>ᄆ</v>
      </c>
    </row>
    <row r="4359" spans="1:2" x14ac:dyDescent="0.25">
      <c r="A4359">
        <v>4359</v>
      </c>
      <c r="B4359" t="str">
        <f t="shared" si="68"/>
        <v>ᄇ</v>
      </c>
    </row>
    <row r="4360" spans="1:2" x14ac:dyDescent="0.25">
      <c r="A4360">
        <v>4360</v>
      </c>
      <c r="B4360" t="str">
        <f t="shared" si="68"/>
        <v>ᄈ</v>
      </c>
    </row>
    <row r="4361" spans="1:2" x14ac:dyDescent="0.25">
      <c r="A4361">
        <v>4361</v>
      </c>
      <c r="B4361" t="str">
        <f t="shared" si="68"/>
        <v>ᄉ</v>
      </c>
    </row>
    <row r="4362" spans="1:2" x14ac:dyDescent="0.25">
      <c r="A4362">
        <v>4362</v>
      </c>
      <c r="B4362" t="str">
        <f t="shared" si="68"/>
        <v>ᄊ</v>
      </c>
    </row>
    <row r="4363" spans="1:2" x14ac:dyDescent="0.25">
      <c r="A4363">
        <v>4363</v>
      </c>
      <c r="B4363" t="str">
        <f t="shared" si="68"/>
        <v>ᄋ</v>
      </c>
    </row>
    <row r="4364" spans="1:2" x14ac:dyDescent="0.25">
      <c r="A4364">
        <v>4364</v>
      </c>
      <c r="B4364" t="str">
        <f t="shared" si="68"/>
        <v>ᄌ</v>
      </c>
    </row>
    <row r="4365" spans="1:2" x14ac:dyDescent="0.25">
      <c r="A4365">
        <v>4365</v>
      </c>
      <c r="B4365" t="str">
        <f t="shared" si="68"/>
        <v>ᄍ</v>
      </c>
    </row>
    <row r="4366" spans="1:2" x14ac:dyDescent="0.25">
      <c r="A4366">
        <v>4366</v>
      </c>
      <c r="B4366" t="str">
        <f t="shared" si="68"/>
        <v>ᄎ</v>
      </c>
    </row>
    <row r="4367" spans="1:2" x14ac:dyDescent="0.25">
      <c r="A4367">
        <v>4367</v>
      </c>
      <c r="B4367" t="str">
        <f t="shared" si="68"/>
        <v>ᄏ</v>
      </c>
    </row>
    <row r="4368" spans="1:2" x14ac:dyDescent="0.25">
      <c r="A4368">
        <v>4368</v>
      </c>
      <c r="B4368" t="str">
        <f t="shared" si="68"/>
        <v>ᄐ</v>
      </c>
    </row>
    <row r="4369" spans="1:2" x14ac:dyDescent="0.25">
      <c r="A4369">
        <v>4369</v>
      </c>
      <c r="B4369" t="str">
        <f t="shared" si="68"/>
        <v>ᄑ</v>
      </c>
    </row>
    <row r="4370" spans="1:2" x14ac:dyDescent="0.25">
      <c r="A4370">
        <v>4370</v>
      </c>
      <c r="B4370" t="str">
        <f t="shared" si="68"/>
        <v>ᄒ</v>
      </c>
    </row>
    <row r="4371" spans="1:2" x14ac:dyDescent="0.25">
      <c r="A4371">
        <v>4371</v>
      </c>
      <c r="B4371" t="str">
        <f t="shared" si="68"/>
        <v>ᄓ</v>
      </c>
    </row>
    <row r="4372" spans="1:2" x14ac:dyDescent="0.25">
      <c r="A4372">
        <v>4372</v>
      </c>
      <c r="B4372" t="str">
        <f t="shared" si="68"/>
        <v>ᄔ</v>
      </c>
    </row>
    <row r="4373" spans="1:2" x14ac:dyDescent="0.25">
      <c r="A4373">
        <v>4373</v>
      </c>
      <c r="B4373" t="str">
        <f t="shared" si="68"/>
        <v>ᄕ</v>
      </c>
    </row>
    <row r="4374" spans="1:2" x14ac:dyDescent="0.25">
      <c r="A4374">
        <v>4374</v>
      </c>
      <c r="B4374" t="str">
        <f t="shared" si="68"/>
        <v>ᄖ</v>
      </c>
    </row>
    <row r="4375" spans="1:2" x14ac:dyDescent="0.25">
      <c r="A4375">
        <v>4375</v>
      </c>
      <c r="B4375" t="str">
        <f t="shared" si="68"/>
        <v>ᄗ</v>
      </c>
    </row>
    <row r="4376" spans="1:2" x14ac:dyDescent="0.25">
      <c r="A4376">
        <v>4376</v>
      </c>
      <c r="B4376" t="str">
        <f t="shared" si="68"/>
        <v>ᄘ</v>
      </c>
    </row>
    <row r="4377" spans="1:2" x14ac:dyDescent="0.25">
      <c r="A4377">
        <v>4377</v>
      </c>
      <c r="B4377" t="str">
        <f t="shared" si="68"/>
        <v>ᄙ</v>
      </c>
    </row>
    <row r="4378" spans="1:2" x14ac:dyDescent="0.25">
      <c r="A4378">
        <v>4378</v>
      </c>
      <c r="B4378" t="str">
        <f t="shared" si="68"/>
        <v>ᄚ</v>
      </c>
    </row>
    <row r="4379" spans="1:2" x14ac:dyDescent="0.25">
      <c r="A4379">
        <v>4379</v>
      </c>
      <c r="B4379" t="str">
        <f t="shared" si="68"/>
        <v>ᄛ</v>
      </c>
    </row>
    <row r="4380" spans="1:2" x14ac:dyDescent="0.25">
      <c r="A4380">
        <v>4380</v>
      </c>
      <c r="B4380" t="str">
        <f t="shared" si="68"/>
        <v>ᄜ</v>
      </c>
    </row>
    <row r="4381" spans="1:2" x14ac:dyDescent="0.25">
      <c r="A4381">
        <v>4381</v>
      </c>
      <c r="B4381" t="str">
        <f t="shared" si="68"/>
        <v>ᄝ</v>
      </c>
    </row>
    <row r="4382" spans="1:2" x14ac:dyDescent="0.25">
      <c r="A4382">
        <v>4382</v>
      </c>
      <c r="B4382" t="str">
        <f t="shared" si="68"/>
        <v>ᄞ</v>
      </c>
    </row>
    <row r="4383" spans="1:2" x14ac:dyDescent="0.25">
      <c r="A4383">
        <v>4383</v>
      </c>
      <c r="B4383" t="str">
        <f t="shared" si="68"/>
        <v>ᄟ</v>
      </c>
    </row>
    <row r="4384" spans="1:2" x14ac:dyDescent="0.25">
      <c r="A4384">
        <v>4384</v>
      </c>
      <c r="B4384" t="str">
        <f t="shared" si="68"/>
        <v>ᄠ</v>
      </c>
    </row>
    <row r="4385" spans="1:2" x14ac:dyDescent="0.25">
      <c r="A4385">
        <v>4385</v>
      </c>
      <c r="B4385" t="str">
        <f t="shared" si="68"/>
        <v>ᄡ</v>
      </c>
    </row>
    <row r="4386" spans="1:2" x14ac:dyDescent="0.25">
      <c r="A4386">
        <v>4386</v>
      </c>
      <c r="B4386" t="str">
        <f t="shared" si="68"/>
        <v>ᄢ</v>
      </c>
    </row>
    <row r="4387" spans="1:2" x14ac:dyDescent="0.25">
      <c r="A4387">
        <v>4387</v>
      </c>
      <c r="B4387" t="str">
        <f t="shared" si="68"/>
        <v>ᄣ</v>
      </c>
    </row>
    <row r="4388" spans="1:2" x14ac:dyDescent="0.25">
      <c r="A4388">
        <v>4388</v>
      </c>
      <c r="B4388" t="str">
        <f t="shared" si="68"/>
        <v>ᄤ</v>
      </c>
    </row>
    <row r="4389" spans="1:2" x14ac:dyDescent="0.25">
      <c r="A4389">
        <v>4389</v>
      </c>
      <c r="B4389" t="str">
        <f t="shared" si="68"/>
        <v>ᄥ</v>
      </c>
    </row>
    <row r="4390" spans="1:2" x14ac:dyDescent="0.25">
      <c r="A4390">
        <v>4390</v>
      </c>
      <c r="B4390" t="str">
        <f t="shared" si="68"/>
        <v>ᄦ</v>
      </c>
    </row>
    <row r="4391" spans="1:2" x14ac:dyDescent="0.25">
      <c r="A4391">
        <v>4391</v>
      </c>
      <c r="B4391" t="str">
        <f t="shared" si="68"/>
        <v>ᄧ</v>
      </c>
    </row>
    <row r="4392" spans="1:2" x14ac:dyDescent="0.25">
      <c r="A4392">
        <v>4392</v>
      </c>
      <c r="B4392" t="str">
        <f t="shared" si="68"/>
        <v>ᄨ</v>
      </c>
    </row>
    <row r="4393" spans="1:2" x14ac:dyDescent="0.25">
      <c r="A4393">
        <v>4393</v>
      </c>
      <c r="B4393" t="str">
        <f t="shared" si="68"/>
        <v>ᄩ</v>
      </c>
    </row>
    <row r="4394" spans="1:2" x14ac:dyDescent="0.25">
      <c r="A4394">
        <v>4394</v>
      </c>
      <c r="B4394" t="str">
        <f t="shared" si="68"/>
        <v>ᄪ</v>
      </c>
    </row>
    <row r="4395" spans="1:2" x14ac:dyDescent="0.25">
      <c r="A4395">
        <v>4395</v>
      </c>
      <c r="B4395" t="str">
        <f t="shared" si="68"/>
        <v>ᄫ</v>
      </c>
    </row>
    <row r="4396" spans="1:2" x14ac:dyDescent="0.25">
      <c r="A4396">
        <v>4396</v>
      </c>
      <c r="B4396" t="str">
        <f t="shared" si="68"/>
        <v>ᄬ</v>
      </c>
    </row>
    <row r="4397" spans="1:2" x14ac:dyDescent="0.25">
      <c r="A4397">
        <v>4397</v>
      </c>
      <c r="B4397" t="str">
        <f t="shared" si="68"/>
        <v>ᄭ</v>
      </c>
    </row>
    <row r="4398" spans="1:2" x14ac:dyDescent="0.25">
      <c r="A4398">
        <v>4398</v>
      </c>
      <c r="B4398" t="str">
        <f t="shared" si="68"/>
        <v>ᄮ</v>
      </c>
    </row>
    <row r="4399" spans="1:2" x14ac:dyDescent="0.25">
      <c r="A4399">
        <v>4399</v>
      </c>
      <c r="B4399" t="str">
        <f t="shared" si="68"/>
        <v>ᄯ</v>
      </c>
    </row>
    <row r="4400" spans="1:2" x14ac:dyDescent="0.25">
      <c r="A4400">
        <v>4400</v>
      </c>
      <c r="B4400" t="str">
        <f t="shared" si="68"/>
        <v>ᄰ</v>
      </c>
    </row>
    <row r="4401" spans="1:2" x14ac:dyDescent="0.25">
      <c r="A4401">
        <v>4401</v>
      </c>
      <c r="B4401" t="str">
        <f t="shared" si="68"/>
        <v>ᄱ</v>
      </c>
    </row>
    <row r="4402" spans="1:2" x14ac:dyDescent="0.25">
      <c r="A4402">
        <v>4402</v>
      </c>
      <c r="B4402" t="str">
        <f t="shared" si="68"/>
        <v>ᄲ</v>
      </c>
    </row>
    <row r="4403" spans="1:2" x14ac:dyDescent="0.25">
      <c r="A4403">
        <v>4403</v>
      </c>
      <c r="B4403" t="str">
        <f t="shared" si="68"/>
        <v>ᄳ</v>
      </c>
    </row>
    <row r="4404" spans="1:2" x14ac:dyDescent="0.25">
      <c r="A4404">
        <v>4404</v>
      </c>
      <c r="B4404" t="str">
        <f t="shared" si="68"/>
        <v>ᄴ</v>
      </c>
    </row>
    <row r="4405" spans="1:2" x14ac:dyDescent="0.25">
      <c r="A4405">
        <v>4405</v>
      </c>
      <c r="B4405" t="str">
        <f t="shared" si="68"/>
        <v>ᄵ</v>
      </c>
    </row>
    <row r="4406" spans="1:2" x14ac:dyDescent="0.25">
      <c r="A4406">
        <v>4406</v>
      </c>
      <c r="B4406" t="str">
        <f t="shared" si="68"/>
        <v>ᄶ</v>
      </c>
    </row>
    <row r="4407" spans="1:2" x14ac:dyDescent="0.25">
      <c r="A4407">
        <v>4407</v>
      </c>
      <c r="B4407" t="str">
        <f t="shared" si="68"/>
        <v>ᄷ</v>
      </c>
    </row>
    <row r="4408" spans="1:2" x14ac:dyDescent="0.25">
      <c r="A4408">
        <v>4408</v>
      </c>
      <c r="B4408" t="str">
        <f t="shared" si="68"/>
        <v>ᄸ</v>
      </c>
    </row>
    <row r="4409" spans="1:2" x14ac:dyDescent="0.25">
      <c r="A4409">
        <v>4409</v>
      </c>
      <c r="B4409" t="str">
        <f t="shared" si="68"/>
        <v>ᄹ</v>
      </c>
    </row>
    <row r="4410" spans="1:2" x14ac:dyDescent="0.25">
      <c r="A4410">
        <v>4410</v>
      </c>
      <c r="B4410" t="str">
        <f t="shared" si="68"/>
        <v>ᄺ</v>
      </c>
    </row>
    <row r="4411" spans="1:2" x14ac:dyDescent="0.25">
      <c r="A4411">
        <v>4411</v>
      </c>
      <c r="B4411" t="str">
        <f t="shared" si="68"/>
        <v>ᄻ</v>
      </c>
    </row>
    <row r="4412" spans="1:2" x14ac:dyDescent="0.25">
      <c r="A4412">
        <v>4412</v>
      </c>
      <c r="B4412" t="str">
        <f t="shared" si="68"/>
        <v>ᄼ</v>
      </c>
    </row>
    <row r="4413" spans="1:2" x14ac:dyDescent="0.25">
      <c r="A4413">
        <v>4413</v>
      </c>
      <c r="B4413" t="str">
        <f t="shared" si="68"/>
        <v>ᄽ</v>
      </c>
    </row>
    <row r="4414" spans="1:2" x14ac:dyDescent="0.25">
      <c r="A4414">
        <v>4414</v>
      </c>
      <c r="B4414" t="str">
        <f t="shared" si="68"/>
        <v>ᄾ</v>
      </c>
    </row>
    <row r="4415" spans="1:2" x14ac:dyDescent="0.25">
      <c r="A4415">
        <v>4415</v>
      </c>
      <c r="B4415" t="str">
        <f t="shared" si="68"/>
        <v>ᄿ</v>
      </c>
    </row>
    <row r="4416" spans="1:2" x14ac:dyDescent="0.25">
      <c r="A4416">
        <v>4416</v>
      </c>
      <c r="B4416" t="str">
        <f t="shared" si="68"/>
        <v>ᅀ</v>
      </c>
    </row>
    <row r="4417" spans="1:2" x14ac:dyDescent="0.25">
      <c r="A4417">
        <v>4417</v>
      </c>
      <c r="B4417" t="str">
        <f t="shared" si="68"/>
        <v>ᅁ</v>
      </c>
    </row>
    <row r="4418" spans="1:2" x14ac:dyDescent="0.25">
      <c r="A4418">
        <v>4418</v>
      </c>
      <c r="B4418" t="str">
        <f t="shared" ref="B4418:B4481" si="69">_xlfn.UNICHAR(A4418)</f>
        <v>ᅂ</v>
      </c>
    </row>
    <row r="4419" spans="1:2" x14ac:dyDescent="0.25">
      <c r="A4419">
        <v>4419</v>
      </c>
      <c r="B4419" t="str">
        <f t="shared" si="69"/>
        <v>ᅃ</v>
      </c>
    </row>
    <row r="4420" spans="1:2" x14ac:dyDescent="0.25">
      <c r="A4420">
        <v>4420</v>
      </c>
      <c r="B4420" t="str">
        <f t="shared" si="69"/>
        <v>ᅄ</v>
      </c>
    </row>
    <row r="4421" spans="1:2" x14ac:dyDescent="0.25">
      <c r="A4421">
        <v>4421</v>
      </c>
      <c r="B4421" t="str">
        <f t="shared" si="69"/>
        <v>ᅅ</v>
      </c>
    </row>
    <row r="4422" spans="1:2" x14ac:dyDescent="0.25">
      <c r="A4422">
        <v>4422</v>
      </c>
      <c r="B4422" t="str">
        <f t="shared" si="69"/>
        <v>ᅆ</v>
      </c>
    </row>
    <row r="4423" spans="1:2" x14ac:dyDescent="0.25">
      <c r="A4423">
        <v>4423</v>
      </c>
      <c r="B4423" t="str">
        <f t="shared" si="69"/>
        <v>ᅇ</v>
      </c>
    </row>
    <row r="4424" spans="1:2" x14ac:dyDescent="0.25">
      <c r="A4424">
        <v>4424</v>
      </c>
      <c r="B4424" t="str">
        <f t="shared" si="69"/>
        <v>ᅈ</v>
      </c>
    </row>
    <row r="4425" spans="1:2" x14ac:dyDescent="0.25">
      <c r="A4425">
        <v>4425</v>
      </c>
      <c r="B4425" t="str">
        <f t="shared" si="69"/>
        <v>ᅉ</v>
      </c>
    </row>
    <row r="4426" spans="1:2" x14ac:dyDescent="0.25">
      <c r="A4426">
        <v>4426</v>
      </c>
      <c r="B4426" t="str">
        <f t="shared" si="69"/>
        <v>ᅊ</v>
      </c>
    </row>
    <row r="4427" spans="1:2" x14ac:dyDescent="0.25">
      <c r="A4427">
        <v>4427</v>
      </c>
      <c r="B4427" t="str">
        <f t="shared" si="69"/>
        <v>ᅋ</v>
      </c>
    </row>
    <row r="4428" spans="1:2" x14ac:dyDescent="0.25">
      <c r="A4428">
        <v>4428</v>
      </c>
      <c r="B4428" t="str">
        <f t="shared" si="69"/>
        <v>ᅌ</v>
      </c>
    </row>
    <row r="4429" spans="1:2" x14ac:dyDescent="0.25">
      <c r="A4429">
        <v>4429</v>
      </c>
      <c r="B4429" t="str">
        <f t="shared" si="69"/>
        <v>ᅍ</v>
      </c>
    </row>
    <row r="4430" spans="1:2" x14ac:dyDescent="0.25">
      <c r="A4430">
        <v>4430</v>
      </c>
      <c r="B4430" t="str">
        <f t="shared" si="69"/>
        <v>ᅎ</v>
      </c>
    </row>
    <row r="4431" spans="1:2" x14ac:dyDescent="0.25">
      <c r="A4431">
        <v>4431</v>
      </c>
      <c r="B4431" t="str">
        <f t="shared" si="69"/>
        <v>ᅏ</v>
      </c>
    </row>
    <row r="4432" spans="1:2" x14ac:dyDescent="0.25">
      <c r="A4432">
        <v>4432</v>
      </c>
      <c r="B4432" t="str">
        <f t="shared" si="69"/>
        <v>ᅐ</v>
      </c>
    </row>
    <row r="4433" spans="1:2" x14ac:dyDescent="0.25">
      <c r="A4433">
        <v>4433</v>
      </c>
      <c r="B4433" t="str">
        <f t="shared" si="69"/>
        <v>ᅑ</v>
      </c>
    </row>
    <row r="4434" spans="1:2" x14ac:dyDescent="0.25">
      <c r="A4434">
        <v>4434</v>
      </c>
      <c r="B4434" t="str">
        <f t="shared" si="69"/>
        <v>ᅒ</v>
      </c>
    </row>
    <row r="4435" spans="1:2" x14ac:dyDescent="0.25">
      <c r="A4435">
        <v>4435</v>
      </c>
      <c r="B4435" t="str">
        <f t="shared" si="69"/>
        <v>ᅓ</v>
      </c>
    </row>
    <row r="4436" spans="1:2" x14ac:dyDescent="0.25">
      <c r="A4436">
        <v>4436</v>
      </c>
      <c r="B4436" t="str">
        <f t="shared" si="69"/>
        <v>ᅔ</v>
      </c>
    </row>
    <row r="4437" spans="1:2" x14ac:dyDescent="0.25">
      <c r="A4437">
        <v>4437</v>
      </c>
      <c r="B4437" t="str">
        <f t="shared" si="69"/>
        <v>ᅕ</v>
      </c>
    </row>
    <row r="4438" spans="1:2" x14ac:dyDescent="0.25">
      <c r="A4438">
        <v>4438</v>
      </c>
      <c r="B4438" t="str">
        <f t="shared" si="69"/>
        <v>ᅖ</v>
      </c>
    </row>
    <row r="4439" spans="1:2" x14ac:dyDescent="0.25">
      <c r="A4439">
        <v>4439</v>
      </c>
      <c r="B4439" t="str">
        <f t="shared" si="69"/>
        <v>ᅗ</v>
      </c>
    </row>
    <row r="4440" spans="1:2" x14ac:dyDescent="0.25">
      <c r="A4440">
        <v>4440</v>
      </c>
      <c r="B4440" t="str">
        <f t="shared" si="69"/>
        <v>ᅘ</v>
      </c>
    </row>
    <row r="4441" spans="1:2" x14ac:dyDescent="0.25">
      <c r="A4441">
        <v>4441</v>
      </c>
      <c r="B4441" t="str">
        <f t="shared" si="69"/>
        <v>ᅙ</v>
      </c>
    </row>
    <row r="4442" spans="1:2" x14ac:dyDescent="0.25">
      <c r="A4442">
        <v>4442</v>
      </c>
      <c r="B4442" t="str">
        <f t="shared" si="69"/>
        <v>ᅚ</v>
      </c>
    </row>
    <row r="4443" spans="1:2" x14ac:dyDescent="0.25">
      <c r="A4443">
        <v>4443</v>
      </c>
      <c r="B4443" t="str">
        <f t="shared" si="69"/>
        <v>ᅛ</v>
      </c>
    </row>
    <row r="4444" spans="1:2" x14ac:dyDescent="0.25">
      <c r="A4444">
        <v>4444</v>
      </c>
      <c r="B4444" t="str">
        <f t="shared" si="69"/>
        <v>ᅜ</v>
      </c>
    </row>
    <row r="4445" spans="1:2" x14ac:dyDescent="0.25">
      <c r="A4445">
        <v>4445</v>
      </c>
      <c r="B4445" t="str">
        <f t="shared" si="69"/>
        <v>ᅝ</v>
      </c>
    </row>
    <row r="4446" spans="1:2" x14ac:dyDescent="0.25">
      <c r="A4446">
        <v>4446</v>
      </c>
      <c r="B4446" t="str">
        <f t="shared" si="69"/>
        <v>ᅞ</v>
      </c>
    </row>
    <row r="4447" spans="1:2" x14ac:dyDescent="0.25">
      <c r="A4447">
        <v>4447</v>
      </c>
      <c r="B4447" t="str">
        <f t="shared" si="69"/>
        <v>ᅟ</v>
      </c>
    </row>
    <row r="4448" spans="1:2" x14ac:dyDescent="0.25">
      <c r="A4448">
        <v>4448</v>
      </c>
      <c r="B4448" t="str">
        <f t="shared" si="69"/>
        <v>ᅠ</v>
      </c>
    </row>
    <row r="4449" spans="1:2" x14ac:dyDescent="0.25">
      <c r="A4449">
        <v>4449</v>
      </c>
      <c r="B4449" t="str">
        <f t="shared" si="69"/>
        <v>ᅡ</v>
      </c>
    </row>
    <row r="4450" spans="1:2" x14ac:dyDescent="0.25">
      <c r="A4450">
        <v>4450</v>
      </c>
      <c r="B4450" t="str">
        <f t="shared" si="69"/>
        <v>ᅢ</v>
      </c>
    </row>
    <row r="4451" spans="1:2" x14ac:dyDescent="0.25">
      <c r="A4451">
        <v>4451</v>
      </c>
      <c r="B4451" t="str">
        <f t="shared" si="69"/>
        <v>ᅣ</v>
      </c>
    </row>
    <row r="4452" spans="1:2" x14ac:dyDescent="0.25">
      <c r="A4452">
        <v>4452</v>
      </c>
      <c r="B4452" t="str">
        <f t="shared" si="69"/>
        <v>ᅤ</v>
      </c>
    </row>
    <row r="4453" spans="1:2" x14ac:dyDescent="0.25">
      <c r="A4453">
        <v>4453</v>
      </c>
      <c r="B4453" t="str">
        <f t="shared" si="69"/>
        <v>ᅥ</v>
      </c>
    </row>
    <row r="4454" spans="1:2" x14ac:dyDescent="0.25">
      <c r="A4454">
        <v>4454</v>
      </c>
      <c r="B4454" t="str">
        <f t="shared" si="69"/>
        <v>ᅦ</v>
      </c>
    </row>
    <row r="4455" spans="1:2" x14ac:dyDescent="0.25">
      <c r="A4455">
        <v>4455</v>
      </c>
      <c r="B4455" t="str">
        <f t="shared" si="69"/>
        <v>ᅧ</v>
      </c>
    </row>
    <row r="4456" spans="1:2" x14ac:dyDescent="0.25">
      <c r="A4456">
        <v>4456</v>
      </c>
      <c r="B4456" t="str">
        <f t="shared" si="69"/>
        <v>ᅨ</v>
      </c>
    </row>
    <row r="4457" spans="1:2" x14ac:dyDescent="0.25">
      <c r="A4457">
        <v>4457</v>
      </c>
      <c r="B4457" t="str">
        <f t="shared" si="69"/>
        <v>ᅩ</v>
      </c>
    </row>
    <row r="4458" spans="1:2" x14ac:dyDescent="0.25">
      <c r="A4458">
        <v>4458</v>
      </c>
      <c r="B4458" t="str">
        <f t="shared" si="69"/>
        <v>ᅪ</v>
      </c>
    </row>
    <row r="4459" spans="1:2" x14ac:dyDescent="0.25">
      <c r="A4459">
        <v>4459</v>
      </c>
      <c r="B4459" t="str">
        <f t="shared" si="69"/>
        <v>ᅫ</v>
      </c>
    </row>
    <row r="4460" spans="1:2" x14ac:dyDescent="0.25">
      <c r="A4460">
        <v>4460</v>
      </c>
      <c r="B4460" t="str">
        <f t="shared" si="69"/>
        <v>ᅬ</v>
      </c>
    </row>
    <row r="4461" spans="1:2" x14ac:dyDescent="0.25">
      <c r="A4461">
        <v>4461</v>
      </c>
      <c r="B4461" t="str">
        <f t="shared" si="69"/>
        <v>ᅭ</v>
      </c>
    </row>
    <row r="4462" spans="1:2" x14ac:dyDescent="0.25">
      <c r="A4462">
        <v>4462</v>
      </c>
      <c r="B4462" t="str">
        <f t="shared" si="69"/>
        <v>ᅮ</v>
      </c>
    </row>
    <row r="4463" spans="1:2" x14ac:dyDescent="0.25">
      <c r="A4463">
        <v>4463</v>
      </c>
      <c r="B4463" t="str">
        <f t="shared" si="69"/>
        <v>ᅯ</v>
      </c>
    </row>
    <row r="4464" spans="1:2" x14ac:dyDescent="0.25">
      <c r="A4464">
        <v>4464</v>
      </c>
      <c r="B4464" t="str">
        <f t="shared" si="69"/>
        <v>ᅰ</v>
      </c>
    </row>
    <row r="4465" spans="1:2" x14ac:dyDescent="0.25">
      <c r="A4465">
        <v>4465</v>
      </c>
      <c r="B4465" t="str">
        <f t="shared" si="69"/>
        <v>ᅱ</v>
      </c>
    </row>
    <row r="4466" spans="1:2" x14ac:dyDescent="0.25">
      <c r="A4466">
        <v>4466</v>
      </c>
      <c r="B4466" t="str">
        <f t="shared" si="69"/>
        <v>ᅲ</v>
      </c>
    </row>
    <row r="4467" spans="1:2" x14ac:dyDescent="0.25">
      <c r="A4467">
        <v>4467</v>
      </c>
      <c r="B4467" t="str">
        <f t="shared" si="69"/>
        <v>ᅳ</v>
      </c>
    </row>
    <row r="4468" spans="1:2" x14ac:dyDescent="0.25">
      <c r="A4468">
        <v>4468</v>
      </c>
      <c r="B4468" t="str">
        <f t="shared" si="69"/>
        <v>ᅴ</v>
      </c>
    </row>
    <row r="4469" spans="1:2" x14ac:dyDescent="0.25">
      <c r="A4469">
        <v>4469</v>
      </c>
      <c r="B4469" t="str">
        <f t="shared" si="69"/>
        <v>ᅵ</v>
      </c>
    </row>
    <row r="4470" spans="1:2" x14ac:dyDescent="0.25">
      <c r="A4470">
        <v>4470</v>
      </c>
      <c r="B4470" t="str">
        <f t="shared" si="69"/>
        <v>ᅶ</v>
      </c>
    </row>
    <row r="4471" spans="1:2" x14ac:dyDescent="0.25">
      <c r="A4471">
        <v>4471</v>
      </c>
      <c r="B4471" t="str">
        <f t="shared" si="69"/>
        <v>ᅷ</v>
      </c>
    </row>
    <row r="4472" spans="1:2" x14ac:dyDescent="0.25">
      <c r="A4472">
        <v>4472</v>
      </c>
      <c r="B4472" t="str">
        <f t="shared" si="69"/>
        <v>ᅸ</v>
      </c>
    </row>
    <row r="4473" spans="1:2" x14ac:dyDescent="0.25">
      <c r="A4473">
        <v>4473</v>
      </c>
      <c r="B4473" t="str">
        <f t="shared" si="69"/>
        <v>ᅹ</v>
      </c>
    </row>
    <row r="4474" spans="1:2" x14ac:dyDescent="0.25">
      <c r="A4474">
        <v>4474</v>
      </c>
      <c r="B4474" t="str">
        <f t="shared" si="69"/>
        <v>ᅺ</v>
      </c>
    </row>
    <row r="4475" spans="1:2" x14ac:dyDescent="0.25">
      <c r="A4475">
        <v>4475</v>
      </c>
      <c r="B4475" t="str">
        <f t="shared" si="69"/>
        <v>ᅻ</v>
      </c>
    </row>
    <row r="4476" spans="1:2" x14ac:dyDescent="0.25">
      <c r="A4476">
        <v>4476</v>
      </c>
      <c r="B4476" t="str">
        <f t="shared" si="69"/>
        <v>ᅼ</v>
      </c>
    </row>
    <row r="4477" spans="1:2" x14ac:dyDescent="0.25">
      <c r="A4477">
        <v>4477</v>
      </c>
      <c r="B4477" t="str">
        <f t="shared" si="69"/>
        <v>ᅽ</v>
      </c>
    </row>
    <row r="4478" spans="1:2" x14ac:dyDescent="0.25">
      <c r="A4478">
        <v>4478</v>
      </c>
      <c r="B4478" t="str">
        <f t="shared" si="69"/>
        <v>ᅾ</v>
      </c>
    </row>
    <row r="4479" spans="1:2" x14ac:dyDescent="0.25">
      <c r="A4479">
        <v>4479</v>
      </c>
      <c r="B4479" t="str">
        <f t="shared" si="69"/>
        <v>ᅿ</v>
      </c>
    </row>
    <row r="4480" spans="1:2" x14ac:dyDescent="0.25">
      <c r="A4480">
        <v>4480</v>
      </c>
      <c r="B4480" t="str">
        <f t="shared" si="69"/>
        <v>ᆀ</v>
      </c>
    </row>
    <row r="4481" spans="1:2" x14ac:dyDescent="0.25">
      <c r="A4481">
        <v>4481</v>
      </c>
      <c r="B4481" t="str">
        <f t="shared" si="69"/>
        <v>ᆁ</v>
      </c>
    </row>
    <row r="4482" spans="1:2" x14ac:dyDescent="0.25">
      <c r="A4482">
        <v>4482</v>
      </c>
      <c r="B4482" t="str">
        <f t="shared" ref="B4482:B4545" si="70">_xlfn.UNICHAR(A4482)</f>
        <v>ᆂ</v>
      </c>
    </row>
    <row r="4483" spans="1:2" x14ac:dyDescent="0.25">
      <c r="A4483">
        <v>4483</v>
      </c>
      <c r="B4483" t="str">
        <f t="shared" si="70"/>
        <v>ᆃ</v>
      </c>
    </row>
    <row r="4484" spans="1:2" x14ac:dyDescent="0.25">
      <c r="A4484">
        <v>4484</v>
      </c>
      <c r="B4484" t="str">
        <f t="shared" si="70"/>
        <v>ᆄ</v>
      </c>
    </row>
    <row r="4485" spans="1:2" x14ac:dyDescent="0.25">
      <c r="A4485">
        <v>4485</v>
      </c>
      <c r="B4485" t="str">
        <f t="shared" si="70"/>
        <v>ᆅ</v>
      </c>
    </row>
    <row r="4486" spans="1:2" x14ac:dyDescent="0.25">
      <c r="A4486">
        <v>4486</v>
      </c>
      <c r="B4486" t="str">
        <f t="shared" si="70"/>
        <v>ᆆ</v>
      </c>
    </row>
    <row r="4487" spans="1:2" x14ac:dyDescent="0.25">
      <c r="A4487">
        <v>4487</v>
      </c>
      <c r="B4487" t="str">
        <f t="shared" si="70"/>
        <v>ᆇ</v>
      </c>
    </row>
    <row r="4488" spans="1:2" x14ac:dyDescent="0.25">
      <c r="A4488">
        <v>4488</v>
      </c>
      <c r="B4488" t="str">
        <f t="shared" si="70"/>
        <v>ᆈ</v>
      </c>
    </row>
    <row r="4489" spans="1:2" x14ac:dyDescent="0.25">
      <c r="A4489">
        <v>4489</v>
      </c>
      <c r="B4489" t="str">
        <f t="shared" si="70"/>
        <v>ᆉ</v>
      </c>
    </row>
    <row r="4490" spans="1:2" x14ac:dyDescent="0.25">
      <c r="A4490">
        <v>4490</v>
      </c>
      <c r="B4490" t="str">
        <f t="shared" si="70"/>
        <v>ᆊ</v>
      </c>
    </row>
    <row r="4491" spans="1:2" x14ac:dyDescent="0.25">
      <c r="A4491">
        <v>4491</v>
      </c>
      <c r="B4491" t="str">
        <f t="shared" si="70"/>
        <v>ᆋ</v>
      </c>
    </row>
    <row r="4492" spans="1:2" x14ac:dyDescent="0.25">
      <c r="A4492">
        <v>4492</v>
      </c>
      <c r="B4492" t="str">
        <f t="shared" si="70"/>
        <v>ᆌ</v>
      </c>
    </row>
    <row r="4493" spans="1:2" x14ac:dyDescent="0.25">
      <c r="A4493">
        <v>4493</v>
      </c>
      <c r="B4493" t="str">
        <f t="shared" si="70"/>
        <v>ᆍ</v>
      </c>
    </row>
    <row r="4494" spans="1:2" x14ac:dyDescent="0.25">
      <c r="A4494">
        <v>4494</v>
      </c>
      <c r="B4494" t="str">
        <f t="shared" si="70"/>
        <v>ᆎ</v>
      </c>
    </row>
    <row r="4495" spans="1:2" x14ac:dyDescent="0.25">
      <c r="A4495">
        <v>4495</v>
      </c>
      <c r="B4495" t="str">
        <f t="shared" si="70"/>
        <v>ᆏ</v>
      </c>
    </row>
    <row r="4496" spans="1:2" x14ac:dyDescent="0.25">
      <c r="A4496">
        <v>4496</v>
      </c>
      <c r="B4496" t="str">
        <f t="shared" si="70"/>
        <v>ᆐ</v>
      </c>
    </row>
    <row r="4497" spans="1:2" x14ac:dyDescent="0.25">
      <c r="A4497">
        <v>4497</v>
      </c>
      <c r="B4497" t="str">
        <f t="shared" si="70"/>
        <v>ᆑ</v>
      </c>
    </row>
    <row r="4498" spans="1:2" x14ac:dyDescent="0.25">
      <c r="A4498">
        <v>4498</v>
      </c>
      <c r="B4498" t="str">
        <f t="shared" si="70"/>
        <v>ᆒ</v>
      </c>
    </row>
    <row r="4499" spans="1:2" x14ac:dyDescent="0.25">
      <c r="A4499">
        <v>4499</v>
      </c>
      <c r="B4499" t="str">
        <f t="shared" si="70"/>
        <v>ᆓ</v>
      </c>
    </row>
    <row r="4500" spans="1:2" x14ac:dyDescent="0.25">
      <c r="A4500">
        <v>4500</v>
      </c>
      <c r="B4500" t="str">
        <f t="shared" si="70"/>
        <v>ᆔ</v>
      </c>
    </row>
    <row r="4501" spans="1:2" x14ac:dyDescent="0.25">
      <c r="A4501">
        <v>4501</v>
      </c>
      <c r="B4501" t="str">
        <f t="shared" si="70"/>
        <v>ᆕ</v>
      </c>
    </row>
    <row r="4502" spans="1:2" x14ac:dyDescent="0.25">
      <c r="A4502">
        <v>4502</v>
      </c>
      <c r="B4502" t="str">
        <f t="shared" si="70"/>
        <v>ᆖ</v>
      </c>
    </row>
    <row r="4503" spans="1:2" x14ac:dyDescent="0.25">
      <c r="A4503">
        <v>4503</v>
      </c>
      <c r="B4503" t="str">
        <f t="shared" si="70"/>
        <v>ᆗ</v>
      </c>
    </row>
    <row r="4504" spans="1:2" x14ac:dyDescent="0.25">
      <c r="A4504">
        <v>4504</v>
      </c>
      <c r="B4504" t="str">
        <f t="shared" si="70"/>
        <v>ᆘ</v>
      </c>
    </row>
    <row r="4505" spans="1:2" x14ac:dyDescent="0.25">
      <c r="A4505">
        <v>4505</v>
      </c>
      <c r="B4505" t="str">
        <f t="shared" si="70"/>
        <v>ᆙ</v>
      </c>
    </row>
    <row r="4506" spans="1:2" x14ac:dyDescent="0.25">
      <c r="A4506">
        <v>4506</v>
      </c>
      <c r="B4506" t="str">
        <f t="shared" si="70"/>
        <v>ᆚ</v>
      </c>
    </row>
    <row r="4507" spans="1:2" x14ac:dyDescent="0.25">
      <c r="A4507">
        <v>4507</v>
      </c>
      <c r="B4507" t="str">
        <f t="shared" si="70"/>
        <v>ᆛ</v>
      </c>
    </row>
    <row r="4508" spans="1:2" x14ac:dyDescent="0.25">
      <c r="A4508">
        <v>4508</v>
      </c>
      <c r="B4508" t="str">
        <f t="shared" si="70"/>
        <v>ᆜ</v>
      </c>
    </row>
    <row r="4509" spans="1:2" x14ac:dyDescent="0.25">
      <c r="A4509">
        <v>4509</v>
      </c>
      <c r="B4509" t="str">
        <f t="shared" si="70"/>
        <v>ᆝ</v>
      </c>
    </row>
    <row r="4510" spans="1:2" x14ac:dyDescent="0.25">
      <c r="A4510">
        <v>4510</v>
      </c>
      <c r="B4510" t="str">
        <f t="shared" si="70"/>
        <v>ᆞ</v>
      </c>
    </row>
    <row r="4511" spans="1:2" x14ac:dyDescent="0.25">
      <c r="A4511">
        <v>4511</v>
      </c>
      <c r="B4511" t="str">
        <f t="shared" si="70"/>
        <v>ᆟ</v>
      </c>
    </row>
    <row r="4512" spans="1:2" x14ac:dyDescent="0.25">
      <c r="A4512">
        <v>4512</v>
      </c>
      <c r="B4512" t="str">
        <f t="shared" si="70"/>
        <v>ᆠ</v>
      </c>
    </row>
    <row r="4513" spans="1:2" x14ac:dyDescent="0.25">
      <c r="A4513">
        <v>4513</v>
      </c>
      <c r="B4513" t="str">
        <f t="shared" si="70"/>
        <v>ᆡ</v>
      </c>
    </row>
    <row r="4514" spans="1:2" x14ac:dyDescent="0.25">
      <c r="A4514">
        <v>4514</v>
      </c>
      <c r="B4514" t="str">
        <f t="shared" si="70"/>
        <v>ᆢ</v>
      </c>
    </row>
    <row r="4515" spans="1:2" x14ac:dyDescent="0.25">
      <c r="A4515">
        <v>4515</v>
      </c>
      <c r="B4515" t="str">
        <f t="shared" si="70"/>
        <v>ᆣ</v>
      </c>
    </row>
    <row r="4516" spans="1:2" x14ac:dyDescent="0.25">
      <c r="A4516">
        <v>4516</v>
      </c>
      <c r="B4516" t="str">
        <f t="shared" si="70"/>
        <v>ᆤ</v>
      </c>
    </row>
    <row r="4517" spans="1:2" x14ac:dyDescent="0.25">
      <c r="A4517">
        <v>4517</v>
      </c>
      <c r="B4517" t="str">
        <f t="shared" si="70"/>
        <v>ᆥ</v>
      </c>
    </row>
    <row r="4518" spans="1:2" x14ac:dyDescent="0.25">
      <c r="A4518">
        <v>4518</v>
      </c>
      <c r="B4518" t="str">
        <f t="shared" si="70"/>
        <v>ᆦ</v>
      </c>
    </row>
    <row r="4519" spans="1:2" x14ac:dyDescent="0.25">
      <c r="A4519">
        <v>4519</v>
      </c>
      <c r="B4519" t="str">
        <f t="shared" si="70"/>
        <v>ᆧ</v>
      </c>
    </row>
    <row r="4520" spans="1:2" x14ac:dyDescent="0.25">
      <c r="A4520">
        <v>4520</v>
      </c>
      <c r="B4520" t="str">
        <f t="shared" si="70"/>
        <v>ᆨ</v>
      </c>
    </row>
    <row r="4521" spans="1:2" x14ac:dyDescent="0.25">
      <c r="A4521">
        <v>4521</v>
      </c>
      <c r="B4521" t="str">
        <f t="shared" si="70"/>
        <v>ᆩ</v>
      </c>
    </row>
    <row r="4522" spans="1:2" x14ac:dyDescent="0.25">
      <c r="A4522">
        <v>4522</v>
      </c>
      <c r="B4522" t="str">
        <f t="shared" si="70"/>
        <v>ᆪ</v>
      </c>
    </row>
    <row r="4523" spans="1:2" x14ac:dyDescent="0.25">
      <c r="A4523">
        <v>4523</v>
      </c>
      <c r="B4523" t="str">
        <f t="shared" si="70"/>
        <v>ᆫ</v>
      </c>
    </row>
    <row r="4524" spans="1:2" x14ac:dyDescent="0.25">
      <c r="A4524">
        <v>4524</v>
      </c>
      <c r="B4524" t="str">
        <f t="shared" si="70"/>
        <v>ᆬ</v>
      </c>
    </row>
    <row r="4525" spans="1:2" x14ac:dyDescent="0.25">
      <c r="A4525">
        <v>4525</v>
      </c>
      <c r="B4525" t="str">
        <f t="shared" si="70"/>
        <v>ᆭ</v>
      </c>
    </row>
    <row r="4526" spans="1:2" x14ac:dyDescent="0.25">
      <c r="A4526">
        <v>4526</v>
      </c>
      <c r="B4526" t="str">
        <f t="shared" si="70"/>
        <v>ᆮ</v>
      </c>
    </row>
    <row r="4527" spans="1:2" x14ac:dyDescent="0.25">
      <c r="A4527">
        <v>4527</v>
      </c>
      <c r="B4527" t="str">
        <f t="shared" si="70"/>
        <v>ᆯ</v>
      </c>
    </row>
    <row r="4528" spans="1:2" x14ac:dyDescent="0.25">
      <c r="A4528">
        <v>4528</v>
      </c>
      <c r="B4528" t="str">
        <f t="shared" si="70"/>
        <v>ᆰ</v>
      </c>
    </row>
    <row r="4529" spans="1:2" x14ac:dyDescent="0.25">
      <c r="A4529">
        <v>4529</v>
      </c>
      <c r="B4529" t="str">
        <f t="shared" si="70"/>
        <v>ᆱ</v>
      </c>
    </row>
    <row r="4530" spans="1:2" x14ac:dyDescent="0.25">
      <c r="A4530">
        <v>4530</v>
      </c>
      <c r="B4530" t="str">
        <f t="shared" si="70"/>
        <v>ᆲ</v>
      </c>
    </row>
    <row r="4531" spans="1:2" x14ac:dyDescent="0.25">
      <c r="A4531">
        <v>4531</v>
      </c>
      <c r="B4531" t="str">
        <f t="shared" si="70"/>
        <v>ᆳ</v>
      </c>
    </row>
    <row r="4532" spans="1:2" x14ac:dyDescent="0.25">
      <c r="A4532">
        <v>4532</v>
      </c>
      <c r="B4532" t="str">
        <f t="shared" si="70"/>
        <v>ᆴ</v>
      </c>
    </row>
    <row r="4533" spans="1:2" x14ac:dyDescent="0.25">
      <c r="A4533">
        <v>4533</v>
      </c>
      <c r="B4533" t="str">
        <f t="shared" si="70"/>
        <v>ᆵ</v>
      </c>
    </row>
    <row r="4534" spans="1:2" x14ac:dyDescent="0.25">
      <c r="A4534">
        <v>4534</v>
      </c>
      <c r="B4534" t="str">
        <f t="shared" si="70"/>
        <v>ᆶ</v>
      </c>
    </row>
    <row r="4535" spans="1:2" x14ac:dyDescent="0.25">
      <c r="A4535">
        <v>4535</v>
      </c>
      <c r="B4535" t="str">
        <f t="shared" si="70"/>
        <v>ᆷ</v>
      </c>
    </row>
    <row r="4536" spans="1:2" x14ac:dyDescent="0.25">
      <c r="A4536">
        <v>4536</v>
      </c>
      <c r="B4536" t="str">
        <f t="shared" si="70"/>
        <v>ᆸ</v>
      </c>
    </row>
    <row r="4537" spans="1:2" x14ac:dyDescent="0.25">
      <c r="A4537">
        <v>4537</v>
      </c>
      <c r="B4537" t="str">
        <f t="shared" si="70"/>
        <v>ᆹ</v>
      </c>
    </row>
    <row r="4538" spans="1:2" x14ac:dyDescent="0.25">
      <c r="A4538">
        <v>4538</v>
      </c>
      <c r="B4538" t="str">
        <f t="shared" si="70"/>
        <v>ᆺ</v>
      </c>
    </row>
    <row r="4539" spans="1:2" x14ac:dyDescent="0.25">
      <c r="A4539">
        <v>4539</v>
      </c>
      <c r="B4539" t="str">
        <f t="shared" si="70"/>
        <v>ᆻ</v>
      </c>
    </row>
    <row r="4540" spans="1:2" x14ac:dyDescent="0.25">
      <c r="A4540">
        <v>4540</v>
      </c>
      <c r="B4540" t="str">
        <f t="shared" si="70"/>
        <v>ᆼ</v>
      </c>
    </row>
    <row r="4541" spans="1:2" x14ac:dyDescent="0.25">
      <c r="A4541">
        <v>4541</v>
      </c>
      <c r="B4541" t="str">
        <f t="shared" si="70"/>
        <v>ᆽ</v>
      </c>
    </row>
    <row r="4542" spans="1:2" x14ac:dyDescent="0.25">
      <c r="A4542">
        <v>4542</v>
      </c>
      <c r="B4542" t="str">
        <f t="shared" si="70"/>
        <v>ᆾ</v>
      </c>
    </row>
    <row r="4543" spans="1:2" x14ac:dyDescent="0.25">
      <c r="A4543">
        <v>4543</v>
      </c>
      <c r="B4543" t="str">
        <f t="shared" si="70"/>
        <v>ᆿ</v>
      </c>
    </row>
    <row r="4544" spans="1:2" x14ac:dyDescent="0.25">
      <c r="A4544">
        <v>4544</v>
      </c>
      <c r="B4544" t="str">
        <f t="shared" si="70"/>
        <v>ᇀ</v>
      </c>
    </row>
    <row r="4545" spans="1:2" x14ac:dyDescent="0.25">
      <c r="A4545">
        <v>4545</v>
      </c>
      <c r="B4545" t="str">
        <f t="shared" si="70"/>
        <v>ᇁ</v>
      </c>
    </row>
    <row r="4546" spans="1:2" x14ac:dyDescent="0.25">
      <c r="A4546">
        <v>4546</v>
      </c>
      <c r="B4546" t="str">
        <f t="shared" ref="B4546:B4609" si="71">_xlfn.UNICHAR(A4546)</f>
        <v>ᇂ</v>
      </c>
    </row>
    <row r="4547" spans="1:2" x14ac:dyDescent="0.25">
      <c r="A4547">
        <v>4547</v>
      </c>
      <c r="B4547" t="str">
        <f t="shared" si="71"/>
        <v>ᇃ</v>
      </c>
    </row>
    <row r="4548" spans="1:2" x14ac:dyDescent="0.25">
      <c r="A4548">
        <v>4548</v>
      </c>
      <c r="B4548" t="str">
        <f t="shared" si="71"/>
        <v>ᇄ</v>
      </c>
    </row>
    <row r="4549" spans="1:2" x14ac:dyDescent="0.25">
      <c r="A4549">
        <v>4549</v>
      </c>
      <c r="B4549" t="str">
        <f t="shared" si="71"/>
        <v>ᇅ</v>
      </c>
    </row>
    <row r="4550" spans="1:2" x14ac:dyDescent="0.25">
      <c r="A4550">
        <v>4550</v>
      </c>
      <c r="B4550" t="str">
        <f t="shared" si="71"/>
        <v>ᇆ</v>
      </c>
    </row>
    <row r="4551" spans="1:2" x14ac:dyDescent="0.25">
      <c r="A4551">
        <v>4551</v>
      </c>
      <c r="B4551" t="str">
        <f t="shared" si="71"/>
        <v>ᇇ</v>
      </c>
    </row>
    <row r="4552" spans="1:2" x14ac:dyDescent="0.25">
      <c r="A4552">
        <v>4552</v>
      </c>
      <c r="B4552" t="str">
        <f t="shared" si="71"/>
        <v>ᇈ</v>
      </c>
    </row>
    <row r="4553" spans="1:2" x14ac:dyDescent="0.25">
      <c r="A4553">
        <v>4553</v>
      </c>
      <c r="B4553" t="str">
        <f t="shared" si="71"/>
        <v>ᇉ</v>
      </c>
    </row>
    <row r="4554" spans="1:2" x14ac:dyDescent="0.25">
      <c r="A4554">
        <v>4554</v>
      </c>
      <c r="B4554" t="str">
        <f t="shared" si="71"/>
        <v>ᇊ</v>
      </c>
    </row>
    <row r="4555" spans="1:2" x14ac:dyDescent="0.25">
      <c r="A4555">
        <v>4555</v>
      </c>
      <c r="B4555" t="str">
        <f t="shared" si="71"/>
        <v>ᇋ</v>
      </c>
    </row>
    <row r="4556" spans="1:2" x14ac:dyDescent="0.25">
      <c r="A4556">
        <v>4556</v>
      </c>
      <c r="B4556" t="str">
        <f t="shared" si="71"/>
        <v>ᇌ</v>
      </c>
    </row>
    <row r="4557" spans="1:2" x14ac:dyDescent="0.25">
      <c r="A4557">
        <v>4557</v>
      </c>
      <c r="B4557" t="str">
        <f t="shared" si="71"/>
        <v>ᇍ</v>
      </c>
    </row>
    <row r="4558" spans="1:2" x14ac:dyDescent="0.25">
      <c r="A4558">
        <v>4558</v>
      </c>
      <c r="B4558" t="str">
        <f t="shared" si="71"/>
        <v>ᇎ</v>
      </c>
    </row>
    <row r="4559" spans="1:2" x14ac:dyDescent="0.25">
      <c r="A4559">
        <v>4559</v>
      </c>
      <c r="B4559" t="str">
        <f t="shared" si="71"/>
        <v>ᇏ</v>
      </c>
    </row>
    <row r="4560" spans="1:2" x14ac:dyDescent="0.25">
      <c r="A4560">
        <v>4560</v>
      </c>
      <c r="B4560" t="str">
        <f t="shared" si="71"/>
        <v>ᇐ</v>
      </c>
    </row>
    <row r="4561" spans="1:2" x14ac:dyDescent="0.25">
      <c r="A4561">
        <v>4561</v>
      </c>
      <c r="B4561" t="str">
        <f t="shared" si="71"/>
        <v>ᇑ</v>
      </c>
    </row>
    <row r="4562" spans="1:2" x14ac:dyDescent="0.25">
      <c r="A4562">
        <v>4562</v>
      </c>
      <c r="B4562" t="str">
        <f t="shared" si="71"/>
        <v>ᇒ</v>
      </c>
    </row>
    <row r="4563" spans="1:2" x14ac:dyDescent="0.25">
      <c r="A4563">
        <v>4563</v>
      </c>
      <c r="B4563" t="str">
        <f t="shared" si="71"/>
        <v>ᇓ</v>
      </c>
    </row>
    <row r="4564" spans="1:2" x14ac:dyDescent="0.25">
      <c r="A4564">
        <v>4564</v>
      </c>
      <c r="B4564" t="str">
        <f t="shared" si="71"/>
        <v>ᇔ</v>
      </c>
    </row>
    <row r="4565" spans="1:2" x14ac:dyDescent="0.25">
      <c r="A4565">
        <v>4565</v>
      </c>
      <c r="B4565" t="str">
        <f t="shared" si="71"/>
        <v>ᇕ</v>
      </c>
    </row>
    <row r="4566" spans="1:2" x14ac:dyDescent="0.25">
      <c r="A4566">
        <v>4566</v>
      </c>
      <c r="B4566" t="str">
        <f t="shared" si="71"/>
        <v>ᇖ</v>
      </c>
    </row>
    <row r="4567" spans="1:2" x14ac:dyDescent="0.25">
      <c r="A4567">
        <v>4567</v>
      </c>
      <c r="B4567" t="str">
        <f t="shared" si="71"/>
        <v>ᇗ</v>
      </c>
    </row>
    <row r="4568" spans="1:2" x14ac:dyDescent="0.25">
      <c r="A4568">
        <v>4568</v>
      </c>
      <c r="B4568" t="str">
        <f t="shared" si="71"/>
        <v>ᇘ</v>
      </c>
    </row>
    <row r="4569" spans="1:2" x14ac:dyDescent="0.25">
      <c r="A4569">
        <v>4569</v>
      </c>
      <c r="B4569" t="str">
        <f t="shared" si="71"/>
        <v>ᇙ</v>
      </c>
    </row>
    <row r="4570" spans="1:2" x14ac:dyDescent="0.25">
      <c r="A4570">
        <v>4570</v>
      </c>
      <c r="B4570" t="str">
        <f t="shared" si="71"/>
        <v>ᇚ</v>
      </c>
    </row>
    <row r="4571" spans="1:2" x14ac:dyDescent="0.25">
      <c r="A4571">
        <v>4571</v>
      </c>
      <c r="B4571" t="str">
        <f t="shared" si="71"/>
        <v>ᇛ</v>
      </c>
    </row>
    <row r="4572" spans="1:2" x14ac:dyDescent="0.25">
      <c r="A4572">
        <v>4572</v>
      </c>
      <c r="B4572" t="str">
        <f t="shared" si="71"/>
        <v>ᇜ</v>
      </c>
    </row>
    <row r="4573" spans="1:2" x14ac:dyDescent="0.25">
      <c r="A4573">
        <v>4573</v>
      </c>
      <c r="B4573" t="str">
        <f t="shared" si="71"/>
        <v>ᇝ</v>
      </c>
    </row>
    <row r="4574" spans="1:2" x14ac:dyDescent="0.25">
      <c r="A4574">
        <v>4574</v>
      </c>
      <c r="B4574" t="str">
        <f t="shared" si="71"/>
        <v>ᇞ</v>
      </c>
    </row>
    <row r="4575" spans="1:2" x14ac:dyDescent="0.25">
      <c r="A4575">
        <v>4575</v>
      </c>
      <c r="B4575" t="str">
        <f t="shared" si="71"/>
        <v>ᇟ</v>
      </c>
    </row>
    <row r="4576" spans="1:2" x14ac:dyDescent="0.25">
      <c r="A4576">
        <v>4576</v>
      </c>
      <c r="B4576" t="str">
        <f t="shared" si="71"/>
        <v>ᇠ</v>
      </c>
    </row>
    <row r="4577" spans="1:2" x14ac:dyDescent="0.25">
      <c r="A4577">
        <v>4577</v>
      </c>
      <c r="B4577" t="str">
        <f t="shared" si="71"/>
        <v>ᇡ</v>
      </c>
    </row>
    <row r="4578" spans="1:2" x14ac:dyDescent="0.25">
      <c r="A4578">
        <v>4578</v>
      </c>
      <c r="B4578" t="str">
        <f t="shared" si="71"/>
        <v>ᇢ</v>
      </c>
    </row>
    <row r="4579" spans="1:2" x14ac:dyDescent="0.25">
      <c r="A4579">
        <v>4579</v>
      </c>
      <c r="B4579" t="str">
        <f t="shared" si="71"/>
        <v>ᇣ</v>
      </c>
    </row>
    <row r="4580" spans="1:2" x14ac:dyDescent="0.25">
      <c r="A4580">
        <v>4580</v>
      </c>
      <c r="B4580" t="str">
        <f t="shared" si="71"/>
        <v>ᇤ</v>
      </c>
    </row>
    <row r="4581" spans="1:2" x14ac:dyDescent="0.25">
      <c r="A4581">
        <v>4581</v>
      </c>
      <c r="B4581" t="str">
        <f t="shared" si="71"/>
        <v>ᇥ</v>
      </c>
    </row>
    <row r="4582" spans="1:2" x14ac:dyDescent="0.25">
      <c r="A4582">
        <v>4582</v>
      </c>
      <c r="B4582" t="str">
        <f t="shared" si="71"/>
        <v>ᇦ</v>
      </c>
    </row>
    <row r="4583" spans="1:2" x14ac:dyDescent="0.25">
      <c r="A4583">
        <v>4583</v>
      </c>
      <c r="B4583" t="str">
        <f t="shared" si="71"/>
        <v>ᇧ</v>
      </c>
    </row>
    <row r="4584" spans="1:2" x14ac:dyDescent="0.25">
      <c r="A4584">
        <v>4584</v>
      </c>
      <c r="B4584" t="str">
        <f t="shared" si="71"/>
        <v>ᇨ</v>
      </c>
    </row>
    <row r="4585" spans="1:2" x14ac:dyDescent="0.25">
      <c r="A4585">
        <v>4585</v>
      </c>
      <c r="B4585" t="str">
        <f t="shared" si="71"/>
        <v>ᇩ</v>
      </c>
    </row>
    <row r="4586" spans="1:2" x14ac:dyDescent="0.25">
      <c r="A4586">
        <v>4586</v>
      </c>
      <c r="B4586" t="str">
        <f t="shared" si="71"/>
        <v>ᇪ</v>
      </c>
    </row>
    <row r="4587" spans="1:2" x14ac:dyDescent="0.25">
      <c r="A4587">
        <v>4587</v>
      </c>
      <c r="B4587" t="str">
        <f t="shared" si="71"/>
        <v>ᇫ</v>
      </c>
    </row>
    <row r="4588" spans="1:2" x14ac:dyDescent="0.25">
      <c r="A4588">
        <v>4588</v>
      </c>
      <c r="B4588" t="str">
        <f t="shared" si="71"/>
        <v>ᇬ</v>
      </c>
    </row>
    <row r="4589" spans="1:2" x14ac:dyDescent="0.25">
      <c r="A4589">
        <v>4589</v>
      </c>
      <c r="B4589" t="str">
        <f t="shared" si="71"/>
        <v>ᇭ</v>
      </c>
    </row>
    <row r="4590" spans="1:2" x14ac:dyDescent="0.25">
      <c r="A4590">
        <v>4590</v>
      </c>
      <c r="B4590" t="str">
        <f t="shared" si="71"/>
        <v>ᇮ</v>
      </c>
    </row>
    <row r="4591" spans="1:2" x14ac:dyDescent="0.25">
      <c r="A4591">
        <v>4591</v>
      </c>
      <c r="B4591" t="str">
        <f t="shared" si="71"/>
        <v>ᇯ</v>
      </c>
    </row>
    <row r="4592" spans="1:2" x14ac:dyDescent="0.25">
      <c r="A4592">
        <v>4592</v>
      </c>
      <c r="B4592" t="str">
        <f t="shared" si="71"/>
        <v>ᇰ</v>
      </c>
    </row>
    <row r="4593" spans="1:2" x14ac:dyDescent="0.25">
      <c r="A4593">
        <v>4593</v>
      </c>
      <c r="B4593" t="str">
        <f t="shared" si="71"/>
        <v>ᇱ</v>
      </c>
    </row>
    <row r="4594" spans="1:2" x14ac:dyDescent="0.25">
      <c r="A4594">
        <v>4594</v>
      </c>
      <c r="B4594" t="str">
        <f t="shared" si="71"/>
        <v>ᇲ</v>
      </c>
    </row>
    <row r="4595" spans="1:2" x14ac:dyDescent="0.25">
      <c r="A4595">
        <v>4595</v>
      </c>
      <c r="B4595" t="str">
        <f t="shared" si="71"/>
        <v>ᇳ</v>
      </c>
    </row>
    <row r="4596" spans="1:2" x14ac:dyDescent="0.25">
      <c r="A4596">
        <v>4596</v>
      </c>
      <c r="B4596" t="str">
        <f t="shared" si="71"/>
        <v>ᇴ</v>
      </c>
    </row>
    <row r="4597" spans="1:2" x14ac:dyDescent="0.25">
      <c r="A4597">
        <v>4597</v>
      </c>
      <c r="B4597" t="str">
        <f t="shared" si="71"/>
        <v>ᇵ</v>
      </c>
    </row>
    <row r="4598" spans="1:2" x14ac:dyDescent="0.25">
      <c r="A4598">
        <v>4598</v>
      </c>
      <c r="B4598" t="str">
        <f t="shared" si="71"/>
        <v>ᇶ</v>
      </c>
    </row>
    <row r="4599" spans="1:2" x14ac:dyDescent="0.25">
      <c r="A4599">
        <v>4599</v>
      </c>
      <c r="B4599" t="str">
        <f t="shared" si="71"/>
        <v>ᇷ</v>
      </c>
    </row>
    <row r="4600" spans="1:2" x14ac:dyDescent="0.25">
      <c r="A4600">
        <v>4600</v>
      </c>
      <c r="B4600" t="str">
        <f t="shared" si="71"/>
        <v>ᇸ</v>
      </c>
    </row>
    <row r="4601" spans="1:2" x14ac:dyDescent="0.25">
      <c r="A4601">
        <v>4601</v>
      </c>
      <c r="B4601" t="str">
        <f t="shared" si="71"/>
        <v>ᇹ</v>
      </c>
    </row>
    <row r="4602" spans="1:2" x14ac:dyDescent="0.25">
      <c r="A4602">
        <v>4602</v>
      </c>
      <c r="B4602" t="str">
        <f t="shared" si="71"/>
        <v>ᇺ</v>
      </c>
    </row>
    <row r="4603" spans="1:2" x14ac:dyDescent="0.25">
      <c r="A4603">
        <v>4603</v>
      </c>
      <c r="B4603" t="str">
        <f t="shared" si="71"/>
        <v>ᇻ</v>
      </c>
    </row>
    <row r="4604" spans="1:2" x14ac:dyDescent="0.25">
      <c r="A4604">
        <v>4604</v>
      </c>
      <c r="B4604" t="str">
        <f t="shared" si="71"/>
        <v>ᇼ</v>
      </c>
    </row>
    <row r="4605" spans="1:2" x14ac:dyDescent="0.25">
      <c r="A4605">
        <v>4605</v>
      </c>
      <c r="B4605" t="str">
        <f t="shared" si="71"/>
        <v>ᇽ</v>
      </c>
    </row>
    <row r="4606" spans="1:2" x14ac:dyDescent="0.25">
      <c r="A4606">
        <v>4606</v>
      </c>
      <c r="B4606" t="str">
        <f t="shared" si="71"/>
        <v>ᇾ</v>
      </c>
    </row>
    <row r="4607" spans="1:2" x14ac:dyDescent="0.25">
      <c r="A4607">
        <v>4607</v>
      </c>
      <c r="B4607" t="str">
        <f t="shared" si="71"/>
        <v>ᇿ</v>
      </c>
    </row>
    <row r="4608" spans="1:2" x14ac:dyDescent="0.25">
      <c r="A4608">
        <v>4608</v>
      </c>
      <c r="B4608" t="str">
        <f t="shared" si="71"/>
        <v>ሀ</v>
      </c>
    </row>
    <row r="4609" spans="1:2" x14ac:dyDescent="0.25">
      <c r="A4609">
        <v>4609</v>
      </c>
      <c r="B4609" t="str">
        <f t="shared" si="71"/>
        <v>ሁ</v>
      </c>
    </row>
    <row r="4610" spans="1:2" x14ac:dyDescent="0.25">
      <c r="A4610">
        <v>4610</v>
      </c>
      <c r="B4610" t="str">
        <f t="shared" ref="B4610:B4673" si="72">_xlfn.UNICHAR(A4610)</f>
        <v>ሂ</v>
      </c>
    </row>
    <row r="4611" spans="1:2" x14ac:dyDescent="0.25">
      <c r="A4611">
        <v>4611</v>
      </c>
      <c r="B4611" t="str">
        <f t="shared" si="72"/>
        <v>ሃ</v>
      </c>
    </row>
    <row r="4612" spans="1:2" x14ac:dyDescent="0.25">
      <c r="A4612">
        <v>4612</v>
      </c>
      <c r="B4612" t="str">
        <f t="shared" si="72"/>
        <v>ሄ</v>
      </c>
    </row>
    <row r="4613" spans="1:2" x14ac:dyDescent="0.25">
      <c r="A4613">
        <v>4613</v>
      </c>
      <c r="B4613" t="str">
        <f t="shared" si="72"/>
        <v>ህ</v>
      </c>
    </row>
    <row r="4614" spans="1:2" x14ac:dyDescent="0.25">
      <c r="A4614">
        <v>4614</v>
      </c>
      <c r="B4614" t="str">
        <f t="shared" si="72"/>
        <v>ሆ</v>
      </c>
    </row>
    <row r="4615" spans="1:2" x14ac:dyDescent="0.25">
      <c r="A4615">
        <v>4615</v>
      </c>
      <c r="B4615" t="str">
        <f t="shared" si="72"/>
        <v>ሇ</v>
      </c>
    </row>
    <row r="4616" spans="1:2" x14ac:dyDescent="0.25">
      <c r="A4616">
        <v>4616</v>
      </c>
      <c r="B4616" t="str">
        <f t="shared" si="72"/>
        <v>ለ</v>
      </c>
    </row>
    <row r="4617" spans="1:2" x14ac:dyDescent="0.25">
      <c r="A4617">
        <v>4617</v>
      </c>
      <c r="B4617" t="str">
        <f t="shared" si="72"/>
        <v>ሉ</v>
      </c>
    </row>
    <row r="4618" spans="1:2" x14ac:dyDescent="0.25">
      <c r="A4618">
        <v>4618</v>
      </c>
      <c r="B4618" t="str">
        <f t="shared" si="72"/>
        <v>ሊ</v>
      </c>
    </row>
    <row r="4619" spans="1:2" x14ac:dyDescent="0.25">
      <c r="A4619">
        <v>4619</v>
      </c>
      <c r="B4619" t="str">
        <f t="shared" si="72"/>
        <v>ላ</v>
      </c>
    </row>
    <row r="4620" spans="1:2" x14ac:dyDescent="0.25">
      <c r="A4620">
        <v>4620</v>
      </c>
      <c r="B4620" t="str">
        <f t="shared" si="72"/>
        <v>ሌ</v>
      </c>
    </row>
    <row r="4621" spans="1:2" x14ac:dyDescent="0.25">
      <c r="A4621">
        <v>4621</v>
      </c>
      <c r="B4621" t="str">
        <f t="shared" si="72"/>
        <v>ል</v>
      </c>
    </row>
    <row r="4622" spans="1:2" x14ac:dyDescent="0.25">
      <c r="A4622">
        <v>4622</v>
      </c>
      <c r="B4622" t="str">
        <f t="shared" si="72"/>
        <v>ሎ</v>
      </c>
    </row>
    <row r="4623" spans="1:2" x14ac:dyDescent="0.25">
      <c r="A4623">
        <v>4623</v>
      </c>
      <c r="B4623" t="str">
        <f t="shared" si="72"/>
        <v>ሏ</v>
      </c>
    </row>
    <row r="4624" spans="1:2" x14ac:dyDescent="0.25">
      <c r="A4624">
        <v>4624</v>
      </c>
      <c r="B4624" t="str">
        <f t="shared" si="72"/>
        <v>ሐ</v>
      </c>
    </row>
    <row r="4625" spans="1:2" x14ac:dyDescent="0.25">
      <c r="A4625">
        <v>4625</v>
      </c>
      <c r="B4625" t="str">
        <f t="shared" si="72"/>
        <v>ሑ</v>
      </c>
    </row>
    <row r="4626" spans="1:2" x14ac:dyDescent="0.25">
      <c r="A4626">
        <v>4626</v>
      </c>
      <c r="B4626" t="str">
        <f t="shared" si="72"/>
        <v>ሒ</v>
      </c>
    </row>
    <row r="4627" spans="1:2" x14ac:dyDescent="0.25">
      <c r="A4627">
        <v>4627</v>
      </c>
      <c r="B4627" t="str">
        <f t="shared" si="72"/>
        <v>ሓ</v>
      </c>
    </row>
    <row r="4628" spans="1:2" x14ac:dyDescent="0.25">
      <c r="A4628">
        <v>4628</v>
      </c>
      <c r="B4628" t="str">
        <f t="shared" si="72"/>
        <v>ሔ</v>
      </c>
    </row>
    <row r="4629" spans="1:2" x14ac:dyDescent="0.25">
      <c r="A4629">
        <v>4629</v>
      </c>
      <c r="B4629" t="str">
        <f t="shared" si="72"/>
        <v>ሕ</v>
      </c>
    </row>
    <row r="4630" spans="1:2" x14ac:dyDescent="0.25">
      <c r="A4630">
        <v>4630</v>
      </c>
      <c r="B4630" t="str">
        <f t="shared" si="72"/>
        <v>ሖ</v>
      </c>
    </row>
    <row r="4631" spans="1:2" x14ac:dyDescent="0.25">
      <c r="A4631">
        <v>4631</v>
      </c>
      <c r="B4631" t="str">
        <f t="shared" si="72"/>
        <v>ሗ</v>
      </c>
    </row>
    <row r="4632" spans="1:2" x14ac:dyDescent="0.25">
      <c r="A4632">
        <v>4632</v>
      </c>
      <c r="B4632" t="str">
        <f t="shared" si="72"/>
        <v>መ</v>
      </c>
    </row>
    <row r="4633" spans="1:2" x14ac:dyDescent="0.25">
      <c r="A4633">
        <v>4633</v>
      </c>
      <c r="B4633" t="str">
        <f t="shared" si="72"/>
        <v>ሙ</v>
      </c>
    </row>
    <row r="4634" spans="1:2" x14ac:dyDescent="0.25">
      <c r="A4634">
        <v>4634</v>
      </c>
      <c r="B4634" t="str">
        <f t="shared" si="72"/>
        <v>ሚ</v>
      </c>
    </row>
    <row r="4635" spans="1:2" x14ac:dyDescent="0.25">
      <c r="A4635">
        <v>4635</v>
      </c>
      <c r="B4635" t="str">
        <f t="shared" si="72"/>
        <v>ማ</v>
      </c>
    </row>
    <row r="4636" spans="1:2" x14ac:dyDescent="0.25">
      <c r="A4636">
        <v>4636</v>
      </c>
      <c r="B4636" t="str">
        <f t="shared" si="72"/>
        <v>ሜ</v>
      </c>
    </row>
    <row r="4637" spans="1:2" x14ac:dyDescent="0.25">
      <c r="A4637">
        <v>4637</v>
      </c>
      <c r="B4637" t="str">
        <f t="shared" si="72"/>
        <v>ም</v>
      </c>
    </row>
    <row r="4638" spans="1:2" x14ac:dyDescent="0.25">
      <c r="A4638">
        <v>4638</v>
      </c>
      <c r="B4638" t="str">
        <f t="shared" si="72"/>
        <v>ሞ</v>
      </c>
    </row>
    <row r="4639" spans="1:2" x14ac:dyDescent="0.25">
      <c r="A4639">
        <v>4639</v>
      </c>
      <c r="B4639" t="str">
        <f t="shared" si="72"/>
        <v>ሟ</v>
      </c>
    </row>
    <row r="4640" spans="1:2" x14ac:dyDescent="0.25">
      <c r="A4640">
        <v>4640</v>
      </c>
      <c r="B4640" t="str">
        <f t="shared" si="72"/>
        <v>ሠ</v>
      </c>
    </row>
    <row r="4641" spans="1:2" x14ac:dyDescent="0.25">
      <c r="A4641">
        <v>4641</v>
      </c>
      <c r="B4641" t="str">
        <f t="shared" si="72"/>
        <v>ሡ</v>
      </c>
    </row>
    <row r="4642" spans="1:2" x14ac:dyDescent="0.25">
      <c r="A4642">
        <v>4642</v>
      </c>
      <c r="B4642" t="str">
        <f t="shared" si="72"/>
        <v>ሢ</v>
      </c>
    </row>
    <row r="4643" spans="1:2" x14ac:dyDescent="0.25">
      <c r="A4643">
        <v>4643</v>
      </c>
      <c r="B4643" t="str">
        <f t="shared" si="72"/>
        <v>ሣ</v>
      </c>
    </row>
    <row r="4644" spans="1:2" x14ac:dyDescent="0.25">
      <c r="A4644">
        <v>4644</v>
      </c>
      <c r="B4644" t="str">
        <f t="shared" si="72"/>
        <v>ሤ</v>
      </c>
    </row>
    <row r="4645" spans="1:2" x14ac:dyDescent="0.25">
      <c r="A4645">
        <v>4645</v>
      </c>
      <c r="B4645" t="str">
        <f t="shared" si="72"/>
        <v>ሥ</v>
      </c>
    </row>
    <row r="4646" spans="1:2" x14ac:dyDescent="0.25">
      <c r="A4646">
        <v>4646</v>
      </c>
      <c r="B4646" t="str">
        <f t="shared" si="72"/>
        <v>ሦ</v>
      </c>
    </row>
    <row r="4647" spans="1:2" x14ac:dyDescent="0.25">
      <c r="A4647">
        <v>4647</v>
      </c>
      <c r="B4647" t="str">
        <f t="shared" si="72"/>
        <v>ሧ</v>
      </c>
    </row>
    <row r="4648" spans="1:2" x14ac:dyDescent="0.25">
      <c r="A4648">
        <v>4648</v>
      </c>
      <c r="B4648" t="str">
        <f t="shared" si="72"/>
        <v>ረ</v>
      </c>
    </row>
    <row r="4649" spans="1:2" x14ac:dyDescent="0.25">
      <c r="A4649">
        <v>4649</v>
      </c>
      <c r="B4649" t="str">
        <f t="shared" si="72"/>
        <v>ሩ</v>
      </c>
    </row>
    <row r="4650" spans="1:2" x14ac:dyDescent="0.25">
      <c r="A4650">
        <v>4650</v>
      </c>
      <c r="B4650" t="str">
        <f t="shared" si="72"/>
        <v>ሪ</v>
      </c>
    </row>
    <row r="4651" spans="1:2" x14ac:dyDescent="0.25">
      <c r="A4651">
        <v>4651</v>
      </c>
      <c r="B4651" t="str">
        <f t="shared" si="72"/>
        <v>ራ</v>
      </c>
    </row>
    <row r="4652" spans="1:2" x14ac:dyDescent="0.25">
      <c r="A4652">
        <v>4652</v>
      </c>
      <c r="B4652" t="str">
        <f t="shared" si="72"/>
        <v>ሬ</v>
      </c>
    </row>
    <row r="4653" spans="1:2" x14ac:dyDescent="0.25">
      <c r="A4653">
        <v>4653</v>
      </c>
      <c r="B4653" t="str">
        <f t="shared" si="72"/>
        <v>ር</v>
      </c>
    </row>
    <row r="4654" spans="1:2" x14ac:dyDescent="0.25">
      <c r="A4654">
        <v>4654</v>
      </c>
      <c r="B4654" t="str">
        <f t="shared" si="72"/>
        <v>ሮ</v>
      </c>
    </row>
    <row r="4655" spans="1:2" x14ac:dyDescent="0.25">
      <c r="A4655">
        <v>4655</v>
      </c>
      <c r="B4655" t="str">
        <f t="shared" si="72"/>
        <v>ሯ</v>
      </c>
    </row>
    <row r="4656" spans="1:2" x14ac:dyDescent="0.25">
      <c r="A4656">
        <v>4656</v>
      </c>
      <c r="B4656" t="str">
        <f t="shared" si="72"/>
        <v>ሰ</v>
      </c>
    </row>
    <row r="4657" spans="1:2" x14ac:dyDescent="0.25">
      <c r="A4657">
        <v>4657</v>
      </c>
      <c r="B4657" t="str">
        <f t="shared" si="72"/>
        <v>ሱ</v>
      </c>
    </row>
    <row r="4658" spans="1:2" x14ac:dyDescent="0.25">
      <c r="A4658">
        <v>4658</v>
      </c>
      <c r="B4658" t="str">
        <f t="shared" si="72"/>
        <v>ሲ</v>
      </c>
    </row>
    <row r="4659" spans="1:2" x14ac:dyDescent="0.25">
      <c r="A4659">
        <v>4659</v>
      </c>
      <c r="B4659" t="str">
        <f t="shared" si="72"/>
        <v>ሳ</v>
      </c>
    </row>
    <row r="4660" spans="1:2" x14ac:dyDescent="0.25">
      <c r="A4660">
        <v>4660</v>
      </c>
      <c r="B4660" t="str">
        <f t="shared" si="72"/>
        <v>ሴ</v>
      </c>
    </row>
    <row r="4661" spans="1:2" x14ac:dyDescent="0.25">
      <c r="A4661">
        <v>4661</v>
      </c>
      <c r="B4661" t="str">
        <f t="shared" si="72"/>
        <v>ስ</v>
      </c>
    </row>
    <row r="4662" spans="1:2" x14ac:dyDescent="0.25">
      <c r="A4662">
        <v>4662</v>
      </c>
      <c r="B4662" t="str">
        <f t="shared" si="72"/>
        <v>ሶ</v>
      </c>
    </row>
    <row r="4663" spans="1:2" x14ac:dyDescent="0.25">
      <c r="A4663">
        <v>4663</v>
      </c>
      <c r="B4663" t="str">
        <f t="shared" si="72"/>
        <v>ሷ</v>
      </c>
    </row>
    <row r="4664" spans="1:2" x14ac:dyDescent="0.25">
      <c r="A4664">
        <v>4664</v>
      </c>
      <c r="B4664" t="str">
        <f t="shared" si="72"/>
        <v>ሸ</v>
      </c>
    </row>
    <row r="4665" spans="1:2" x14ac:dyDescent="0.25">
      <c r="A4665">
        <v>4665</v>
      </c>
      <c r="B4665" t="str">
        <f t="shared" si="72"/>
        <v>ሹ</v>
      </c>
    </row>
    <row r="4666" spans="1:2" x14ac:dyDescent="0.25">
      <c r="A4666">
        <v>4666</v>
      </c>
      <c r="B4666" t="str">
        <f t="shared" si="72"/>
        <v>ሺ</v>
      </c>
    </row>
    <row r="4667" spans="1:2" x14ac:dyDescent="0.25">
      <c r="A4667">
        <v>4667</v>
      </c>
      <c r="B4667" t="str">
        <f t="shared" si="72"/>
        <v>ሻ</v>
      </c>
    </row>
    <row r="4668" spans="1:2" x14ac:dyDescent="0.25">
      <c r="A4668">
        <v>4668</v>
      </c>
      <c r="B4668" t="str">
        <f t="shared" si="72"/>
        <v>ሼ</v>
      </c>
    </row>
    <row r="4669" spans="1:2" x14ac:dyDescent="0.25">
      <c r="A4669">
        <v>4669</v>
      </c>
      <c r="B4669" t="str">
        <f t="shared" si="72"/>
        <v>ሽ</v>
      </c>
    </row>
    <row r="4670" spans="1:2" x14ac:dyDescent="0.25">
      <c r="A4670">
        <v>4670</v>
      </c>
      <c r="B4670" t="str">
        <f t="shared" si="72"/>
        <v>ሾ</v>
      </c>
    </row>
    <row r="4671" spans="1:2" x14ac:dyDescent="0.25">
      <c r="A4671">
        <v>4671</v>
      </c>
      <c r="B4671" t="str">
        <f t="shared" si="72"/>
        <v>ሿ</v>
      </c>
    </row>
    <row r="4672" spans="1:2" x14ac:dyDescent="0.25">
      <c r="A4672">
        <v>4672</v>
      </c>
      <c r="B4672" t="str">
        <f t="shared" si="72"/>
        <v>ቀ</v>
      </c>
    </row>
    <row r="4673" spans="1:2" x14ac:dyDescent="0.25">
      <c r="A4673">
        <v>4673</v>
      </c>
      <c r="B4673" t="str">
        <f t="shared" si="72"/>
        <v>ቁ</v>
      </c>
    </row>
    <row r="4674" spans="1:2" x14ac:dyDescent="0.25">
      <c r="A4674">
        <v>4674</v>
      </c>
      <c r="B4674" t="str">
        <f t="shared" ref="B4674:B4737" si="73">_xlfn.UNICHAR(A4674)</f>
        <v>ቂ</v>
      </c>
    </row>
    <row r="4675" spans="1:2" x14ac:dyDescent="0.25">
      <c r="A4675">
        <v>4675</v>
      </c>
      <c r="B4675" t="str">
        <f t="shared" si="73"/>
        <v>ቃ</v>
      </c>
    </row>
    <row r="4676" spans="1:2" x14ac:dyDescent="0.25">
      <c r="A4676">
        <v>4676</v>
      </c>
      <c r="B4676" t="str">
        <f t="shared" si="73"/>
        <v>ቄ</v>
      </c>
    </row>
    <row r="4677" spans="1:2" x14ac:dyDescent="0.25">
      <c r="A4677">
        <v>4677</v>
      </c>
      <c r="B4677" t="str">
        <f t="shared" si="73"/>
        <v>ቅ</v>
      </c>
    </row>
    <row r="4678" spans="1:2" x14ac:dyDescent="0.25">
      <c r="A4678">
        <v>4678</v>
      </c>
      <c r="B4678" t="str">
        <f t="shared" si="73"/>
        <v>ቆ</v>
      </c>
    </row>
    <row r="4679" spans="1:2" x14ac:dyDescent="0.25">
      <c r="A4679">
        <v>4679</v>
      </c>
      <c r="B4679" t="str">
        <f t="shared" si="73"/>
        <v>ቇ</v>
      </c>
    </row>
    <row r="4680" spans="1:2" x14ac:dyDescent="0.25">
      <c r="A4680">
        <v>4680</v>
      </c>
      <c r="B4680" t="str">
        <f t="shared" si="73"/>
        <v>ቈ</v>
      </c>
    </row>
    <row r="4681" spans="1:2" x14ac:dyDescent="0.25">
      <c r="A4681">
        <v>4681</v>
      </c>
      <c r="B4681" t="str">
        <f t="shared" si="73"/>
        <v>቉</v>
      </c>
    </row>
    <row r="4682" spans="1:2" x14ac:dyDescent="0.25">
      <c r="A4682">
        <v>4682</v>
      </c>
      <c r="B4682" t="str">
        <f t="shared" si="73"/>
        <v>ቊ</v>
      </c>
    </row>
    <row r="4683" spans="1:2" x14ac:dyDescent="0.25">
      <c r="A4683">
        <v>4683</v>
      </c>
      <c r="B4683" t="str">
        <f t="shared" si="73"/>
        <v>ቋ</v>
      </c>
    </row>
    <row r="4684" spans="1:2" x14ac:dyDescent="0.25">
      <c r="A4684">
        <v>4684</v>
      </c>
      <c r="B4684" t="str">
        <f t="shared" si="73"/>
        <v>ቌ</v>
      </c>
    </row>
    <row r="4685" spans="1:2" x14ac:dyDescent="0.25">
      <c r="A4685">
        <v>4685</v>
      </c>
      <c r="B4685" t="str">
        <f t="shared" si="73"/>
        <v>ቍ</v>
      </c>
    </row>
    <row r="4686" spans="1:2" x14ac:dyDescent="0.25">
      <c r="A4686">
        <v>4686</v>
      </c>
      <c r="B4686" t="str">
        <f t="shared" si="73"/>
        <v>቎</v>
      </c>
    </row>
    <row r="4687" spans="1:2" x14ac:dyDescent="0.25">
      <c r="A4687">
        <v>4687</v>
      </c>
      <c r="B4687" t="str">
        <f t="shared" si="73"/>
        <v>቏</v>
      </c>
    </row>
    <row r="4688" spans="1:2" x14ac:dyDescent="0.25">
      <c r="A4688">
        <v>4688</v>
      </c>
      <c r="B4688" t="str">
        <f t="shared" si="73"/>
        <v>ቐ</v>
      </c>
    </row>
    <row r="4689" spans="1:2" x14ac:dyDescent="0.25">
      <c r="A4689">
        <v>4689</v>
      </c>
      <c r="B4689" t="str">
        <f t="shared" si="73"/>
        <v>ቑ</v>
      </c>
    </row>
    <row r="4690" spans="1:2" x14ac:dyDescent="0.25">
      <c r="A4690">
        <v>4690</v>
      </c>
      <c r="B4690" t="str">
        <f t="shared" si="73"/>
        <v>ቒ</v>
      </c>
    </row>
    <row r="4691" spans="1:2" x14ac:dyDescent="0.25">
      <c r="A4691">
        <v>4691</v>
      </c>
      <c r="B4691" t="str">
        <f t="shared" si="73"/>
        <v>ቓ</v>
      </c>
    </row>
    <row r="4692" spans="1:2" x14ac:dyDescent="0.25">
      <c r="A4692">
        <v>4692</v>
      </c>
      <c r="B4692" t="str">
        <f t="shared" si="73"/>
        <v>ቔ</v>
      </c>
    </row>
    <row r="4693" spans="1:2" x14ac:dyDescent="0.25">
      <c r="A4693">
        <v>4693</v>
      </c>
      <c r="B4693" t="str">
        <f t="shared" si="73"/>
        <v>ቕ</v>
      </c>
    </row>
    <row r="4694" spans="1:2" x14ac:dyDescent="0.25">
      <c r="A4694">
        <v>4694</v>
      </c>
      <c r="B4694" t="str">
        <f t="shared" si="73"/>
        <v>ቖ</v>
      </c>
    </row>
    <row r="4695" spans="1:2" x14ac:dyDescent="0.25">
      <c r="A4695">
        <v>4695</v>
      </c>
      <c r="B4695" t="str">
        <f t="shared" si="73"/>
        <v>቗</v>
      </c>
    </row>
    <row r="4696" spans="1:2" x14ac:dyDescent="0.25">
      <c r="A4696">
        <v>4696</v>
      </c>
      <c r="B4696" t="str">
        <f t="shared" si="73"/>
        <v>ቘ</v>
      </c>
    </row>
    <row r="4697" spans="1:2" x14ac:dyDescent="0.25">
      <c r="A4697">
        <v>4697</v>
      </c>
      <c r="B4697" t="str">
        <f t="shared" si="73"/>
        <v>቙</v>
      </c>
    </row>
    <row r="4698" spans="1:2" x14ac:dyDescent="0.25">
      <c r="A4698">
        <v>4698</v>
      </c>
      <c r="B4698" t="str">
        <f t="shared" si="73"/>
        <v>ቚ</v>
      </c>
    </row>
    <row r="4699" spans="1:2" x14ac:dyDescent="0.25">
      <c r="A4699">
        <v>4699</v>
      </c>
      <c r="B4699" t="str">
        <f t="shared" si="73"/>
        <v>ቛ</v>
      </c>
    </row>
    <row r="4700" spans="1:2" x14ac:dyDescent="0.25">
      <c r="A4700">
        <v>4700</v>
      </c>
      <c r="B4700" t="str">
        <f t="shared" si="73"/>
        <v>ቜ</v>
      </c>
    </row>
    <row r="4701" spans="1:2" x14ac:dyDescent="0.25">
      <c r="A4701">
        <v>4701</v>
      </c>
      <c r="B4701" t="str">
        <f t="shared" si="73"/>
        <v>ቝ</v>
      </c>
    </row>
    <row r="4702" spans="1:2" x14ac:dyDescent="0.25">
      <c r="A4702">
        <v>4702</v>
      </c>
      <c r="B4702" t="str">
        <f t="shared" si="73"/>
        <v>቞</v>
      </c>
    </row>
    <row r="4703" spans="1:2" x14ac:dyDescent="0.25">
      <c r="A4703">
        <v>4703</v>
      </c>
      <c r="B4703" t="str">
        <f t="shared" si="73"/>
        <v>቟</v>
      </c>
    </row>
    <row r="4704" spans="1:2" x14ac:dyDescent="0.25">
      <c r="A4704">
        <v>4704</v>
      </c>
      <c r="B4704" t="str">
        <f t="shared" si="73"/>
        <v>በ</v>
      </c>
    </row>
    <row r="4705" spans="1:2" x14ac:dyDescent="0.25">
      <c r="A4705">
        <v>4705</v>
      </c>
      <c r="B4705" t="str">
        <f t="shared" si="73"/>
        <v>ቡ</v>
      </c>
    </row>
    <row r="4706" spans="1:2" x14ac:dyDescent="0.25">
      <c r="A4706">
        <v>4706</v>
      </c>
      <c r="B4706" t="str">
        <f t="shared" si="73"/>
        <v>ቢ</v>
      </c>
    </row>
    <row r="4707" spans="1:2" x14ac:dyDescent="0.25">
      <c r="A4707">
        <v>4707</v>
      </c>
      <c r="B4707" t="str">
        <f t="shared" si="73"/>
        <v>ባ</v>
      </c>
    </row>
    <row r="4708" spans="1:2" x14ac:dyDescent="0.25">
      <c r="A4708">
        <v>4708</v>
      </c>
      <c r="B4708" t="str">
        <f t="shared" si="73"/>
        <v>ቤ</v>
      </c>
    </row>
    <row r="4709" spans="1:2" x14ac:dyDescent="0.25">
      <c r="A4709">
        <v>4709</v>
      </c>
      <c r="B4709" t="str">
        <f t="shared" si="73"/>
        <v>ብ</v>
      </c>
    </row>
    <row r="4710" spans="1:2" x14ac:dyDescent="0.25">
      <c r="A4710">
        <v>4710</v>
      </c>
      <c r="B4710" t="str">
        <f t="shared" si="73"/>
        <v>ቦ</v>
      </c>
    </row>
    <row r="4711" spans="1:2" x14ac:dyDescent="0.25">
      <c r="A4711">
        <v>4711</v>
      </c>
      <c r="B4711" t="str">
        <f t="shared" si="73"/>
        <v>ቧ</v>
      </c>
    </row>
    <row r="4712" spans="1:2" x14ac:dyDescent="0.25">
      <c r="A4712">
        <v>4712</v>
      </c>
      <c r="B4712" t="str">
        <f t="shared" si="73"/>
        <v>ቨ</v>
      </c>
    </row>
    <row r="4713" spans="1:2" x14ac:dyDescent="0.25">
      <c r="A4713">
        <v>4713</v>
      </c>
      <c r="B4713" t="str">
        <f t="shared" si="73"/>
        <v>ቩ</v>
      </c>
    </row>
    <row r="4714" spans="1:2" x14ac:dyDescent="0.25">
      <c r="A4714">
        <v>4714</v>
      </c>
      <c r="B4714" t="str">
        <f t="shared" si="73"/>
        <v>ቪ</v>
      </c>
    </row>
    <row r="4715" spans="1:2" x14ac:dyDescent="0.25">
      <c r="A4715">
        <v>4715</v>
      </c>
      <c r="B4715" t="str">
        <f t="shared" si="73"/>
        <v>ቫ</v>
      </c>
    </row>
    <row r="4716" spans="1:2" x14ac:dyDescent="0.25">
      <c r="A4716">
        <v>4716</v>
      </c>
      <c r="B4716" t="str">
        <f t="shared" si="73"/>
        <v>ቬ</v>
      </c>
    </row>
    <row r="4717" spans="1:2" x14ac:dyDescent="0.25">
      <c r="A4717">
        <v>4717</v>
      </c>
      <c r="B4717" t="str">
        <f t="shared" si="73"/>
        <v>ቭ</v>
      </c>
    </row>
    <row r="4718" spans="1:2" x14ac:dyDescent="0.25">
      <c r="A4718">
        <v>4718</v>
      </c>
      <c r="B4718" t="str">
        <f t="shared" si="73"/>
        <v>ቮ</v>
      </c>
    </row>
    <row r="4719" spans="1:2" x14ac:dyDescent="0.25">
      <c r="A4719">
        <v>4719</v>
      </c>
      <c r="B4719" t="str">
        <f t="shared" si="73"/>
        <v>ቯ</v>
      </c>
    </row>
    <row r="4720" spans="1:2" x14ac:dyDescent="0.25">
      <c r="A4720">
        <v>4720</v>
      </c>
      <c r="B4720" t="str">
        <f t="shared" si="73"/>
        <v>ተ</v>
      </c>
    </row>
    <row r="4721" spans="1:2" x14ac:dyDescent="0.25">
      <c r="A4721">
        <v>4721</v>
      </c>
      <c r="B4721" t="str">
        <f t="shared" si="73"/>
        <v>ቱ</v>
      </c>
    </row>
    <row r="4722" spans="1:2" x14ac:dyDescent="0.25">
      <c r="A4722">
        <v>4722</v>
      </c>
      <c r="B4722" t="str">
        <f t="shared" si="73"/>
        <v>ቲ</v>
      </c>
    </row>
    <row r="4723" spans="1:2" x14ac:dyDescent="0.25">
      <c r="A4723">
        <v>4723</v>
      </c>
      <c r="B4723" t="str">
        <f t="shared" si="73"/>
        <v>ታ</v>
      </c>
    </row>
    <row r="4724" spans="1:2" x14ac:dyDescent="0.25">
      <c r="A4724">
        <v>4724</v>
      </c>
      <c r="B4724" t="str">
        <f t="shared" si="73"/>
        <v>ቴ</v>
      </c>
    </row>
    <row r="4725" spans="1:2" x14ac:dyDescent="0.25">
      <c r="A4725">
        <v>4725</v>
      </c>
      <c r="B4725" t="str">
        <f t="shared" si="73"/>
        <v>ት</v>
      </c>
    </row>
    <row r="4726" spans="1:2" x14ac:dyDescent="0.25">
      <c r="A4726">
        <v>4726</v>
      </c>
      <c r="B4726" t="str">
        <f t="shared" si="73"/>
        <v>ቶ</v>
      </c>
    </row>
    <row r="4727" spans="1:2" x14ac:dyDescent="0.25">
      <c r="A4727">
        <v>4727</v>
      </c>
      <c r="B4727" t="str">
        <f t="shared" si="73"/>
        <v>ቷ</v>
      </c>
    </row>
    <row r="4728" spans="1:2" x14ac:dyDescent="0.25">
      <c r="A4728">
        <v>4728</v>
      </c>
      <c r="B4728" t="str">
        <f t="shared" si="73"/>
        <v>ቸ</v>
      </c>
    </row>
    <row r="4729" spans="1:2" x14ac:dyDescent="0.25">
      <c r="A4729">
        <v>4729</v>
      </c>
      <c r="B4729" t="str">
        <f t="shared" si="73"/>
        <v>ቹ</v>
      </c>
    </row>
    <row r="4730" spans="1:2" x14ac:dyDescent="0.25">
      <c r="A4730">
        <v>4730</v>
      </c>
      <c r="B4730" t="str">
        <f t="shared" si="73"/>
        <v>ቺ</v>
      </c>
    </row>
    <row r="4731" spans="1:2" x14ac:dyDescent="0.25">
      <c r="A4731">
        <v>4731</v>
      </c>
      <c r="B4731" t="str">
        <f t="shared" si="73"/>
        <v>ቻ</v>
      </c>
    </row>
    <row r="4732" spans="1:2" x14ac:dyDescent="0.25">
      <c r="A4732">
        <v>4732</v>
      </c>
      <c r="B4732" t="str">
        <f t="shared" si="73"/>
        <v>ቼ</v>
      </c>
    </row>
    <row r="4733" spans="1:2" x14ac:dyDescent="0.25">
      <c r="A4733">
        <v>4733</v>
      </c>
      <c r="B4733" t="str">
        <f t="shared" si="73"/>
        <v>ች</v>
      </c>
    </row>
    <row r="4734" spans="1:2" x14ac:dyDescent="0.25">
      <c r="A4734">
        <v>4734</v>
      </c>
      <c r="B4734" t="str">
        <f t="shared" si="73"/>
        <v>ቾ</v>
      </c>
    </row>
    <row r="4735" spans="1:2" x14ac:dyDescent="0.25">
      <c r="A4735">
        <v>4735</v>
      </c>
      <c r="B4735" t="str">
        <f t="shared" si="73"/>
        <v>ቿ</v>
      </c>
    </row>
    <row r="4736" spans="1:2" x14ac:dyDescent="0.25">
      <c r="A4736">
        <v>4736</v>
      </c>
      <c r="B4736" t="str">
        <f t="shared" si="73"/>
        <v>ኀ</v>
      </c>
    </row>
    <row r="4737" spans="1:2" x14ac:dyDescent="0.25">
      <c r="A4737">
        <v>4737</v>
      </c>
      <c r="B4737" t="str">
        <f t="shared" si="73"/>
        <v>ኁ</v>
      </c>
    </row>
    <row r="4738" spans="1:2" x14ac:dyDescent="0.25">
      <c r="A4738">
        <v>4738</v>
      </c>
      <c r="B4738" t="str">
        <f t="shared" ref="B4738:B4801" si="74">_xlfn.UNICHAR(A4738)</f>
        <v>ኂ</v>
      </c>
    </row>
    <row r="4739" spans="1:2" x14ac:dyDescent="0.25">
      <c r="A4739">
        <v>4739</v>
      </c>
      <c r="B4739" t="str">
        <f t="shared" si="74"/>
        <v>ኃ</v>
      </c>
    </row>
    <row r="4740" spans="1:2" x14ac:dyDescent="0.25">
      <c r="A4740">
        <v>4740</v>
      </c>
      <c r="B4740" t="str">
        <f t="shared" si="74"/>
        <v>ኄ</v>
      </c>
    </row>
    <row r="4741" spans="1:2" x14ac:dyDescent="0.25">
      <c r="A4741">
        <v>4741</v>
      </c>
      <c r="B4741" t="str">
        <f t="shared" si="74"/>
        <v>ኅ</v>
      </c>
    </row>
    <row r="4742" spans="1:2" x14ac:dyDescent="0.25">
      <c r="A4742">
        <v>4742</v>
      </c>
      <c r="B4742" t="str">
        <f t="shared" si="74"/>
        <v>ኆ</v>
      </c>
    </row>
    <row r="4743" spans="1:2" x14ac:dyDescent="0.25">
      <c r="A4743">
        <v>4743</v>
      </c>
      <c r="B4743" t="str">
        <f t="shared" si="74"/>
        <v>ኇ</v>
      </c>
    </row>
    <row r="4744" spans="1:2" x14ac:dyDescent="0.25">
      <c r="A4744">
        <v>4744</v>
      </c>
      <c r="B4744" t="str">
        <f t="shared" si="74"/>
        <v>ኈ</v>
      </c>
    </row>
    <row r="4745" spans="1:2" x14ac:dyDescent="0.25">
      <c r="A4745">
        <v>4745</v>
      </c>
      <c r="B4745" t="str">
        <f t="shared" si="74"/>
        <v>኉</v>
      </c>
    </row>
    <row r="4746" spans="1:2" x14ac:dyDescent="0.25">
      <c r="A4746">
        <v>4746</v>
      </c>
      <c r="B4746" t="str">
        <f t="shared" si="74"/>
        <v>ኊ</v>
      </c>
    </row>
    <row r="4747" spans="1:2" x14ac:dyDescent="0.25">
      <c r="A4747">
        <v>4747</v>
      </c>
      <c r="B4747" t="str">
        <f t="shared" si="74"/>
        <v>ኋ</v>
      </c>
    </row>
    <row r="4748" spans="1:2" x14ac:dyDescent="0.25">
      <c r="A4748">
        <v>4748</v>
      </c>
      <c r="B4748" t="str">
        <f t="shared" si="74"/>
        <v>ኌ</v>
      </c>
    </row>
    <row r="4749" spans="1:2" x14ac:dyDescent="0.25">
      <c r="A4749">
        <v>4749</v>
      </c>
      <c r="B4749" t="str">
        <f t="shared" si="74"/>
        <v>ኍ</v>
      </c>
    </row>
    <row r="4750" spans="1:2" x14ac:dyDescent="0.25">
      <c r="A4750">
        <v>4750</v>
      </c>
      <c r="B4750" t="str">
        <f t="shared" si="74"/>
        <v>኎</v>
      </c>
    </row>
    <row r="4751" spans="1:2" x14ac:dyDescent="0.25">
      <c r="A4751">
        <v>4751</v>
      </c>
      <c r="B4751" t="str">
        <f t="shared" si="74"/>
        <v>኏</v>
      </c>
    </row>
    <row r="4752" spans="1:2" x14ac:dyDescent="0.25">
      <c r="A4752">
        <v>4752</v>
      </c>
      <c r="B4752" t="str">
        <f t="shared" si="74"/>
        <v>ነ</v>
      </c>
    </row>
    <row r="4753" spans="1:2" x14ac:dyDescent="0.25">
      <c r="A4753">
        <v>4753</v>
      </c>
      <c r="B4753" t="str">
        <f t="shared" si="74"/>
        <v>ኑ</v>
      </c>
    </row>
    <row r="4754" spans="1:2" x14ac:dyDescent="0.25">
      <c r="A4754">
        <v>4754</v>
      </c>
      <c r="B4754" t="str">
        <f t="shared" si="74"/>
        <v>ኒ</v>
      </c>
    </row>
    <row r="4755" spans="1:2" x14ac:dyDescent="0.25">
      <c r="A4755">
        <v>4755</v>
      </c>
      <c r="B4755" t="str">
        <f t="shared" si="74"/>
        <v>ና</v>
      </c>
    </row>
    <row r="4756" spans="1:2" x14ac:dyDescent="0.25">
      <c r="A4756">
        <v>4756</v>
      </c>
      <c r="B4756" t="str">
        <f t="shared" si="74"/>
        <v>ኔ</v>
      </c>
    </row>
    <row r="4757" spans="1:2" x14ac:dyDescent="0.25">
      <c r="A4757">
        <v>4757</v>
      </c>
      <c r="B4757" t="str">
        <f t="shared" si="74"/>
        <v>ን</v>
      </c>
    </row>
    <row r="4758" spans="1:2" x14ac:dyDescent="0.25">
      <c r="A4758">
        <v>4758</v>
      </c>
      <c r="B4758" t="str">
        <f t="shared" si="74"/>
        <v>ኖ</v>
      </c>
    </row>
    <row r="4759" spans="1:2" x14ac:dyDescent="0.25">
      <c r="A4759">
        <v>4759</v>
      </c>
      <c r="B4759" t="str">
        <f t="shared" si="74"/>
        <v>ኗ</v>
      </c>
    </row>
    <row r="4760" spans="1:2" x14ac:dyDescent="0.25">
      <c r="A4760">
        <v>4760</v>
      </c>
      <c r="B4760" t="str">
        <f t="shared" si="74"/>
        <v>ኘ</v>
      </c>
    </row>
    <row r="4761" spans="1:2" x14ac:dyDescent="0.25">
      <c r="A4761">
        <v>4761</v>
      </c>
      <c r="B4761" t="str">
        <f t="shared" si="74"/>
        <v>ኙ</v>
      </c>
    </row>
    <row r="4762" spans="1:2" x14ac:dyDescent="0.25">
      <c r="A4762">
        <v>4762</v>
      </c>
      <c r="B4762" t="str">
        <f t="shared" si="74"/>
        <v>ኚ</v>
      </c>
    </row>
    <row r="4763" spans="1:2" x14ac:dyDescent="0.25">
      <c r="A4763">
        <v>4763</v>
      </c>
      <c r="B4763" t="str">
        <f t="shared" si="74"/>
        <v>ኛ</v>
      </c>
    </row>
    <row r="4764" spans="1:2" x14ac:dyDescent="0.25">
      <c r="A4764">
        <v>4764</v>
      </c>
      <c r="B4764" t="str">
        <f t="shared" si="74"/>
        <v>ኜ</v>
      </c>
    </row>
    <row r="4765" spans="1:2" x14ac:dyDescent="0.25">
      <c r="A4765">
        <v>4765</v>
      </c>
      <c r="B4765" t="str">
        <f t="shared" si="74"/>
        <v>ኝ</v>
      </c>
    </row>
    <row r="4766" spans="1:2" x14ac:dyDescent="0.25">
      <c r="A4766">
        <v>4766</v>
      </c>
      <c r="B4766" t="str">
        <f t="shared" si="74"/>
        <v>ኞ</v>
      </c>
    </row>
    <row r="4767" spans="1:2" x14ac:dyDescent="0.25">
      <c r="A4767">
        <v>4767</v>
      </c>
      <c r="B4767" t="str">
        <f t="shared" si="74"/>
        <v>ኟ</v>
      </c>
    </row>
    <row r="4768" spans="1:2" x14ac:dyDescent="0.25">
      <c r="A4768">
        <v>4768</v>
      </c>
      <c r="B4768" t="str">
        <f t="shared" si="74"/>
        <v>አ</v>
      </c>
    </row>
    <row r="4769" spans="1:2" x14ac:dyDescent="0.25">
      <c r="A4769">
        <v>4769</v>
      </c>
      <c r="B4769" t="str">
        <f t="shared" si="74"/>
        <v>ኡ</v>
      </c>
    </row>
    <row r="4770" spans="1:2" x14ac:dyDescent="0.25">
      <c r="A4770">
        <v>4770</v>
      </c>
      <c r="B4770" t="str">
        <f t="shared" si="74"/>
        <v>ኢ</v>
      </c>
    </row>
    <row r="4771" spans="1:2" x14ac:dyDescent="0.25">
      <c r="A4771">
        <v>4771</v>
      </c>
      <c r="B4771" t="str">
        <f t="shared" si="74"/>
        <v>ኣ</v>
      </c>
    </row>
    <row r="4772" spans="1:2" x14ac:dyDescent="0.25">
      <c r="A4772">
        <v>4772</v>
      </c>
      <c r="B4772" t="str">
        <f t="shared" si="74"/>
        <v>ኤ</v>
      </c>
    </row>
    <row r="4773" spans="1:2" x14ac:dyDescent="0.25">
      <c r="A4773">
        <v>4773</v>
      </c>
      <c r="B4773" t="str">
        <f t="shared" si="74"/>
        <v>እ</v>
      </c>
    </row>
    <row r="4774" spans="1:2" x14ac:dyDescent="0.25">
      <c r="A4774">
        <v>4774</v>
      </c>
      <c r="B4774" t="str">
        <f t="shared" si="74"/>
        <v>ኦ</v>
      </c>
    </row>
    <row r="4775" spans="1:2" x14ac:dyDescent="0.25">
      <c r="A4775">
        <v>4775</v>
      </c>
      <c r="B4775" t="str">
        <f t="shared" si="74"/>
        <v>ኧ</v>
      </c>
    </row>
    <row r="4776" spans="1:2" x14ac:dyDescent="0.25">
      <c r="A4776">
        <v>4776</v>
      </c>
      <c r="B4776" t="str">
        <f t="shared" si="74"/>
        <v>ከ</v>
      </c>
    </row>
    <row r="4777" spans="1:2" x14ac:dyDescent="0.25">
      <c r="A4777">
        <v>4777</v>
      </c>
      <c r="B4777" t="str">
        <f t="shared" si="74"/>
        <v>ኩ</v>
      </c>
    </row>
    <row r="4778" spans="1:2" x14ac:dyDescent="0.25">
      <c r="A4778">
        <v>4778</v>
      </c>
      <c r="B4778" t="str">
        <f t="shared" si="74"/>
        <v>ኪ</v>
      </c>
    </row>
    <row r="4779" spans="1:2" x14ac:dyDescent="0.25">
      <c r="A4779">
        <v>4779</v>
      </c>
      <c r="B4779" t="str">
        <f t="shared" si="74"/>
        <v>ካ</v>
      </c>
    </row>
    <row r="4780" spans="1:2" x14ac:dyDescent="0.25">
      <c r="A4780">
        <v>4780</v>
      </c>
      <c r="B4780" t="str">
        <f t="shared" si="74"/>
        <v>ኬ</v>
      </c>
    </row>
    <row r="4781" spans="1:2" x14ac:dyDescent="0.25">
      <c r="A4781">
        <v>4781</v>
      </c>
      <c r="B4781" t="str">
        <f t="shared" si="74"/>
        <v>ክ</v>
      </c>
    </row>
    <row r="4782" spans="1:2" x14ac:dyDescent="0.25">
      <c r="A4782">
        <v>4782</v>
      </c>
      <c r="B4782" t="str">
        <f t="shared" si="74"/>
        <v>ኮ</v>
      </c>
    </row>
    <row r="4783" spans="1:2" x14ac:dyDescent="0.25">
      <c r="A4783">
        <v>4783</v>
      </c>
      <c r="B4783" t="str">
        <f t="shared" si="74"/>
        <v>ኯ</v>
      </c>
    </row>
    <row r="4784" spans="1:2" x14ac:dyDescent="0.25">
      <c r="A4784">
        <v>4784</v>
      </c>
      <c r="B4784" t="str">
        <f t="shared" si="74"/>
        <v>ኰ</v>
      </c>
    </row>
    <row r="4785" spans="1:2" x14ac:dyDescent="0.25">
      <c r="A4785">
        <v>4785</v>
      </c>
      <c r="B4785" t="str">
        <f t="shared" si="74"/>
        <v>኱</v>
      </c>
    </row>
    <row r="4786" spans="1:2" x14ac:dyDescent="0.25">
      <c r="A4786">
        <v>4786</v>
      </c>
      <c r="B4786" t="str">
        <f t="shared" si="74"/>
        <v>ኲ</v>
      </c>
    </row>
    <row r="4787" spans="1:2" x14ac:dyDescent="0.25">
      <c r="A4787">
        <v>4787</v>
      </c>
      <c r="B4787" t="str">
        <f t="shared" si="74"/>
        <v>ኳ</v>
      </c>
    </row>
    <row r="4788" spans="1:2" x14ac:dyDescent="0.25">
      <c r="A4788">
        <v>4788</v>
      </c>
      <c r="B4788" t="str">
        <f t="shared" si="74"/>
        <v>ኴ</v>
      </c>
    </row>
    <row r="4789" spans="1:2" x14ac:dyDescent="0.25">
      <c r="A4789">
        <v>4789</v>
      </c>
      <c r="B4789" t="str">
        <f t="shared" si="74"/>
        <v>ኵ</v>
      </c>
    </row>
    <row r="4790" spans="1:2" x14ac:dyDescent="0.25">
      <c r="A4790">
        <v>4790</v>
      </c>
      <c r="B4790" t="str">
        <f t="shared" si="74"/>
        <v>኶</v>
      </c>
    </row>
    <row r="4791" spans="1:2" x14ac:dyDescent="0.25">
      <c r="A4791">
        <v>4791</v>
      </c>
      <c r="B4791" t="str">
        <f t="shared" si="74"/>
        <v>኷</v>
      </c>
    </row>
    <row r="4792" spans="1:2" x14ac:dyDescent="0.25">
      <c r="A4792">
        <v>4792</v>
      </c>
      <c r="B4792" t="str">
        <f t="shared" si="74"/>
        <v>ኸ</v>
      </c>
    </row>
    <row r="4793" spans="1:2" x14ac:dyDescent="0.25">
      <c r="A4793">
        <v>4793</v>
      </c>
      <c r="B4793" t="str">
        <f t="shared" si="74"/>
        <v>ኹ</v>
      </c>
    </row>
    <row r="4794" spans="1:2" x14ac:dyDescent="0.25">
      <c r="A4794">
        <v>4794</v>
      </c>
      <c r="B4794" t="str">
        <f t="shared" si="74"/>
        <v>ኺ</v>
      </c>
    </row>
    <row r="4795" spans="1:2" x14ac:dyDescent="0.25">
      <c r="A4795">
        <v>4795</v>
      </c>
      <c r="B4795" t="str">
        <f t="shared" si="74"/>
        <v>ኻ</v>
      </c>
    </row>
    <row r="4796" spans="1:2" x14ac:dyDescent="0.25">
      <c r="A4796">
        <v>4796</v>
      </c>
      <c r="B4796" t="str">
        <f t="shared" si="74"/>
        <v>ኼ</v>
      </c>
    </row>
    <row r="4797" spans="1:2" x14ac:dyDescent="0.25">
      <c r="A4797">
        <v>4797</v>
      </c>
      <c r="B4797" t="str">
        <f t="shared" si="74"/>
        <v>ኽ</v>
      </c>
    </row>
    <row r="4798" spans="1:2" x14ac:dyDescent="0.25">
      <c r="A4798">
        <v>4798</v>
      </c>
      <c r="B4798" t="str">
        <f t="shared" si="74"/>
        <v>ኾ</v>
      </c>
    </row>
    <row r="4799" spans="1:2" x14ac:dyDescent="0.25">
      <c r="A4799">
        <v>4799</v>
      </c>
      <c r="B4799" t="str">
        <f t="shared" si="74"/>
        <v>኿</v>
      </c>
    </row>
    <row r="4800" spans="1:2" x14ac:dyDescent="0.25">
      <c r="A4800">
        <v>4800</v>
      </c>
      <c r="B4800" t="str">
        <f t="shared" si="74"/>
        <v>ዀ</v>
      </c>
    </row>
    <row r="4801" spans="1:2" x14ac:dyDescent="0.25">
      <c r="A4801">
        <v>4801</v>
      </c>
      <c r="B4801" t="str">
        <f t="shared" si="74"/>
        <v>዁</v>
      </c>
    </row>
    <row r="4802" spans="1:2" x14ac:dyDescent="0.25">
      <c r="A4802">
        <v>4802</v>
      </c>
      <c r="B4802" t="str">
        <f t="shared" ref="B4802:B4865" si="75">_xlfn.UNICHAR(A4802)</f>
        <v>ዂ</v>
      </c>
    </row>
    <row r="4803" spans="1:2" x14ac:dyDescent="0.25">
      <c r="A4803">
        <v>4803</v>
      </c>
      <c r="B4803" t="str">
        <f t="shared" si="75"/>
        <v>ዃ</v>
      </c>
    </row>
    <row r="4804" spans="1:2" x14ac:dyDescent="0.25">
      <c r="A4804">
        <v>4804</v>
      </c>
      <c r="B4804" t="str">
        <f t="shared" si="75"/>
        <v>ዄ</v>
      </c>
    </row>
    <row r="4805" spans="1:2" x14ac:dyDescent="0.25">
      <c r="A4805">
        <v>4805</v>
      </c>
      <c r="B4805" t="str">
        <f t="shared" si="75"/>
        <v>ዅ</v>
      </c>
    </row>
    <row r="4806" spans="1:2" x14ac:dyDescent="0.25">
      <c r="A4806">
        <v>4806</v>
      </c>
      <c r="B4806" t="str">
        <f t="shared" si="75"/>
        <v>዆</v>
      </c>
    </row>
    <row r="4807" spans="1:2" x14ac:dyDescent="0.25">
      <c r="A4807">
        <v>4807</v>
      </c>
      <c r="B4807" t="str">
        <f t="shared" si="75"/>
        <v>዇</v>
      </c>
    </row>
    <row r="4808" spans="1:2" x14ac:dyDescent="0.25">
      <c r="A4808">
        <v>4808</v>
      </c>
      <c r="B4808" t="str">
        <f t="shared" si="75"/>
        <v>ወ</v>
      </c>
    </row>
    <row r="4809" spans="1:2" x14ac:dyDescent="0.25">
      <c r="A4809">
        <v>4809</v>
      </c>
      <c r="B4809" t="str">
        <f t="shared" si="75"/>
        <v>ዉ</v>
      </c>
    </row>
    <row r="4810" spans="1:2" x14ac:dyDescent="0.25">
      <c r="A4810">
        <v>4810</v>
      </c>
      <c r="B4810" t="str">
        <f t="shared" si="75"/>
        <v>ዊ</v>
      </c>
    </row>
    <row r="4811" spans="1:2" x14ac:dyDescent="0.25">
      <c r="A4811">
        <v>4811</v>
      </c>
      <c r="B4811" t="str">
        <f t="shared" si="75"/>
        <v>ዋ</v>
      </c>
    </row>
    <row r="4812" spans="1:2" x14ac:dyDescent="0.25">
      <c r="A4812">
        <v>4812</v>
      </c>
      <c r="B4812" t="str">
        <f t="shared" si="75"/>
        <v>ዌ</v>
      </c>
    </row>
    <row r="4813" spans="1:2" x14ac:dyDescent="0.25">
      <c r="A4813">
        <v>4813</v>
      </c>
      <c r="B4813" t="str">
        <f t="shared" si="75"/>
        <v>ው</v>
      </c>
    </row>
    <row r="4814" spans="1:2" x14ac:dyDescent="0.25">
      <c r="A4814">
        <v>4814</v>
      </c>
      <c r="B4814" t="str">
        <f t="shared" si="75"/>
        <v>ዎ</v>
      </c>
    </row>
    <row r="4815" spans="1:2" x14ac:dyDescent="0.25">
      <c r="A4815">
        <v>4815</v>
      </c>
      <c r="B4815" t="str">
        <f t="shared" si="75"/>
        <v>ዏ</v>
      </c>
    </row>
    <row r="4816" spans="1:2" x14ac:dyDescent="0.25">
      <c r="A4816">
        <v>4816</v>
      </c>
      <c r="B4816" t="str">
        <f t="shared" si="75"/>
        <v>ዐ</v>
      </c>
    </row>
    <row r="4817" spans="1:2" x14ac:dyDescent="0.25">
      <c r="A4817">
        <v>4817</v>
      </c>
      <c r="B4817" t="str">
        <f t="shared" si="75"/>
        <v>ዑ</v>
      </c>
    </row>
    <row r="4818" spans="1:2" x14ac:dyDescent="0.25">
      <c r="A4818">
        <v>4818</v>
      </c>
      <c r="B4818" t="str">
        <f t="shared" si="75"/>
        <v>ዒ</v>
      </c>
    </row>
    <row r="4819" spans="1:2" x14ac:dyDescent="0.25">
      <c r="A4819">
        <v>4819</v>
      </c>
      <c r="B4819" t="str">
        <f t="shared" si="75"/>
        <v>ዓ</v>
      </c>
    </row>
    <row r="4820" spans="1:2" x14ac:dyDescent="0.25">
      <c r="A4820">
        <v>4820</v>
      </c>
      <c r="B4820" t="str">
        <f t="shared" si="75"/>
        <v>ዔ</v>
      </c>
    </row>
    <row r="4821" spans="1:2" x14ac:dyDescent="0.25">
      <c r="A4821">
        <v>4821</v>
      </c>
      <c r="B4821" t="str">
        <f t="shared" si="75"/>
        <v>ዕ</v>
      </c>
    </row>
    <row r="4822" spans="1:2" x14ac:dyDescent="0.25">
      <c r="A4822">
        <v>4822</v>
      </c>
      <c r="B4822" t="str">
        <f t="shared" si="75"/>
        <v>ዖ</v>
      </c>
    </row>
    <row r="4823" spans="1:2" x14ac:dyDescent="0.25">
      <c r="A4823">
        <v>4823</v>
      </c>
      <c r="B4823" t="str">
        <f t="shared" si="75"/>
        <v>዗</v>
      </c>
    </row>
    <row r="4824" spans="1:2" x14ac:dyDescent="0.25">
      <c r="A4824">
        <v>4824</v>
      </c>
      <c r="B4824" t="str">
        <f t="shared" si="75"/>
        <v>ዘ</v>
      </c>
    </row>
    <row r="4825" spans="1:2" x14ac:dyDescent="0.25">
      <c r="A4825">
        <v>4825</v>
      </c>
      <c r="B4825" t="str">
        <f t="shared" si="75"/>
        <v>ዙ</v>
      </c>
    </row>
    <row r="4826" spans="1:2" x14ac:dyDescent="0.25">
      <c r="A4826">
        <v>4826</v>
      </c>
      <c r="B4826" t="str">
        <f t="shared" si="75"/>
        <v>ዚ</v>
      </c>
    </row>
    <row r="4827" spans="1:2" x14ac:dyDescent="0.25">
      <c r="A4827">
        <v>4827</v>
      </c>
      <c r="B4827" t="str">
        <f t="shared" si="75"/>
        <v>ዛ</v>
      </c>
    </row>
    <row r="4828" spans="1:2" x14ac:dyDescent="0.25">
      <c r="A4828">
        <v>4828</v>
      </c>
      <c r="B4828" t="str">
        <f t="shared" si="75"/>
        <v>ዜ</v>
      </c>
    </row>
    <row r="4829" spans="1:2" x14ac:dyDescent="0.25">
      <c r="A4829">
        <v>4829</v>
      </c>
      <c r="B4829" t="str">
        <f t="shared" si="75"/>
        <v>ዝ</v>
      </c>
    </row>
    <row r="4830" spans="1:2" x14ac:dyDescent="0.25">
      <c r="A4830">
        <v>4830</v>
      </c>
      <c r="B4830" t="str">
        <f t="shared" si="75"/>
        <v>ዞ</v>
      </c>
    </row>
    <row r="4831" spans="1:2" x14ac:dyDescent="0.25">
      <c r="A4831">
        <v>4831</v>
      </c>
      <c r="B4831" t="str">
        <f t="shared" si="75"/>
        <v>ዟ</v>
      </c>
    </row>
    <row r="4832" spans="1:2" x14ac:dyDescent="0.25">
      <c r="A4832">
        <v>4832</v>
      </c>
      <c r="B4832" t="str">
        <f t="shared" si="75"/>
        <v>ዠ</v>
      </c>
    </row>
    <row r="4833" spans="1:2" x14ac:dyDescent="0.25">
      <c r="A4833">
        <v>4833</v>
      </c>
      <c r="B4833" t="str">
        <f t="shared" si="75"/>
        <v>ዡ</v>
      </c>
    </row>
    <row r="4834" spans="1:2" x14ac:dyDescent="0.25">
      <c r="A4834">
        <v>4834</v>
      </c>
      <c r="B4834" t="str">
        <f t="shared" si="75"/>
        <v>ዢ</v>
      </c>
    </row>
    <row r="4835" spans="1:2" x14ac:dyDescent="0.25">
      <c r="A4835">
        <v>4835</v>
      </c>
      <c r="B4835" t="str">
        <f t="shared" si="75"/>
        <v>ዣ</v>
      </c>
    </row>
    <row r="4836" spans="1:2" x14ac:dyDescent="0.25">
      <c r="A4836">
        <v>4836</v>
      </c>
      <c r="B4836" t="str">
        <f t="shared" si="75"/>
        <v>ዤ</v>
      </c>
    </row>
    <row r="4837" spans="1:2" x14ac:dyDescent="0.25">
      <c r="A4837">
        <v>4837</v>
      </c>
      <c r="B4837" t="str">
        <f t="shared" si="75"/>
        <v>ዥ</v>
      </c>
    </row>
    <row r="4838" spans="1:2" x14ac:dyDescent="0.25">
      <c r="A4838">
        <v>4838</v>
      </c>
      <c r="B4838" t="str">
        <f t="shared" si="75"/>
        <v>ዦ</v>
      </c>
    </row>
    <row r="4839" spans="1:2" x14ac:dyDescent="0.25">
      <c r="A4839">
        <v>4839</v>
      </c>
      <c r="B4839" t="str">
        <f t="shared" si="75"/>
        <v>ዧ</v>
      </c>
    </row>
    <row r="4840" spans="1:2" x14ac:dyDescent="0.25">
      <c r="A4840">
        <v>4840</v>
      </c>
      <c r="B4840" t="str">
        <f t="shared" si="75"/>
        <v>የ</v>
      </c>
    </row>
    <row r="4841" spans="1:2" x14ac:dyDescent="0.25">
      <c r="A4841">
        <v>4841</v>
      </c>
      <c r="B4841" t="str">
        <f t="shared" si="75"/>
        <v>ዩ</v>
      </c>
    </row>
    <row r="4842" spans="1:2" x14ac:dyDescent="0.25">
      <c r="A4842">
        <v>4842</v>
      </c>
      <c r="B4842" t="str">
        <f t="shared" si="75"/>
        <v>ዪ</v>
      </c>
    </row>
    <row r="4843" spans="1:2" x14ac:dyDescent="0.25">
      <c r="A4843">
        <v>4843</v>
      </c>
      <c r="B4843" t="str">
        <f t="shared" si="75"/>
        <v>ያ</v>
      </c>
    </row>
    <row r="4844" spans="1:2" x14ac:dyDescent="0.25">
      <c r="A4844">
        <v>4844</v>
      </c>
      <c r="B4844" t="str">
        <f t="shared" si="75"/>
        <v>ዬ</v>
      </c>
    </row>
    <row r="4845" spans="1:2" x14ac:dyDescent="0.25">
      <c r="A4845">
        <v>4845</v>
      </c>
      <c r="B4845" t="str">
        <f t="shared" si="75"/>
        <v>ይ</v>
      </c>
    </row>
    <row r="4846" spans="1:2" x14ac:dyDescent="0.25">
      <c r="A4846">
        <v>4846</v>
      </c>
      <c r="B4846" t="str">
        <f t="shared" si="75"/>
        <v>ዮ</v>
      </c>
    </row>
    <row r="4847" spans="1:2" x14ac:dyDescent="0.25">
      <c r="A4847">
        <v>4847</v>
      </c>
      <c r="B4847" t="str">
        <f t="shared" si="75"/>
        <v>ዯ</v>
      </c>
    </row>
    <row r="4848" spans="1:2" x14ac:dyDescent="0.25">
      <c r="A4848">
        <v>4848</v>
      </c>
      <c r="B4848" t="str">
        <f t="shared" si="75"/>
        <v>ደ</v>
      </c>
    </row>
    <row r="4849" spans="1:2" x14ac:dyDescent="0.25">
      <c r="A4849">
        <v>4849</v>
      </c>
      <c r="B4849" t="str">
        <f t="shared" si="75"/>
        <v>ዱ</v>
      </c>
    </row>
    <row r="4850" spans="1:2" x14ac:dyDescent="0.25">
      <c r="A4850">
        <v>4850</v>
      </c>
      <c r="B4850" t="str">
        <f t="shared" si="75"/>
        <v>ዲ</v>
      </c>
    </row>
    <row r="4851" spans="1:2" x14ac:dyDescent="0.25">
      <c r="A4851">
        <v>4851</v>
      </c>
      <c r="B4851" t="str">
        <f t="shared" si="75"/>
        <v>ዳ</v>
      </c>
    </row>
    <row r="4852" spans="1:2" x14ac:dyDescent="0.25">
      <c r="A4852">
        <v>4852</v>
      </c>
      <c r="B4852" t="str">
        <f t="shared" si="75"/>
        <v>ዴ</v>
      </c>
    </row>
    <row r="4853" spans="1:2" x14ac:dyDescent="0.25">
      <c r="A4853">
        <v>4853</v>
      </c>
      <c r="B4853" t="str">
        <f t="shared" si="75"/>
        <v>ድ</v>
      </c>
    </row>
    <row r="4854" spans="1:2" x14ac:dyDescent="0.25">
      <c r="A4854">
        <v>4854</v>
      </c>
      <c r="B4854" t="str">
        <f t="shared" si="75"/>
        <v>ዶ</v>
      </c>
    </row>
    <row r="4855" spans="1:2" x14ac:dyDescent="0.25">
      <c r="A4855">
        <v>4855</v>
      </c>
      <c r="B4855" t="str">
        <f t="shared" si="75"/>
        <v>ዷ</v>
      </c>
    </row>
    <row r="4856" spans="1:2" x14ac:dyDescent="0.25">
      <c r="A4856">
        <v>4856</v>
      </c>
      <c r="B4856" t="str">
        <f t="shared" si="75"/>
        <v>ዸ</v>
      </c>
    </row>
    <row r="4857" spans="1:2" x14ac:dyDescent="0.25">
      <c r="A4857">
        <v>4857</v>
      </c>
      <c r="B4857" t="str">
        <f t="shared" si="75"/>
        <v>ዹ</v>
      </c>
    </row>
    <row r="4858" spans="1:2" x14ac:dyDescent="0.25">
      <c r="A4858">
        <v>4858</v>
      </c>
      <c r="B4858" t="str">
        <f t="shared" si="75"/>
        <v>ዺ</v>
      </c>
    </row>
    <row r="4859" spans="1:2" x14ac:dyDescent="0.25">
      <c r="A4859">
        <v>4859</v>
      </c>
      <c r="B4859" t="str">
        <f t="shared" si="75"/>
        <v>ዻ</v>
      </c>
    </row>
    <row r="4860" spans="1:2" x14ac:dyDescent="0.25">
      <c r="A4860">
        <v>4860</v>
      </c>
      <c r="B4860" t="str">
        <f t="shared" si="75"/>
        <v>ዼ</v>
      </c>
    </row>
    <row r="4861" spans="1:2" x14ac:dyDescent="0.25">
      <c r="A4861">
        <v>4861</v>
      </c>
      <c r="B4861" t="str">
        <f t="shared" si="75"/>
        <v>ዽ</v>
      </c>
    </row>
    <row r="4862" spans="1:2" x14ac:dyDescent="0.25">
      <c r="A4862">
        <v>4862</v>
      </c>
      <c r="B4862" t="str">
        <f t="shared" si="75"/>
        <v>ዾ</v>
      </c>
    </row>
    <row r="4863" spans="1:2" x14ac:dyDescent="0.25">
      <c r="A4863">
        <v>4863</v>
      </c>
      <c r="B4863" t="str">
        <f t="shared" si="75"/>
        <v>ዿ</v>
      </c>
    </row>
    <row r="4864" spans="1:2" x14ac:dyDescent="0.25">
      <c r="A4864">
        <v>4864</v>
      </c>
      <c r="B4864" t="str">
        <f t="shared" si="75"/>
        <v>ጀ</v>
      </c>
    </row>
    <row r="4865" spans="1:2" x14ac:dyDescent="0.25">
      <c r="A4865">
        <v>4865</v>
      </c>
      <c r="B4865" t="str">
        <f t="shared" si="75"/>
        <v>ጁ</v>
      </c>
    </row>
    <row r="4866" spans="1:2" x14ac:dyDescent="0.25">
      <c r="A4866">
        <v>4866</v>
      </c>
      <c r="B4866" t="str">
        <f t="shared" ref="B4866:B4929" si="76">_xlfn.UNICHAR(A4866)</f>
        <v>ጂ</v>
      </c>
    </row>
    <row r="4867" spans="1:2" x14ac:dyDescent="0.25">
      <c r="A4867">
        <v>4867</v>
      </c>
      <c r="B4867" t="str">
        <f t="shared" si="76"/>
        <v>ጃ</v>
      </c>
    </row>
    <row r="4868" spans="1:2" x14ac:dyDescent="0.25">
      <c r="A4868">
        <v>4868</v>
      </c>
      <c r="B4868" t="str">
        <f t="shared" si="76"/>
        <v>ጄ</v>
      </c>
    </row>
    <row r="4869" spans="1:2" x14ac:dyDescent="0.25">
      <c r="A4869">
        <v>4869</v>
      </c>
      <c r="B4869" t="str">
        <f t="shared" si="76"/>
        <v>ጅ</v>
      </c>
    </row>
    <row r="4870" spans="1:2" x14ac:dyDescent="0.25">
      <c r="A4870">
        <v>4870</v>
      </c>
      <c r="B4870" t="str">
        <f t="shared" si="76"/>
        <v>ጆ</v>
      </c>
    </row>
    <row r="4871" spans="1:2" x14ac:dyDescent="0.25">
      <c r="A4871">
        <v>4871</v>
      </c>
      <c r="B4871" t="str">
        <f t="shared" si="76"/>
        <v>ጇ</v>
      </c>
    </row>
    <row r="4872" spans="1:2" x14ac:dyDescent="0.25">
      <c r="A4872">
        <v>4872</v>
      </c>
      <c r="B4872" t="str">
        <f t="shared" si="76"/>
        <v>ገ</v>
      </c>
    </row>
    <row r="4873" spans="1:2" x14ac:dyDescent="0.25">
      <c r="A4873">
        <v>4873</v>
      </c>
      <c r="B4873" t="str">
        <f t="shared" si="76"/>
        <v>ጉ</v>
      </c>
    </row>
    <row r="4874" spans="1:2" x14ac:dyDescent="0.25">
      <c r="A4874">
        <v>4874</v>
      </c>
      <c r="B4874" t="str">
        <f t="shared" si="76"/>
        <v>ጊ</v>
      </c>
    </row>
    <row r="4875" spans="1:2" x14ac:dyDescent="0.25">
      <c r="A4875">
        <v>4875</v>
      </c>
      <c r="B4875" t="str">
        <f t="shared" si="76"/>
        <v>ጋ</v>
      </c>
    </row>
    <row r="4876" spans="1:2" x14ac:dyDescent="0.25">
      <c r="A4876">
        <v>4876</v>
      </c>
      <c r="B4876" t="str">
        <f t="shared" si="76"/>
        <v>ጌ</v>
      </c>
    </row>
    <row r="4877" spans="1:2" x14ac:dyDescent="0.25">
      <c r="A4877">
        <v>4877</v>
      </c>
      <c r="B4877" t="str">
        <f t="shared" si="76"/>
        <v>ግ</v>
      </c>
    </row>
    <row r="4878" spans="1:2" x14ac:dyDescent="0.25">
      <c r="A4878">
        <v>4878</v>
      </c>
      <c r="B4878" t="str">
        <f t="shared" si="76"/>
        <v>ጎ</v>
      </c>
    </row>
    <row r="4879" spans="1:2" x14ac:dyDescent="0.25">
      <c r="A4879">
        <v>4879</v>
      </c>
      <c r="B4879" t="str">
        <f t="shared" si="76"/>
        <v>ጏ</v>
      </c>
    </row>
    <row r="4880" spans="1:2" x14ac:dyDescent="0.25">
      <c r="A4880">
        <v>4880</v>
      </c>
      <c r="B4880" t="str">
        <f t="shared" si="76"/>
        <v>ጐ</v>
      </c>
    </row>
    <row r="4881" spans="1:2" x14ac:dyDescent="0.25">
      <c r="A4881">
        <v>4881</v>
      </c>
      <c r="B4881" t="str">
        <f t="shared" si="76"/>
        <v>጑</v>
      </c>
    </row>
    <row r="4882" spans="1:2" x14ac:dyDescent="0.25">
      <c r="A4882">
        <v>4882</v>
      </c>
      <c r="B4882" t="str">
        <f t="shared" si="76"/>
        <v>ጒ</v>
      </c>
    </row>
    <row r="4883" spans="1:2" x14ac:dyDescent="0.25">
      <c r="A4883">
        <v>4883</v>
      </c>
      <c r="B4883" t="str">
        <f t="shared" si="76"/>
        <v>ጓ</v>
      </c>
    </row>
    <row r="4884" spans="1:2" x14ac:dyDescent="0.25">
      <c r="A4884">
        <v>4884</v>
      </c>
      <c r="B4884" t="str">
        <f t="shared" si="76"/>
        <v>ጔ</v>
      </c>
    </row>
    <row r="4885" spans="1:2" x14ac:dyDescent="0.25">
      <c r="A4885">
        <v>4885</v>
      </c>
      <c r="B4885" t="str">
        <f t="shared" si="76"/>
        <v>ጕ</v>
      </c>
    </row>
    <row r="4886" spans="1:2" x14ac:dyDescent="0.25">
      <c r="A4886">
        <v>4886</v>
      </c>
      <c r="B4886" t="str">
        <f t="shared" si="76"/>
        <v>጖</v>
      </c>
    </row>
    <row r="4887" spans="1:2" x14ac:dyDescent="0.25">
      <c r="A4887">
        <v>4887</v>
      </c>
      <c r="B4887" t="str">
        <f t="shared" si="76"/>
        <v>጗</v>
      </c>
    </row>
    <row r="4888" spans="1:2" x14ac:dyDescent="0.25">
      <c r="A4888">
        <v>4888</v>
      </c>
      <c r="B4888" t="str">
        <f t="shared" si="76"/>
        <v>ጘ</v>
      </c>
    </row>
    <row r="4889" spans="1:2" x14ac:dyDescent="0.25">
      <c r="A4889">
        <v>4889</v>
      </c>
      <c r="B4889" t="str">
        <f t="shared" si="76"/>
        <v>ጙ</v>
      </c>
    </row>
    <row r="4890" spans="1:2" x14ac:dyDescent="0.25">
      <c r="A4890">
        <v>4890</v>
      </c>
      <c r="B4890" t="str">
        <f t="shared" si="76"/>
        <v>ጚ</v>
      </c>
    </row>
    <row r="4891" spans="1:2" x14ac:dyDescent="0.25">
      <c r="A4891">
        <v>4891</v>
      </c>
      <c r="B4891" t="str">
        <f t="shared" si="76"/>
        <v>ጛ</v>
      </c>
    </row>
    <row r="4892" spans="1:2" x14ac:dyDescent="0.25">
      <c r="A4892">
        <v>4892</v>
      </c>
      <c r="B4892" t="str">
        <f t="shared" si="76"/>
        <v>ጜ</v>
      </c>
    </row>
    <row r="4893" spans="1:2" x14ac:dyDescent="0.25">
      <c r="A4893">
        <v>4893</v>
      </c>
      <c r="B4893" t="str">
        <f t="shared" si="76"/>
        <v>ጝ</v>
      </c>
    </row>
    <row r="4894" spans="1:2" x14ac:dyDescent="0.25">
      <c r="A4894">
        <v>4894</v>
      </c>
      <c r="B4894" t="str">
        <f t="shared" si="76"/>
        <v>ጞ</v>
      </c>
    </row>
    <row r="4895" spans="1:2" x14ac:dyDescent="0.25">
      <c r="A4895">
        <v>4895</v>
      </c>
      <c r="B4895" t="str">
        <f t="shared" si="76"/>
        <v>ጟ</v>
      </c>
    </row>
    <row r="4896" spans="1:2" x14ac:dyDescent="0.25">
      <c r="A4896">
        <v>4896</v>
      </c>
      <c r="B4896" t="str">
        <f t="shared" si="76"/>
        <v>ጠ</v>
      </c>
    </row>
    <row r="4897" spans="1:2" x14ac:dyDescent="0.25">
      <c r="A4897">
        <v>4897</v>
      </c>
      <c r="B4897" t="str">
        <f t="shared" si="76"/>
        <v>ጡ</v>
      </c>
    </row>
    <row r="4898" spans="1:2" x14ac:dyDescent="0.25">
      <c r="A4898">
        <v>4898</v>
      </c>
      <c r="B4898" t="str">
        <f t="shared" si="76"/>
        <v>ጢ</v>
      </c>
    </row>
    <row r="4899" spans="1:2" x14ac:dyDescent="0.25">
      <c r="A4899">
        <v>4899</v>
      </c>
      <c r="B4899" t="str">
        <f t="shared" si="76"/>
        <v>ጣ</v>
      </c>
    </row>
    <row r="4900" spans="1:2" x14ac:dyDescent="0.25">
      <c r="A4900">
        <v>4900</v>
      </c>
      <c r="B4900" t="str">
        <f t="shared" si="76"/>
        <v>ጤ</v>
      </c>
    </row>
    <row r="4901" spans="1:2" x14ac:dyDescent="0.25">
      <c r="A4901">
        <v>4901</v>
      </c>
      <c r="B4901" t="str">
        <f t="shared" si="76"/>
        <v>ጥ</v>
      </c>
    </row>
    <row r="4902" spans="1:2" x14ac:dyDescent="0.25">
      <c r="A4902">
        <v>4902</v>
      </c>
      <c r="B4902" t="str">
        <f t="shared" si="76"/>
        <v>ጦ</v>
      </c>
    </row>
    <row r="4903" spans="1:2" x14ac:dyDescent="0.25">
      <c r="A4903">
        <v>4903</v>
      </c>
      <c r="B4903" t="str">
        <f t="shared" si="76"/>
        <v>ጧ</v>
      </c>
    </row>
    <row r="4904" spans="1:2" x14ac:dyDescent="0.25">
      <c r="A4904">
        <v>4904</v>
      </c>
      <c r="B4904" t="str">
        <f t="shared" si="76"/>
        <v>ጨ</v>
      </c>
    </row>
    <row r="4905" spans="1:2" x14ac:dyDescent="0.25">
      <c r="A4905">
        <v>4905</v>
      </c>
      <c r="B4905" t="str">
        <f t="shared" si="76"/>
        <v>ጩ</v>
      </c>
    </row>
    <row r="4906" spans="1:2" x14ac:dyDescent="0.25">
      <c r="A4906">
        <v>4906</v>
      </c>
      <c r="B4906" t="str">
        <f t="shared" si="76"/>
        <v>ጪ</v>
      </c>
    </row>
    <row r="4907" spans="1:2" x14ac:dyDescent="0.25">
      <c r="A4907">
        <v>4907</v>
      </c>
      <c r="B4907" t="str">
        <f t="shared" si="76"/>
        <v>ጫ</v>
      </c>
    </row>
    <row r="4908" spans="1:2" x14ac:dyDescent="0.25">
      <c r="A4908">
        <v>4908</v>
      </c>
      <c r="B4908" t="str">
        <f t="shared" si="76"/>
        <v>ጬ</v>
      </c>
    </row>
    <row r="4909" spans="1:2" x14ac:dyDescent="0.25">
      <c r="A4909">
        <v>4909</v>
      </c>
      <c r="B4909" t="str">
        <f t="shared" si="76"/>
        <v>ጭ</v>
      </c>
    </row>
    <row r="4910" spans="1:2" x14ac:dyDescent="0.25">
      <c r="A4910">
        <v>4910</v>
      </c>
      <c r="B4910" t="str">
        <f t="shared" si="76"/>
        <v>ጮ</v>
      </c>
    </row>
    <row r="4911" spans="1:2" x14ac:dyDescent="0.25">
      <c r="A4911">
        <v>4911</v>
      </c>
      <c r="B4911" t="str">
        <f t="shared" si="76"/>
        <v>ጯ</v>
      </c>
    </row>
    <row r="4912" spans="1:2" x14ac:dyDescent="0.25">
      <c r="A4912">
        <v>4912</v>
      </c>
      <c r="B4912" t="str">
        <f t="shared" si="76"/>
        <v>ጰ</v>
      </c>
    </row>
    <row r="4913" spans="1:2" x14ac:dyDescent="0.25">
      <c r="A4913">
        <v>4913</v>
      </c>
      <c r="B4913" t="str">
        <f t="shared" si="76"/>
        <v>ጱ</v>
      </c>
    </row>
    <row r="4914" spans="1:2" x14ac:dyDescent="0.25">
      <c r="A4914">
        <v>4914</v>
      </c>
      <c r="B4914" t="str">
        <f t="shared" si="76"/>
        <v>ጲ</v>
      </c>
    </row>
    <row r="4915" spans="1:2" x14ac:dyDescent="0.25">
      <c r="A4915">
        <v>4915</v>
      </c>
      <c r="B4915" t="str">
        <f t="shared" si="76"/>
        <v>ጳ</v>
      </c>
    </row>
    <row r="4916" spans="1:2" x14ac:dyDescent="0.25">
      <c r="A4916">
        <v>4916</v>
      </c>
      <c r="B4916" t="str">
        <f t="shared" si="76"/>
        <v>ጴ</v>
      </c>
    </row>
    <row r="4917" spans="1:2" x14ac:dyDescent="0.25">
      <c r="A4917">
        <v>4917</v>
      </c>
      <c r="B4917" t="str">
        <f t="shared" si="76"/>
        <v>ጵ</v>
      </c>
    </row>
    <row r="4918" spans="1:2" x14ac:dyDescent="0.25">
      <c r="A4918">
        <v>4918</v>
      </c>
      <c r="B4918" t="str">
        <f t="shared" si="76"/>
        <v>ጶ</v>
      </c>
    </row>
    <row r="4919" spans="1:2" x14ac:dyDescent="0.25">
      <c r="A4919">
        <v>4919</v>
      </c>
      <c r="B4919" t="str">
        <f t="shared" si="76"/>
        <v>ጷ</v>
      </c>
    </row>
    <row r="4920" spans="1:2" x14ac:dyDescent="0.25">
      <c r="A4920">
        <v>4920</v>
      </c>
      <c r="B4920" t="str">
        <f t="shared" si="76"/>
        <v>ጸ</v>
      </c>
    </row>
    <row r="4921" spans="1:2" x14ac:dyDescent="0.25">
      <c r="A4921">
        <v>4921</v>
      </c>
      <c r="B4921" t="str">
        <f t="shared" si="76"/>
        <v>ጹ</v>
      </c>
    </row>
    <row r="4922" spans="1:2" x14ac:dyDescent="0.25">
      <c r="A4922">
        <v>4922</v>
      </c>
      <c r="B4922" t="str">
        <f t="shared" si="76"/>
        <v>ጺ</v>
      </c>
    </row>
    <row r="4923" spans="1:2" x14ac:dyDescent="0.25">
      <c r="A4923">
        <v>4923</v>
      </c>
      <c r="B4923" t="str">
        <f t="shared" si="76"/>
        <v>ጻ</v>
      </c>
    </row>
    <row r="4924" spans="1:2" x14ac:dyDescent="0.25">
      <c r="A4924">
        <v>4924</v>
      </c>
      <c r="B4924" t="str">
        <f t="shared" si="76"/>
        <v>ጼ</v>
      </c>
    </row>
    <row r="4925" spans="1:2" x14ac:dyDescent="0.25">
      <c r="A4925">
        <v>4925</v>
      </c>
      <c r="B4925" t="str">
        <f t="shared" si="76"/>
        <v>ጽ</v>
      </c>
    </row>
    <row r="4926" spans="1:2" x14ac:dyDescent="0.25">
      <c r="A4926">
        <v>4926</v>
      </c>
      <c r="B4926" t="str">
        <f t="shared" si="76"/>
        <v>ጾ</v>
      </c>
    </row>
    <row r="4927" spans="1:2" x14ac:dyDescent="0.25">
      <c r="A4927">
        <v>4927</v>
      </c>
      <c r="B4927" t="str">
        <f t="shared" si="76"/>
        <v>ጿ</v>
      </c>
    </row>
    <row r="4928" spans="1:2" x14ac:dyDescent="0.25">
      <c r="A4928">
        <v>4928</v>
      </c>
      <c r="B4928" t="str">
        <f t="shared" si="76"/>
        <v>ፀ</v>
      </c>
    </row>
    <row r="4929" spans="1:2" x14ac:dyDescent="0.25">
      <c r="A4929">
        <v>4929</v>
      </c>
      <c r="B4929" t="str">
        <f t="shared" si="76"/>
        <v>ፁ</v>
      </c>
    </row>
    <row r="4930" spans="1:2" x14ac:dyDescent="0.25">
      <c r="A4930">
        <v>4930</v>
      </c>
      <c r="B4930" t="str">
        <f t="shared" ref="B4930:B4993" si="77">_xlfn.UNICHAR(A4930)</f>
        <v>ፂ</v>
      </c>
    </row>
    <row r="4931" spans="1:2" x14ac:dyDescent="0.25">
      <c r="A4931">
        <v>4931</v>
      </c>
      <c r="B4931" t="str">
        <f t="shared" si="77"/>
        <v>ፃ</v>
      </c>
    </row>
    <row r="4932" spans="1:2" x14ac:dyDescent="0.25">
      <c r="A4932">
        <v>4932</v>
      </c>
      <c r="B4932" t="str">
        <f t="shared" si="77"/>
        <v>ፄ</v>
      </c>
    </row>
    <row r="4933" spans="1:2" x14ac:dyDescent="0.25">
      <c r="A4933">
        <v>4933</v>
      </c>
      <c r="B4933" t="str">
        <f t="shared" si="77"/>
        <v>ፅ</v>
      </c>
    </row>
    <row r="4934" spans="1:2" x14ac:dyDescent="0.25">
      <c r="A4934">
        <v>4934</v>
      </c>
      <c r="B4934" t="str">
        <f t="shared" si="77"/>
        <v>ፆ</v>
      </c>
    </row>
    <row r="4935" spans="1:2" x14ac:dyDescent="0.25">
      <c r="A4935">
        <v>4935</v>
      </c>
      <c r="B4935" t="str">
        <f t="shared" si="77"/>
        <v>ፇ</v>
      </c>
    </row>
    <row r="4936" spans="1:2" x14ac:dyDescent="0.25">
      <c r="A4936">
        <v>4936</v>
      </c>
      <c r="B4936" t="str">
        <f t="shared" si="77"/>
        <v>ፈ</v>
      </c>
    </row>
    <row r="4937" spans="1:2" x14ac:dyDescent="0.25">
      <c r="A4937">
        <v>4937</v>
      </c>
      <c r="B4937" t="str">
        <f t="shared" si="77"/>
        <v>ፉ</v>
      </c>
    </row>
    <row r="4938" spans="1:2" x14ac:dyDescent="0.25">
      <c r="A4938">
        <v>4938</v>
      </c>
      <c r="B4938" t="str">
        <f t="shared" si="77"/>
        <v>ፊ</v>
      </c>
    </row>
    <row r="4939" spans="1:2" x14ac:dyDescent="0.25">
      <c r="A4939">
        <v>4939</v>
      </c>
      <c r="B4939" t="str">
        <f t="shared" si="77"/>
        <v>ፋ</v>
      </c>
    </row>
    <row r="4940" spans="1:2" x14ac:dyDescent="0.25">
      <c r="A4940">
        <v>4940</v>
      </c>
      <c r="B4940" t="str">
        <f t="shared" si="77"/>
        <v>ፌ</v>
      </c>
    </row>
    <row r="4941" spans="1:2" x14ac:dyDescent="0.25">
      <c r="A4941">
        <v>4941</v>
      </c>
      <c r="B4941" t="str">
        <f t="shared" si="77"/>
        <v>ፍ</v>
      </c>
    </row>
    <row r="4942" spans="1:2" x14ac:dyDescent="0.25">
      <c r="A4942">
        <v>4942</v>
      </c>
      <c r="B4942" t="str">
        <f t="shared" si="77"/>
        <v>ፎ</v>
      </c>
    </row>
    <row r="4943" spans="1:2" x14ac:dyDescent="0.25">
      <c r="A4943">
        <v>4943</v>
      </c>
      <c r="B4943" t="str">
        <f t="shared" si="77"/>
        <v>ፏ</v>
      </c>
    </row>
    <row r="4944" spans="1:2" x14ac:dyDescent="0.25">
      <c r="A4944">
        <v>4944</v>
      </c>
      <c r="B4944" t="str">
        <f t="shared" si="77"/>
        <v>ፐ</v>
      </c>
    </row>
    <row r="4945" spans="1:2" x14ac:dyDescent="0.25">
      <c r="A4945">
        <v>4945</v>
      </c>
      <c r="B4945" t="str">
        <f t="shared" si="77"/>
        <v>ፑ</v>
      </c>
    </row>
    <row r="4946" spans="1:2" x14ac:dyDescent="0.25">
      <c r="A4946">
        <v>4946</v>
      </c>
      <c r="B4946" t="str">
        <f t="shared" si="77"/>
        <v>ፒ</v>
      </c>
    </row>
    <row r="4947" spans="1:2" x14ac:dyDescent="0.25">
      <c r="A4947">
        <v>4947</v>
      </c>
      <c r="B4947" t="str">
        <f t="shared" si="77"/>
        <v>ፓ</v>
      </c>
    </row>
    <row r="4948" spans="1:2" x14ac:dyDescent="0.25">
      <c r="A4948">
        <v>4948</v>
      </c>
      <c r="B4948" t="str">
        <f t="shared" si="77"/>
        <v>ፔ</v>
      </c>
    </row>
    <row r="4949" spans="1:2" x14ac:dyDescent="0.25">
      <c r="A4949">
        <v>4949</v>
      </c>
      <c r="B4949" t="str">
        <f t="shared" si="77"/>
        <v>ፕ</v>
      </c>
    </row>
    <row r="4950" spans="1:2" x14ac:dyDescent="0.25">
      <c r="A4950">
        <v>4950</v>
      </c>
      <c r="B4950" t="str">
        <f t="shared" si="77"/>
        <v>ፖ</v>
      </c>
    </row>
    <row r="4951" spans="1:2" x14ac:dyDescent="0.25">
      <c r="A4951">
        <v>4951</v>
      </c>
      <c r="B4951" t="str">
        <f t="shared" si="77"/>
        <v>ፗ</v>
      </c>
    </row>
    <row r="4952" spans="1:2" x14ac:dyDescent="0.25">
      <c r="A4952">
        <v>4952</v>
      </c>
      <c r="B4952" t="str">
        <f t="shared" si="77"/>
        <v>ፘ</v>
      </c>
    </row>
    <row r="4953" spans="1:2" x14ac:dyDescent="0.25">
      <c r="A4953">
        <v>4953</v>
      </c>
      <c r="B4953" t="str">
        <f t="shared" si="77"/>
        <v>ፙ</v>
      </c>
    </row>
    <row r="4954" spans="1:2" x14ac:dyDescent="0.25">
      <c r="A4954">
        <v>4954</v>
      </c>
      <c r="B4954" t="str">
        <f t="shared" si="77"/>
        <v>ፚ</v>
      </c>
    </row>
    <row r="4955" spans="1:2" x14ac:dyDescent="0.25">
      <c r="A4955">
        <v>4955</v>
      </c>
      <c r="B4955" t="str">
        <f t="shared" si="77"/>
        <v>፛</v>
      </c>
    </row>
    <row r="4956" spans="1:2" x14ac:dyDescent="0.25">
      <c r="A4956">
        <v>4956</v>
      </c>
      <c r="B4956" t="str">
        <f t="shared" si="77"/>
        <v>፜</v>
      </c>
    </row>
    <row r="4957" spans="1:2" x14ac:dyDescent="0.25">
      <c r="A4957">
        <v>4957</v>
      </c>
      <c r="B4957" t="str">
        <f t="shared" si="77"/>
        <v>፝</v>
      </c>
    </row>
    <row r="4958" spans="1:2" x14ac:dyDescent="0.25">
      <c r="A4958">
        <v>4958</v>
      </c>
      <c r="B4958" t="str">
        <f t="shared" si="77"/>
        <v>፞</v>
      </c>
    </row>
    <row r="4959" spans="1:2" x14ac:dyDescent="0.25">
      <c r="A4959">
        <v>4959</v>
      </c>
      <c r="B4959" t="str">
        <f t="shared" si="77"/>
        <v>፟</v>
      </c>
    </row>
    <row r="4960" spans="1:2" x14ac:dyDescent="0.25">
      <c r="A4960">
        <v>4960</v>
      </c>
      <c r="B4960" t="str">
        <f t="shared" si="77"/>
        <v>፠</v>
      </c>
    </row>
    <row r="4961" spans="1:2" x14ac:dyDescent="0.25">
      <c r="A4961">
        <v>4961</v>
      </c>
      <c r="B4961" t="str">
        <f t="shared" si="77"/>
        <v>፡</v>
      </c>
    </row>
    <row r="4962" spans="1:2" x14ac:dyDescent="0.25">
      <c r="A4962">
        <v>4962</v>
      </c>
      <c r="B4962" t="str">
        <f t="shared" si="77"/>
        <v>።</v>
      </c>
    </row>
    <row r="4963" spans="1:2" x14ac:dyDescent="0.25">
      <c r="A4963">
        <v>4963</v>
      </c>
      <c r="B4963" t="str">
        <f t="shared" si="77"/>
        <v>፣</v>
      </c>
    </row>
    <row r="4964" spans="1:2" x14ac:dyDescent="0.25">
      <c r="A4964">
        <v>4964</v>
      </c>
      <c r="B4964" t="str">
        <f t="shared" si="77"/>
        <v>፤</v>
      </c>
    </row>
    <row r="4965" spans="1:2" x14ac:dyDescent="0.25">
      <c r="A4965">
        <v>4965</v>
      </c>
      <c r="B4965" t="str">
        <f t="shared" si="77"/>
        <v>፥</v>
      </c>
    </row>
    <row r="4966" spans="1:2" x14ac:dyDescent="0.25">
      <c r="A4966">
        <v>4966</v>
      </c>
      <c r="B4966" t="str">
        <f t="shared" si="77"/>
        <v>፦</v>
      </c>
    </row>
    <row r="4967" spans="1:2" x14ac:dyDescent="0.25">
      <c r="A4967">
        <v>4967</v>
      </c>
      <c r="B4967" t="str">
        <f t="shared" si="77"/>
        <v>፧</v>
      </c>
    </row>
    <row r="4968" spans="1:2" x14ac:dyDescent="0.25">
      <c r="A4968">
        <v>4968</v>
      </c>
      <c r="B4968" t="str">
        <f t="shared" si="77"/>
        <v>፨</v>
      </c>
    </row>
    <row r="4969" spans="1:2" x14ac:dyDescent="0.25">
      <c r="A4969">
        <v>4969</v>
      </c>
      <c r="B4969" t="str">
        <f t="shared" si="77"/>
        <v>፩</v>
      </c>
    </row>
    <row r="4970" spans="1:2" x14ac:dyDescent="0.25">
      <c r="A4970">
        <v>4970</v>
      </c>
      <c r="B4970" t="str">
        <f t="shared" si="77"/>
        <v>፪</v>
      </c>
    </row>
    <row r="4971" spans="1:2" x14ac:dyDescent="0.25">
      <c r="A4971">
        <v>4971</v>
      </c>
      <c r="B4971" t="str">
        <f t="shared" si="77"/>
        <v>፫</v>
      </c>
    </row>
    <row r="4972" spans="1:2" x14ac:dyDescent="0.25">
      <c r="A4972">
        <v>4972</v>
      </c>
      <c r="B4972" t="str">
        <f t="shared" si="77"/>
        <v>፬</v>
      </c>
    </row>
    <row r="4973" spans="1:2" x14ac:dyDescent="0.25">
      <c r="A4973">
        <v>4973</v>
      </c>
      <c r="B4973" t="str">
        <f t="shared" si="77"/>
        <v>፭</v>
      </c>
    </row>
    <row r="4974" spans="1:2" x14ac:dyDescent="0.25">
      <c r="A4974">
        <v>4974</v>
      </c>
      <c r="B4974" t="str">
        <f t="shared" si="77"/>
        <v>፮</v>
      </c>
    </row>
    <row r="4975" spans="1:2" x14ac:dyDescent="0.25">
      <c r="A4975">
        <v>4975</v>
      </c>
      <c r="B4975" t="str">
        <f t="shared" si="77"/>
        <v>፯</v>
      </c>
    </row>
    <row r="4976" spans="1:2" x14ac:dyDescent="0.25">
      <c r="A4976">
        <v>4976</v>
      </c>
      <c r="B4976" t="str">
        <f t="shared" si="77"/>
        <v>፰</v>
      </c>
    </row>
    <row r="4977" spans="1:2" x14ac:dyDescent="0.25">
      <c r="A4977">
        <v>4977</v>
      </c>
      <c r="B4977" t="str">
        <f t="shared" si="77"/>
        <v>፱</v>
      </c>
    </row>
    <row r="4978" spans="1:2" x14ac:dyDescent="0.25">
      <c r="A4978">
        <v>4978</v>
      </c>
      <c r="B4978" t="str">
        <f t="shared" si="77"/>
        <v>፲</v>
      </c>
    </row>
    <row r="4979" spans="1:2" x14ac:dyDescent="0.25">
      <c r="A4979">
        <v>4979</v>
      </c>
      <c r="B4979" t="str">
        <f t="shared" si="77"/>
        <v>፳</v>
      </c>
    </row>
    <row r="4980" spans="1:2" x14ac:dyDescent="0.25">
      <c r="A4980">
        <v>4980</v>
      </c>
      <c r="B4980" t="str">
        <f t="shared" si="77"/>
        <v>፴</v>
      </c>
    </row>
    <row r="4981" spans="1:2" x14ac:dyDescent="0.25">
      <c r="A4981">
        <v>4981</v>
      </c>
      <c r="B4981" t="str">
        <f t="shared" si="77"/>
        <v>፵</v>
      </c>
    </row>
    <row r="4982" spans="1:2" x14ac:dyDescent="0.25">
      <c r="A4982">
        <v>4982</v>
      </c>
      <c r="B4982" t="str">
        <f t="shared" si="77"/>
        <v>፶</v>
      </c>
    </row>
    <row r="4983" spans="1:2" x14ac:dyDescent="0.25">
      <c r="A4983">
        <v>4983</v>
      </c>
      <c r="B4983" t="str">
        <f t="shared" si="77"/>
        <v>፷</v>
      </c>
    </row>
    <row r="4984" spans="1:2" x14ac:dyDescent="0.25">
      <c r="A4984">
        <v>4984</v>
      </c>
      <c r="B4984" t="str">
        <f t="shared" si="77"/>
        <v>፸</v>
      </c>
    </row>
    <row r="4985" spans="1:2" x14ac:dyDescent="0.25">
      <c r="A4985">
        <v>4985</v>
      </c>
      <c r="B4985" t="str">
        <f t="shared" si="77"/>
        <v>፹</v>
      </c>
    </row>
    <row r="4986" spans="1:2" x14ac:dyDescent="0.25">
      <c r="A4986">
        <v>4986</v>
      </c>
      <c r="B4986" t="str">
        <f t="shared" si="77"/>
        <v>፺</v>
      </c>
    </row>
    <row r="4987" spans="1:2" x14ac:dyDescent="0.25">
      <c r="A4987">
        <v>4987</v>
      </c>
      <c r="B4987" t="str">
        <f t="shared" si="77"/>
        <v>፻</v>
      </c>
    </row>
    <row r="4988" spans="1:2" x14ac:dyDescent="0.25">
      <c r="A4988">
        <v>4988</v>
      </c>
      <c r="B4988" t="str">
        <f t="shared" si="77"/>
        <v>፼</v>
      </c>
    </row>
    <row r="4989" spans="1:2" x14ac:dyDescent="0.25">
      <c r="A4989">
        <v>4989</v>
      </c>
      <c r="B4989" t="str">
        <f t="shared" si="77"/>
        <v>፽</v>
      </c>
    </row>
    <row r="4990" spans="1:2" x14ac:dyDescent="0.25">
      <c r="A4990">
        <v>4990</v>
      </c>
      <c r="B4990" t="str">
        <f t="shared" si="77"/>
        <v>፾</v>
      </c>
    </row>
    <row r="4991" spans="1:2" x14ac:dyDescent="0.25">
      <c r="A4991">
        <v>4991</v>
      </c>
      <c r="B4991" t="str">
        <f t="shared" si="77"/>
        <v>፿</v>
      </c>
    </row>
    <row r="4992" spans="1:2" x14ac:dyDescent="0.25">
      <c r="A4992">
        <v>4992</v>
      </c>
      <c r="B4992" t="str">
        <f t="shared" si="77"/>
        <v>ᎀ</v>
      </c>
    </row>
    <row r="4993" spans="1:2" x14ac:dyDescent="0.25">
      <c r="A4993">
        <v>4993</v>
      </c>
      <c r="B4993" t="str">
        <f t="shared" si="77"/>
        <v>ᎁ</v>
      </c>
    </row>
    <row r="4994" spans="1:2" x14ac:dyDescent="0.25">
      <c r="A4994">
        <v>4994</v>
      </c>
      <c r="B4994" t="str">
        <f t="shared" ref="B4994:B5057" si="78">_xlfn.UNICHAR(A4994)</f>
        <v>ᎂ</v>
      </c>
    </row>
    <row r="4995" spans="1:2" x14ac:dyDescent="0.25">
      <c r="A4995">
        <v>4995</v>
      </c>
      <c r="B4995" t="str">
        <f t="shared" si="78"/>
        <v>ᎃ</v>
      </c>
    </row>
    <row r="4996" spans="1:2" x14ac:dyDescent="0.25">
      <c r="A4996">
        <v>4996</v>
      </c>
      <c r="B4996" t="str">
        <f t="shared" si="78"/>
        <v>ᎄ</v>
      </c>
    </row>
    <row r="4997" spans="1:2" x14ac:dyDescent="0.25">
      <c r="A4997">
        <v>4997</v>
      </c>
      <c r="B4997" t="str">
        <f t="shared" si="78"/>
        <v>ᎅ</v>
      </c>
    </row>
    <row r="4998" spans="1:2" x14ac:dyDescent="0.25">
      <c r="A4998">
        <v>4998</v>
      </c>
      <c r="B4998" t="str">
        <f t="shared" si="78"/>
        <v>ᎆ</v>
      </c>
    </row>
    <row r="4999" spans="1:2" x14ac:dyDescent="0.25">
      <c r="A4999">
        <v>4999</v>
      </c>
      <c r="B4999" t="str">
        <f t="shared" si="78"/>
        <v>ᎇ</v>
      </c>
    </row>
    <row r="5000" spans="1:2" x14ac:dyDescent="0.25">
      <c r="A5000">
        <v>5000</v>
      </c>
      <c r="B5000" t="str">
        <f t="shared" si="78"/>
        <v>ᎈ</v>
      </c>
    </row>
    <row r="5001" spans="1:2" x14ac:dyDescent="0.25">
      <c r="A5001">
        <v>5001</v>
      </c>
      <c r="B5001" t="str">
        <f t="shared" si="78"/>
        <v>ᎉ</v>
      </c>
    </row>
    <row r="5002" spans="1:2" x14ac:dyDescent="0.25">
      <c r="A5002">
        <v>5002</v>
      </c>
      <c r="B5002" t="str">
        <f t="shared" si="78"/>
        <v>ᎊ</v>
      </c>
    </row>
    <row r="5003" spans="1:2" x14ac:dyDescent="0.25">
      <c r="A5003">
        <v>5003</v>
      </c>
      <c r="B5003" t="str">
        <f t="shared" si="78"/>
        <v>ᎋ</v>
      </c>
    </row>
    <row r="5004" spans="1:2" x14ac:dyDescent="0.25">
      <c r="A5004">
        <v>5004</v>
      </c>
      <c r="B5004" t="str">
        <f t="shared" si="78"/>
        <v>ᎌ</v>
      </c>
    </row>
    <row r="5005" spans="1:2" x14ac:dyDescent="0.25">
      <c r="A5005">
        <v>5005</v>
      </c>
      <c r="B5005" t="str">
        <f t="shared" si="78"/>
        <v>ᎍ</v>
      </c>
    </row>
    <row r="5006" spans="1:2" x14ac:dyDescent="0.25">
      <c r="A5006">
        <v>5006</v>
      </c>
      <c r="B5006" t="str">
        <f t="shared" si="78"/>
        <v>ᎎ</v>
      </c>
    </row>
    <row r="5007" spans="1:2" x14ac:dyDescent="0.25">
      <c r="A5007">
        <v>5007</v>
      </c>
      <c r="B5007" t="str">
        <f t="shared" si="78"/>
        <v>ᎏ</v>
      </c>
    </row>
    <row r="5008" spans="1:2" x14ac:dyDescent="0.25">
      <c r="A5008">
        <v>5008</v>
      </c>
      <c r="B5008" t="str">
        <f t="shared" si="78"/>
        <v>᎐</v>
      </c>
    </row>
    <row r="5009" spans="1:2" x14ac:dyDescent="0.25">
      <c r="A5009">
        <v>5009</v>
      </c>
      <c r="B5009" t="str">
        <f t="shared" si="78"/>
        <v>᎑</v>
      </c>
    </row>
    <row r="5010" spans="1:2" x14ac:dyDescent="0.25">
      <c r="A5010">
        <v>5010</v>
      </c>
      <c r="B5010" t="str">
        <f t="shared" si="78"/>
        <v>᎒</v>
      </c>
    </row>
    <row r="5011" spans="1:2" x14ac:dyDescent="0.25">
      <c r="A5011">
        <v>5011</v>
      </c>
      <c r="B5011" t="str">
        <f t="shared" si="78"/>
        <v>᎓</v>
      </c>
    </row>
    <row r="5012" spans="1:2" x14ac:dyDescent="0.25">
      <c r="A5012">
        <v>5012</v>
      </c>
      <c r="B5012" t="str">
        <f t="shared" si="78"/>
        <v>᎔</v>
      </c>
    </row>
    <row r="5013" spans="1:2" x14ac:dyDescent="0.25">
      <c r="A5013">
        <v>5013</v>
      </c>
      <c r="B5013" t="str">
        <f t="shared" si="78"/>
        <v>᎕</v>
      </c>
    </row>
    <row r="5014" spans="1:2" x14ac:dyDescent="0.25">
      <c r="A5014">
        <v>5014</v>
      </c>
      <c r="B5014" t="str">
        <f t="shared" si="78"/>
        <v>᎖</v>
      </c>
    </row>
    <row r="5015" spans="1:2" x14ac:dyDescent="0.25">
      <c r="A5015">
        <v>5015</v>
      </c>
      <c r="B5015" t="str">
        <f t="shared" si="78"/>
        <v>᎗</v>
      </c>
    </row>
    <row r="5016" spans="1:2" x14ac:dyDescent="0.25">
      <c r="A5016">
        <v>5016</v>
      </c>
      <c r="B5016" t="str">
        <f t="shared" si="78"/>
        <v>᎘</v>
      </c>
    </row>
    <row r="5017" spans="1:2" x14ac:dyDescent="0.25">
      <c r="A5017">
        <v>5017</v>
      </c>
      <c r="B5017" t="str">
        <f t="shared" si="78"/>
        <v>᎙</v>
      </c>
    </row>
    <row r="5018" spans="1:2" x14ac:dyDescent="0.25">
      <c r="A5018">
        <v>5018</v>
      </c>
      <c r="B5018" t="str">
        <f t="shared" si="78"/>
        <v>᎚</v>
      </c>
    </row>
    <row r="5019" spans="1:2" x14ac:dyDescent="0.25">
      <c r="A5019">
        <v>5019</v>
      </c>
      <c r="B5019" t="str">
        <f t="shared" si="78"/>
        <v>᎛</v>
      </c>
    </row>
    <row r="5020" spans="1:2" x14ac:dyDescent="0.25">
      <c r="A5020">
        <v>5020</v>
      </c>
      <c r="B5020" t="str">
        <f t="shared" si="78"/>
        <v>᎜</v>
      </c>
    </row>
    <row r="5021" spans="1:2" x14ac:dyDescent="0.25">
      <c r="A5021">
        <v>5021</v>
      </c>
      <c r="B5021" t="str">
        <f t="shared" si="78"/>
        <v>᎝</v>
      </c>
    </row>
    <row r="5022" spans="1:2" x14ac:dyDescent="0.25">
      <c r="A5022">
        <v>5022</v>
      </c>
      <c r="B5022" t="str">
        <f t="shared" si="78"/>
        <v>᎞</v>
      </c>
    </row>
    <row r="5023" spans="1:2" x14ac:dyDescent="0.25">
      <c r="A5023">
        <v>5023</v>
      </c>
      <c r="B5023" t="str">
        <f t="shared" si="78"/>
        <v>᎟</v>
      </c>
    </row>
    <row r="5024" spans="1:2" x14ac:dyDescent="0.25">
      <c r="A5024">
        <v>5024</v>
      </c>
      <c r="B5024" t="str">
        <f t="shared" si="78"/>
        <v>Ꭰ</v>
      </c>
    </row>
    <row r="5025" spans="1:2" x14ac:dyDescent="0.25">
      <c r="A5025">
        <v>5025</v>
      </c>
      <c r="B5025" t="str">
        <f t="shared" si="78"/>
        <v>Ꭱ</v>
      </c>
    </row>
    <row r="5026" spans="1:2" x14ac:dyDescent="0.25">
      <c r="A5026">
        <v>5026</v>
      </c>
      <c r="B5026" t="str">
        <f t="shared" si="78"/>
        <v>Ꭲ</v>
      </c>
    </row>
    <row r="5027" spans="1:2" x14ac:dyDescent="0.25">
      <c r="A5027">
        <v>5027</v>
      </c>
      <c r="B5027" t="str">
        <f t="shared" si="78"/>
        <v>Ꭳ</v>
      </c>
    </row>
    <row r="5028" spans="1:2" x14ac:dyDescent="0.25">
      <c r="A5028">
        <v>5028</v>
      </c>
      <c r="B5028" t="str">
        <f t="shared" si="78"/>
        <v>Ꭴ</v>
      </c>
    </row>
    <row r="5029" spans="1:2" x14ac:dyDescent="0.25">
      <c r="A5029">
        <v>5029</v>
      </c>
      <c r="B5029" t="str">
        <f t="shared" si="78"/>
        <v>Ꭵ</v>
      </c>
    </row>
    <row r="5030" spans="1:2" x14ac:dyDescent="0.25">
      <c r="A5030">
        <v>5030</v>
      </c>
      <c r="B5030" t="str">
        <f t="shared" si="78"/>
        <v>Ꭶ</v>
      </c>
    </row>
    <row r="5031" spans="1:2" x14ac:dyDescent="0.25">
      <c r="A5031">
        <v>5031</v>
      </c>
      <c r="B5031" t="str">
        <f t="shared" si="78"/>
        <v>Ꭷ</v>
      </c>
    </row>
    <row r="5032" spans="1:2" x14ac:dyDescent="0.25">
      <c r="A5032">
        <v>5032</v>
      </c>
      <c r="B5032" t="str">
        <f t="shared" si="78"/>
        <v>Ꭸ</v>
      </c>
    </row>
    <row r="5033" spans="1:2" x14ac:dyDescent="0.25">
      <c r="A5033">
        <v>5033</v>
      </c>
      <c r="B5033" t="str">
        <f t="shared" si="78"/>
        <v>Ꭹ</v>
      </c>
    </row>
    <row r="5034" spans="1:2" x14ac:dyDescent="0.25">
      <c r="A5034">
        <v>5034</v>
      </c>
      <c r="B5034" t="str">
        <f t="shared" si="78"/>
        <v>Ꭺ</v>
      </c>
    </row>
    <row r="5035" spans="1:2" x14ac:dyDescent="0.25">
      <c r="A5035">
        <v>5035</v>
      </c>
      <c r="B5035" t="str">
        <f t="shared" si="78"/>
        <v>Ꭻ</v>
      </c>
    </row>
    <row r="5036" spans="1:2" x14ac:dyDescent="0.25">
      <c r="A5036">
        <v>5036</v>
      </c>
      <c r="B5036" t="str">
        <f t="shared" si="78"/>
        <v>Ꭼ</v>
      </c>
    </row>
    <row r="5037" spans="1:2" x14ac:dyDescent="0.25">
      <c r="A5037">
        <v>5037</v>
      </c>
      <c r="B5037" t="str">
        <f t="shared" si="78"/>
        <v>Ꭽ</v>
      </c>
    </row>
    <row r="5038" spans="1:2" x14ac:dyDescent="0.25">
      <c r="A5038">
        <v>5038</v>
      </c>
      <c r="B5038" t="str">
        <f t="shared" si="78"/>
        <v>Ꭾ</v>
      </c>
    </row>
    <row r="5039" spans="1:2" x14ac:dyDescent="0.25">
      <c r="A5039">
        <v>5039</v>
      </c>
      <c r="B5039" t="str">
        <f t="shared" si="78"/>
        <v>Ꭿ</v>
      </c>
    </row>
    <row r="5040" spans="1:2" x14ac:dyDescent="0.25">
      <c r="A5040">
        <v>5040</v>
      </c>
      <c r="B5040" t="str">
        <f t="shared" si="78"/>
        <v>Ꮀ</v>
      </c>
    </row>
    <row r="5041" spans="1:2" x14ac:dyDescent="0.25">
      <c r="A5041">
        <v>5041</v>
      </c>
      <c r="B5041" t="str">
        <f t="shared" si="78"/>
        <v>Ꮁ</v>
      </c>
    </row>
    <row r="5042" spans="1:2" x14ac:dyDescent="0.25">
      <c r="A5042">
        <v>5042</v>
      </c>
      <c r="B5042" t="str">
        <f t="shared" si="78"/>
        <v>Ꮂ</v>
      </c>
    </row>
    <row r="5043" spans="1:2" x14ac:dyDescent="0.25">
      <c r="A5043">
        <v>5043</v>
      </c>
      <c r="B5043" t="str">
        <f t="shared" si="78"/>
        <v>Ꮃ</v>
      </c>
    </row>
    <row r="5044" spans="1:2" x14ac:dyDescent="0.25">
      <c r="A5044">
        <v>5044</v>
      </c>
      <c r="B5044" t="str">
        <f t="shared" si="78"/>
        <v>Ꮄ</v>
      </c>
    </row>
    <row r="5045" spans="1:2" x14ac:dyDescent="0.25">
      <c r="A5045">
        <v>5045</v>
      </c>
      <c r="B5045" t="str">
        <f t="shared" si="78"/>
        <v>Ꮅ</v>
      </c>
    </row>
    <row r="5046" spans="1:2" x14ac:dyDescent="0.25">
      <c r="A5046">
        <v>5046</v>
      </c>
      <c r="B5046" t="str">
        <f t="shared" si="78"/>
        <v>Ꮆ</v>
      </c>
    </row>
    <row r="5047" spans="1:2" x14ac:dyDescent="0.25">
      <c r="A5047">
        <v>5047</v>
      </c>
      <c r="B5047" t="str">
        <f t="shared" si="78"/>
        <v>Ꮇ</v>
      </c>
    </row>
    <row r="5048" spans="1:2" x14ac:dyDescent="0.25">
      <c r="A5048">
        <v>5048</v>
      </c>
      <c r="B5048" t="str">
        <f t="shared" si="78"/>
        <v>Ꮈ</v>
      </c>
    </row>
    <row r="5049" spans="1:2" x14ac:dyDescent="0.25">
      <c r="A5049">
        <v>5049</v>
      </c>
      <c r="B5049" t="str">
        <f t="shared" si="78"/>
        <v>Ꮉ</v>
      </c>
    </row>
    <row r="5050" spans="1:2" x14ac:dyDescent="0.25">
      <c r="A5050">
        <v>5050</v>
      </c>
      <c r="B5050" t="str">
        <f t="shared" si="78"/>
        <v>Ꮊ</v>
      </c>
    </row>
    <row r="5051" spans="1:2" x14ac:dyDescent="0.25">
      <c r="A5051">
        <v>5051</v>
      </c>
      <c r="B5051" t="str">
        <f t="shared" si="78"/>
        <v>Ꮋ</v>
      </c>
    </row>
    <row r="5052" spans="1:2" x14ac:dyDescent="0.25">
      <c r="A5052">
        <v>5052</v>
      </c>
      <c r="B5052" t="str">
        <f t="shared" si="78"/>
        <v>Ꮌ</v>
      </c>
    </row>
    <row r="5053" spans="1:2" x14ac:dyDescent="0.25">
      <c r="A5053">
        <v>5053</v>
      </c>
      <c r="B5053" t="str">
        <f t="shared" si="78"/>
        <v>Ꮍ</v>
      </c>
    </row>
    <row r="5054" spans="1:2" x14ac:dyDescent="0.25">
      <c r="A5054">
        <v>5054</v>
      </c>
      <c r="B5054" t="str">
        <f t="shared" si="78"/>
        <v>Ꮎ</v>
      </c>
    </row>
    <row r="5055" spans="1:2" x14ac:dyDescent="0.25">
      <c r="A5055">
        <v>5055</v>
      </c>
      <c r="B5055" t="str">
        <f t="shared" si="78"/>
        <v>Ꮏ</v>
      </c>
    </row>
    <row r="5056" spans="1:2" x14ac:dyDescent="0.25">
      <c r="A5056">
        <v>5056</v>
      </c>
      <c r="B5056" t="str">
        <f t="shared" si="78"/>
        <v>Ꮐ</v>
      </c>
    </row>
    <row r="5057" spans="1:2" x14ac:dyDescent="0.25">
      <c r="A5057">
        <v>5057</v>
      </c>
      <c r="B5057" t="str">
        <f t="shared" si="78"/>
        <v>Ꮑ</v>
      </c>
    </row>
    <row r="5058" spans="1:2" x14ac:dyDescent="0.25">
      <c r="A5058">
        <v>5058</v>
      </c>
      <c r="B5058" t="str">
        <f t="shared" ref="B5058:B5121" si="79">_xlfn.UNICHAR(A5058)</f>
        <v>Ꮒ</v>
      </c>
    </row>
    <row r="5059" spans="1:2" x14ac:dyDescent="0.25">
      <c r="A5059">
        <v>5059</v>
      </c>
      <c r="B5059" t="str">
        <f t="shared" si="79"/>
        <v>Ꮓ</v>
      </c>
    </row>
    <row r="5060" spans="1:2" x14ac:dyDescent="0.25">
      <c r="A5060">
        <v>5060</v>
      </c>
      <c r="B5060" t="str">
        <f t="shared" si="79"/>
        <v>Ꮔ</v>
      </c>
    </row>
    <row r="5061" spans="1:2" x14ac:dyDescent="0.25">
      <c r="A5061">
        <v>5061</v>
      </c>
      <c r="B5061" t="str">
        <f t="shared" si="79"/>
        <v>Ꮕ</v>
      </c>
    </row>
    <row r="5062" spans="1:2" x14ac:dyDescent="0.25">
      <c r="A5062">
        <v>5062</v>
      </c>
      <c r="B5062" t="str">
        <f t="shared" si="79"/>
        <v>Ꮖ</v>
      </c>
    </row>
    <row r="5063" spans="1:2" x14ac:dyDescent="0.25">
      <c r="A5063">
        <v>5063</v>
      </c>
      <c r="B5063" t="str">
        <f t="shared" si="79"/>
        <v>Ꮗ</v>
      </c>
    </row>
    <row r="5064" spans="1:2" x14ac:dyDescent="0.25">
      <c r="A5064">
        <v>5064</v>
      </c>
      <c r="B5064" t="str">
        <f t="shared" si="79"/>
        <v>Ꮘ</v>
      </c>
    </row>
    <row r="5065" spans="1:2" x14ac:dyDescent="0.25">
      <c r="A5065">
        <v>5065</v>
      </c>
      <c r="B5065" t="str">
        <f t="shared" si="79"/>
        <v>Ꮙ</v>
      </c>
    </row>
    <row r="5066" spans="1:2" x14ac:dyDescent="0.25">
      <c r="A5066">
        <v>5066</v>
      </c>
      <c r="B5066" t="str">
        <f t="shared" si="79"/>
        <v>Ꮚ</v>
      </c>
    </row>
    <row r="5067" spans="1:2" x14ac:dyDescent="0.25">
      <c r="A5067">
        <v>5067</v>
      </c>
      <c r="B5067" t="str">
        <f t="shared" si="79"/>
        <v>Ꮛ</v>
      </c>
    </row>
    <row r="5068" spans="1:2" x14ac:dyDescent="0.25">
      <c r="A5068">
        <v>5068</v>
      </c>
      <c r="B5068" t="str">
        <f t="shared" si="79"/>
        <v>Ꮜ</v>
      </c>
    </row>
    <row r="5069" spans="1:2" x14ac:dyDescent="0.25">
      <c r="A5069">
        <v>5069</v>
      </c>
      <c r="B5069" t="str">
        <f t="shared" si="79"/>
        <v>Ꮝ</v>
      </c>
    </row>
    <row r="5070" spans="1:2" x14ac:dyDescent="0.25">
      <c r="A5070">
        <v>5070</v>
      </c>
      <c r="B5070" t="str">
        <f t="shared" si="79"/>
        <v>Ꮞ</v>
      </c>
    </row>
    <row r="5071" spans="1:2" x14ac:dyDescent="0.25">
      <c r="A5071">
        <v>5071</v>
      </c>
      <c r="B5071" t="str">
        <f t="shared" si="79"/>
        <v>Ꮟ</v>
      </c>
    </row>
    <row r="5072" spans="1:2" x14ac:dyDescent="0.25">
      <c r="A5072">
        <v>5072</v>
      </c>
      <c r="B5072" t="str">
        <f t="shared" si="79"/>
        <v>Ꮠ</v>
      </c>
    </row>
    <row r="5073" spans="1:2" x14ac:dyDescent="0.25">
      <c r="A5073">
        <v>5073</v>
      </c>
      <c r="B5073" t="str">
        <f t="shared" si="79"/>
        <v>Ꮡ</v>
      </c>
    </row>
    <row r="5074" spans="1:2" x14ac:dyDescent="0.25">
      <c r="A5074">
        <v>5074</v>
      </c>
      <c r="B5074" t="str">
        <f t="shared" si="79"/>
        <v>Ꮢ</v>
      </c>
    </row>
    <row r="5075" spans="1:2" x14ac:dyDescent="0.25">
      <c r="A5075">
        <v>5075</v>
      </c>
      <c r="B5075" t="str">
        <f t="shared" si="79"/>
        <v>Ꮣ</v>
      </c>
    </row>
    <row r="5076" spans="1:2" x14ac:dyDescent="0.25">
      <c r="A5076">
        <v>5076</v>
      </c>
      <c r="B5076" t="str">
        <f t="shared" si="79"/>
        <v>Ꮤ</v>
      </c>
    </row>
    <row r="5077" spans="1:2" x14ac:dyDescent="0.25">
      <c r="A5077">
        <v>5077</v>
      </c>
      <c r="B5077" t="str">
        <f t="shared" si="79"/>
        <v>Ꮥ</v>
      </c>
    </row>
    <row r="5078" spans="1:2" x14ac:dyDescent="0.25">
      <c r="A5078">
        <v>5078</v>
      </c>
      <c r="B5078" t="str">
        <f t="shared" si="79"/>
        <v>Ꮦ</v>
      </c>
    </row>
    <row r="5079" spans="1:2" x14ac:dyDescent="0.25">
      <c r="A5079">
        <v>5079</v>
      </c>
      <c r="B5079" t="str">
        <f t="shared" si="79"/>
        <v>Ꮧ</v>
      </c>
    </row>
    <row r="5080" spans="1:2" x14ac:dyDescent="0.25">
      <c r="A5080">
        <v>5080</v>
      </c>
      <c r="B5080" t="str">
        <f t="shared" si="79"/>
        <v>Ꮨ</v>
      </c>
    </row>
    <row r="5081" spans="1:2" x14ac:dyDescent="0.25">
      <c r="A5081">
        <v>5081</v>
      </c>
      <c r="B5081" t="str">
        <f t="shared" si="79"/>
        <v>Ꮩ</v>
      </c>
    </row>
    <row r="5082" spans="1:2" x14ac:dyDescent="0.25">
      <c r="A5082">
        <v>5082</v>
      </c>
      <c r="B5082" t="str">
        <f t="shared" si="79"/>
        <v>Ꮪ</v>
      </c>
    </row>
    <row r="5083" spans="1:2" x14ac:dyDescent="0.25">
      <c r="A5083">
        <v>5083</v>
      </c>
      <c r="B5083" t="str">
        <f t="shared" si="79"/>
        <v>Ꮫ</v>
      </c>
    </row>
    <row r="5084" spans="1:2" x14ac:dyDescent="0.25">
      <c r="A5084">
        <v>5084</v>
      </c>
      <c r="B5084" t="str">
        <f t="shared" si="79"/>
        <v>Ꮬ</v>
      </c>
    </row>
    <row r="5085" spans="1:2" x14ac:dyDescent="0.25">
      <c r="A5085">
        <v>5085</v>
      </c>
      <c r="B5085" t="str">
        <f t="shared" si="79"/>
        <v>Ꮭ</v>
      </c>
    </row>
    <row r="5086" spans="1:2" x14ac:dyDescent="0.25">
      <c r="A5086">
        <v>5086</v>
      </c>
      <c r="B5086" t="str">
        <f t="shared" si="79"/>
        <v>Ꮮ</v>
      </c>
    </row>
    <row r="5087" spans="1:2" x14ac:dyDescent="0.25">
      <c r="A5087">
        <v>5087</v>
      </c>
      <c r="B5087" t="str">
        <f t="shared" si="79"/>
        <v>Ꮯ</v>
      </c>
    </row>
    <row r="5088" spans="1:2" x14ac:dyDescent="0.25">
      <c r="A5088">
        <v>5088</v>
      </c>
      <c r="B5088" t="str">
        <f t="shared" si="79"/>
        <v>Ꮰ</v>
      </c>
    </row>
    <row r="5089" spans="1:2" x14ac:dyDescent="0.25">
      <c r="A5089">
        <v>5089</v>
      </c>
      <c r="B5089" t="str">
        <f t="shared" si="79"/>
        <v>Ꮱ</v>
      </c>
    </row>
    <row r="5090" spans="1:2" x14ac:dyDescent="0.25">
      <c r="A5090">
        <v>5090</v>
      </c>
      <c r="B5090" t="str">
        <f t="shared" si="79"/>
        <v>Ꮲ</v>
      </c>
    </row>
    <row r="5091" spans="1:2" x14ac:dyDescent="0.25">
      <c r="A5091">
        <v>5091</v>
      </c>
      <c r="B5091" t="str">
        <f t="shared" si="79"/>
        <v>Ꮳ</v>
      </c>
    </row>
    <row r="5092" spans="1:2" x14ac:dyDescent="0.25">
      <c r="A5092">
        <v>5092</v>
      </c>
      <c r="B5092" t="str">
        <f t="shared" si="79"/>
        <v>Ꮴ</v>
      </c>
    </row>
    <row r="5093" spans="1:2" x14ac:dyDescent="0.25">
      <c r="A5093">
        <v>5093</v>
      </c>
      <c r="B5093" t="str">
        <f t="shared" si="79"/>
        <v>Ꮵ</v>
      </c>
    </row>
    <row r="5094" spans="1:2" x14ac:dyDescent="0.25">
      <c r="A5094">
        <v>5094</v>
      </c>
      <c r="B5094" t="str">
        <f t="shared" si="79"/>
        <v>Ꮶ</v>
      </c>
    </row>
    <row r="5095" spans="1:2" x14ac:dyDescent="0.25">
      <c r="A5095">
        <v>5095</v>
      </c>
      <c r="B5095" t="str">
        <f t="shared" si="79"/>
        <v>Ꮷ</v>
      </c>
    </row>
    <row r="5096" spans="1:2" x14ac:dyDescent="0.25">
      <c r="A5096">
        <v>5096</v>
      </c>
      <c r="B5096" t="str">
        <f t="shared" si="79"/>
        <v>Ꮸ</v>
      </c>
    </row>
    <row r="5097" spans="1:2" x14ac:dyDescent="0.25">
      <c r="A5097">
        <v>5097</v>
      </c>
      <c r="B5097" t="str">
        <f t="shared" si="79"/>
        <v>Ꮹ</v>
      </c>
    </row>
    <row r="5098" spans="1:2" x14ac:dyDescent="0.25">
      <c r="A5098">
        <v>5098</v>
      </c>
      <c r="B5098" t="str">
        <f t="shared" si="79"/>
        <v>Ꮺ</v>
      </c>
    </row>
    <row r="5099" spans="1:2" x14ac:dyDescent="0.25">
      <c r="A5099">
        <v>5099</v>
      </c>
      <c r="B5099" t="str">
        <f t="shared" si="79"/>
        <v>Ꮻ</v>
      </c>
    </row>
    <row r="5100" spans="1:2" x14ac:dyDescent="0.25">
      <c r="A5100">
        <v>5100</v>
      </c>
      <c r="B5100" t="str">
        <f t="shared" si="79"/>
        <v>Ꮼ</v>
      </c>
    </row>
    <row r="5101" spans="1:2" x14ac:dyDescent="0.25">
      <c r="A5101">
        <v>5101</v>
      </c>
      <c r="B5101" t="str">
        <f t="shared" si="79"/>
        <v>Ꮽ</v>
      </c>
    </row>
    <row r="5102" spans="1:2" x14ac:dyDescent="0.25">
      <c r="A5102">
        <v>5102</v>
      </c>
      <c r="B5102" t="str">
        <f t="shared" si="79"/>
        <v>Ꮾ</v>
      </c>
    </row>
    <row r="5103" spans="1:2" x14ac:dyDescent="0.25">
      <c r="A5103">
        <v>5103</v>
      </c>
      <c r="B5103" t="str">
        <f t="shared" si="79"/>
        <v>Ꮿ</v>
      </c>
    </row>
    <row r="5104" spans="1:2" x14ac:dyDescent="0.25">
      <c r="A5104">
        <v>5104</v>
      </c>
      <c r="B5104" t="str">
        <f t="shared" si="79"/>
        <v>Ᏸ</v>
      </c>
    </row>
    <row r="5105" spans="1:2" x14ac:dyDescent="0.25">
      <c r="A5105">
        <v>5105</v>
      </c>
      <c r="B5105" t="str">
        <f t="shared" si="79"/>
        <v>Ᏹ</v>
      </c>
    </row>
    <row r="5106" spans="1:2" x14ac:dyDescent="0.25">
      <c r="A5106">
        <v>5106</v>
      </c>
      <c r="B5106" t="str">
        <f t="shared" si="79"/>
        <v>Ᏺ</v>
      </c>
    </row>
    <row r="5107" spans="1:2" x14ac:dyDescent="0.25">
      <c r="A5107">
        <v>5107</v>
      </c>
      <c r="B5107" t="str">
        <f t="shared" si="79"/>
        <v>Ᏻ</v>
      </c>
    </row>
    <row r="5108" spans="1:2" x14ac:dyDescent="0.25">
      <c r="A5108">
        <v>5108</v>
      </c>
      <c r="B5108" t="str">
        <f t="shared" si="79"/>
        <v>Ᏼ</v>
      </c>
    </row>
    <row r="5109" spans="1:2" x14ac:dyDescent="0.25">
      <c r="A5109">
        <v>5109</v>
      </c>
      <c r="B5109" t="str">
        <f t="shared" si="79"/>
        <v>Ᏽ</v>
      </c>
    </row>
    <row r="5110" spans="1:2" x14ac:dyDescent="0.25">
      <c r="A5110">
        <v>5110</v>
      </c>
      <c r="B5110" t="str">
        <f t="shared" si="79"/>
        <v>᏶</v>
      </c>
    </row>
    <row r="5111" spans="1:2" x14ac:dyDescent="0.25">
      <c r="A5111">
        <v>5111</v>
      </c>
      <c r="B5111" t="str">
        <f t="shared" si="79"/>
        <v>᏷</v>
      </c>
    </row>
    <row r="5112" spans="1:2" x14ac:dyDescent="0.25">
      <c r="A5112">
        <v>5112</v>
      </c>
      <c r="B5112" t="str">
        <f t="shared" si="79"/>
        <v>ᏸ</v>
      </c>
    </row>
    <row r="5113" spans="1:2" x14ac:dyDescent="0.25">
      <c r="A5113">
        <v>5113</v>
      </c>
      <c r="B5113" t="str">
        <f t="shared" si="79"/>
        <v>ᏹ</v>
      </c>
    </row>
    <row r="5114" spans="1:2" x14ac:dyDescent="0.25">
      <c r="A5114">
        <v>5114</v>
      </c>
      <c r="B5114" t="str">
        <f t="shared" si="79"/>
        <v>ᏺ</v>
      </c>
    </row>
    <row r="5115" spans="1:2" x14ac:dyDescent="0.25">
      <c r="A5115">
        <v>5115</v>
      </c>
      <c r="B5115" t="str">
        <f t="shared" si="79"/>
        <v>ᏻ</v>
      </c>
    </row>
    <row r="5116" spans="1:2" x14ac:dyDescent="0.25">
      <c r="A5116">
        <v>5116</v>
      </c>
      <c r="B5116" t="str">
        <f t="shared" si="79"/>
        <v>ᏼ</v>
      </c>
    </row>
    <row r="5117" spans="1:2" x14ac:dyDescent="0.25">
      <c r="A5117">
        <v>5117</v>
      </c>
      <c r="B5117" t="str">
        <f t="shared" si="79"/>
        <v>ᏽ</v>
      </c>
    </row>
    <row r="5118" spans="1:2" x14ac:dyDescent="0.25">
      <c r="A5118">
        <v>5118</v>
      </c>
      <c r="B5118" t="str">
        <f t="shared" si="79"/>
        <v>᏾</v>
      </c>
    </row>
    <row r="5119" spans="1:2" x14ac:dyDescent="0.25">
      <c r="A5119">
        <v>5119</v>
      </c>
      <c r="B5119" t="str">
        <f t="shared" si="79"/>
        <v>᏿</v>
      </c>
    </row>
    <row r="5120" spans="1:2" x14ac:dyDescent="0.25">
      <c r="A5120">
        <v>5120</v>
      </c>
      <c r="B5120" t="str">
        <f t="shared" si="79"/>
        <v>᐀</v>
      </c>
    </row>
    <row r="5121" spans="1:2" x14ac:dyDescent="0.25">
      <c r="A5121">
        <v>5121</v>
      </c>
      <c r="B5121" t="str">
        <f t="shared" si="79"/>
        <v>ᐁ</v>
      </c>
    </row>
    <row r="5122" spans="1:2" x14ac:dyDescent="0.25">
      <c r="A5122">
        <v>5122</v>
      </c>
      <c r="B5122" t="str">
        <f t="shared" ref="B5122:B5185" si="80">_xlfn.UNICHAR(A5122)</f>
        <v>ᐂ</v>
      </c>
    </row>
    <row r="5123" spans="1:2" x14ac:dyDescent="0.25">
      <c r="A5123">
        <v>5123</v>
      </c>
      <c r="B5123" t="str">
        <f t="shared" si="80"/>
        <v>ᐃ</v>
      </c>
    </row>
    <row r="5124" spans="1:2" x14ac:dyDescent="0.25">
      <c r="A5124">
        <v>5124</v>
      </c>
      <c r="B5124" t="str">
        <f t="shared" si="80"/>
        <v>ᐄ</v>
      </c>
    </row>
    <row r="5125" spans="1:2" x14ac:dyDescent="0.25">
      <c r="A5125">
        <v>5125</v>
      </c>
      <c r="B5125" t="str">
        <f t="shared" si="80"/>
        <v>ᐅ</v>
      </c>
    </row>
    <row r="5126" spans="1:2" x14ac:dyDescent="0.25">
      <c r="A5126">
        <v>5126</v>
      </c>
      <c r="B5126" t="str">
        <f t="shared" si="80"/>
        <v>ᐆ</v>
      </c>
    </row>
    <row r="5127" spans="1:2" x14ac:dyDescent="0.25">
      <c r="A5127">
        <v>5127</v>
      </c>
      <c r="B5127" t="str">
        <f t="shared" si="80"/>
        <v>ᐇ</v>
      </c>
    </row>
    <row r="5128" spans="1:2" x14ac:dyDescent="0.25">
      <c r="A5128">
        <v>5128</v>
      </c>
      <c r="B5128" t="str">
        <f t="shared" si="80"/>
        <v>ᐈ</v>
      </c>
    </row>
    <row r="5129" spans="1:2" x14ac:dyDescent="0.25">
      <c r="A5129">
        <v>5129</v>
      </c>
      <c r="B5129" t="str">
        <f t="shared" si="80"/>
        <v>ᐉ</v>
      </c>
    </row>
    <row r="5130" spans="1:2" x14ac:dyDescent="0.25">
      <c r="A5130">
        <v>5130</v>
      </c>
      <c r="B5130" t="str">
        <f t="shared" si="80"/>
        <v>ᐊ</v>
      </c>
    </row>
    <row r="5131" spans="1:2" x14ac:dyDescent="0.25">
      <c r="A5131">
        <v>5131</v>
      </c>
      <c r="B5131" t="str">
        <f t="shared" si="80"/>
        <v>ᐋ</v>
      </c>
    </row>
    <row r="5132" spans="1:2" x14ac:dyDescent="0.25">
      <c r="A5132">
        <v>5132</v>
      </c>
      <c r="B5132" t="str">
        <f t="shared" si="80"/>
        <v>ᐌ</v>
      </c>
    </row>
    <row r="5133" spans="1:2" x14ac:dyDescent="0.25">
      <c r="A5133">
        <v>5133</v>
      </c>
      <c r="B5133" t="str">
        <f t="shared" si="80"/>
        <v>ᐍ</v>
      </c>
    </row>
    <row r="5134" spans="1:2" x14ac:dyDescent="0.25">
      <c r="A5134">
        <v>5134</v>
      </c>
      <c r="B5134" t="str">
        <f t="shared" si="80"/>
        <v>ᐎ</v>
      </c>
    </row>
    <row r="5135" spans="1:2" x14ac:dyDescent="0.25">
      <c r="A5135">
        <v>5135</v>
      </c>
      <c r="B5135" t="str">
        <f t="shared" si="80"/>
        <v>ᐏ</v>
      </c>
    </row>
    <row r="5136" spans="1:2" x14ac:dyDescent="0.25">
      <c r="A5136">
        <v>5136</v>
      </c>
      <c r="B5136" t="str">
        <f t="shared" si="80"/>
        <v>ᐐ</v>
      </c>
    </row>
    <row r="5137" spans="1:2" x14ac:dyDescent="0.25">
      <c r="A5137">
        <v>5137</v>
      </c>
      <c r="B5137" t="str">
        <f t="shared" si="80"/>
        <v>ᐑ</v>
      </c>
    </row>
    <row r="5138" spans="1:2" x14ac:dyDescent="0.25">
      <c r="A5138">
        <v>5138</v>
      </c>
      <c r="B5138" t="str">
        <f t="shared" si="80"/>
        <v>ᐒ</v>
      </c>
    </row>
    <row r="5139" spans="1:2" x14ac:dyDescent="0.25">
      <c r="A5139">
        <v>5139</v>
      </c>
      <c r="B5139" t="str">
        <f t="shared" si="80"/>
        <v>ᐓ</v>
      </c>
    </row>
    <row r="5140" spans="1:2" x14ac:dyDescent="0.25">
      <c r="A5140">
        <v>5140</v>
      </c>
      <c r="B5140" t="str">
        <f t="shared" si="80"/>
        <v>ᐔ</v>
      </c>
    </row>
    <row r="5141" spans="1:2" x14ac:dyDescent="0.25">
      <c r="A5141">
        <v>5141</v>
      </c>
      <c r="B5141" t="str">
        <f t="shared" si="80"/>
        <v>ᐕ</v>
      </c>
    </row>
    <row r="5142" spans="1:2" x14ac:dyDescent="0.25">
      <c r="A5142">
        <v>5142</v>
      </c>
      <c r="B5142" t="str">
        <f t="shared" si="80"/>
        <v>ᐖ</v>
      </c>
    </row>
    <row r="5143" spans="1:2" x14ac:dyDescent="0.25">
      <c r="A5143">
        <v>5143</v>
      </c>
      <c r="B5143" t="str">
        <f t="shared" si="80"/>
        <v>ᐗ</v>
      </c>
    </row>
    <row r="5144" spans="1:2" x14ac:dyDescent="0.25">
      <c r="A5144">
        <v>5144</v>
      </c>
      <c r="B5144" t="str">
        <f t="shared" si="80"/>
        <v>ᐘ</v>
      </c>
    </row>
    <row r="5145" spans="1:2" x14ac:dyDescent="0.25">
      <c r="A5145">
        <v>5145</v>
      </c>
      <c r="B5145" t="str">
        <f t="shared" si="80"/>
        <v>ᐙ</v>
      </c>
    </row>
    <row r="5146" spans="1:2" x14ac:dyDescent="0.25">
      <c r="A5146">
        <v>5146</v>
      </c>
      <c r="B5146" t="str">
        <f t="shared" si="80"/>
        <v>ᐚ</v>
      </c>
    </row>
    <row r="5147" spans="1:2" x14ac:dyDescent="0.25">
      <c r="A5147">
        <v>5147</v>
      </c>
      <c r="B5147" t="str">
        <f t="shared" si="80"/>
        <v>ᐛ</v>
      </c>
    </row>
    <row r="5148" spans="1:2" x14ac:dyDescent="0.25">
      <c r="A5148">
        <v>5148</v>
      </c>
      <c r="B5148" t="str">
        <f t="shared" si="80"/>
        <v>ᐜ</v>
      </c>
    </row>
    <row r="5149" spans="1:2" x14ac:dyDescent="0.25">
      <c r="A5149">
        <v>5149</v>
      </c>
      <c r="B5149" t="str">
        <f t="shared" si="80"/>
        <v>ᐝ</v>
      </c>
    </row>
    <row r="5150" spans="1:2" x14ac:dyDescent="0.25">
      <c r="A5150">
        <v>5150</v>
      </c>
      <c r="B5150" t="str">
        <f t="shared" si="80"/>
        <v>ᐞ</v>
      </c>
    </row>
    <row r="5151" spans="1:2" x14ac:dyDescent="0.25">
      <c r="A5151">
        <v>5151</v>
      </c>
      <c r="B5151" t="str">
        <f t="shared" si="80"/>
        <v>ᐟ</v>
      </c>
    </row>
    <row r="5152" spans="1:2" x14ac:dyDescent="0.25">
      <c r="A5152">
        <v>5152</v>
      </c>
      <c r="B5152" t="str">
        <f t="shared" si="80"/>
        <v>ᐠ</v>
      </c>
    </row>
    <row r="5153" spans="1:2" x14ac:dyDescent="0.25">
      <c r="A5153">
        <v>5153</v>
      </c>
      <c r="B5153" t="str">
        <f t="shared" si="80"/>
        <v>ᐡ</v>
      </c>
    </row>
    <row r="5154" spans="1:2" x14ac:dyDescent="0.25">
      <c r="A5154">
        <v>5154</v>
      </c>
      <c r="B5154" t="str">
        <f t="shared" si="80"/>
        <v>ᐢ</v>
      </c>
    </row>
    <row r="5155" spans="1:2" x14ac:dyDescent="0.25">
      <c r="A5155">
        <v>5155</v>
      </c>
      <c r="B5155" t="str">
        <f t="shared" si="80"/>
        <v>ᐣ</v>
      </c>
    </row>
    <row r="5156" spans="1:2" x14ac:dyDescent="0.25">
      <c r="A5156">
        <v>5156</v>
      </c>
      <c r="B5156" t="str">
        <f t="shared" si="80"/>
        <v>ᐤ</v>
      </c>
    </row>
    <row r="5157" spans="1:2" x14ac:dyDescent="0.25">
      <c r="A5157">
        <v>5157</v>
      </c>
      <c r="B5157" t="str">
        <f t="shared" si="80"/>
        <v>ᐥ</v>
      </c>
    </row>
    <row r="5158" spans="1:2" x14ac:dyDescent="0.25">
      <c r="A5158">
        <v>5158</v>
      </c>
      <c r="B5158" t="str">
        <f t="shared" si="80"/>
        <v>ᐦ</v>
      </c>
    </row>
    <row r="5159" spans="1:2" x14ac:dyDescent="0.25">
      <c r="A5159">
        <v>5159</v>
      </c>
      <c r="B5159" t="str">
        <f t="shared" si="80"/>
        <v>ᐧ</v>
      </c>
    </row>
    <row r="5160" spans="1:2" x14ac:dyDescent="0.25">
      <c r="A5160">
        <v>5160</v>
      </c>
      <c r="B5160" t="str">
        <f t="shared" si="80"/>
        <v>ᐨ</v>
      </c>
    </row>
    <row r="5161" spans="1:2" x14ac:dyDescent="0.25">
      <c r="A5161">
        <v>5161</v>
      </c>
      <c r="B5161" t="str">
        <f t="shared" si="80"/>
        <v>ᐩ</v>
      </c>
    </row>
    <row r="5162" spans="1:2" x14ac:dyDescent="0.25">
      <c r="A5162">
        <v>5162</v>
      </c>
      <c r="B5162" t="str">
        <f t="shared" si="80"/>
        <v>ᐪ</v>
      </c>
    </row>
    <row r="5163" spans="1:2" x14ac:dyDescent="0.25">
      <c r="A5163">
        <v>5163</v>
      </c>
      <c r="B5163" t="str">
        <f t="shared" si="80"/>
        <v>ᐫ</v>
      </c>
    </row>
    <row r="5164" spans="1:2" x14ac:dyDescent="0.25">
      <c r="A5164">
        <v>5164</v>
      </c>
      <c r="B5164" t="str">
        <f t="shared" si="80"/>
        <v>ᐬ</v>
      </c>
    </row>
    <row r="5165" spans="1:2" x14ac:dyDescent="0.25">
      <c r="A5165">
        <v>5165</v>
      </c>
      <c r="B5165" t="str">
        <f t="shared" si="80"/>
        <v>ᐭ</v>
      </c>
    </row>
    <row r="5166" spans="1:2" x14ac:dyDescent="0.25">
      <c r="A5166">
        <v>5166</v>
      </c>
      <c r="B5166" t="str">
        <f t="shared" si="80"/>
        <v>ᐮ</v>
      </c>
    </row>
    <row r="5167" spans="1:2" x14ac:dyDescent="0.25">
      <c r="A5167">
        <v>5167</v>
      </c>
      <c r="B5167" t="str">
        <f t="shared" si="80"/>
        <v>ᐯ</v>
      </c>
    </row>
    <row r="5168" spans="1:2" x14ac:dyDescent="0.25">
      <c r="A5168">
        <v>5168</v>
      </c>
      <c r="B5168" t="str">
        <f t="shared" si="80"/>
        <v>ᐰ</v>
      </c>
    </row>
    <row r="5169" spans="1:2" x14ac:dyDescent="0.25">
      <c r="A5169">
        <v>5169</v>
      </c>
      <c r="B5169" t="str">
        <f t="shared" si="80"/>
        <v>ᐱ</v>
      </c>
    </row>
    <row r="5170" spans="1:2" x14ac:dyDescent="0.25">
      <c r="A5170">
        <v>5170</v>
      </c>
      <c r="B5170" t="str">
        <f t="shared" si="80"/>
        <v>ᐲ</v>
      </c>
    </row>
    <row r="5171" spans="1:2" x14ac:dyDescent="0.25">
      <c r="A5171">
        <v>5171</v>
      </c>
      <c r="B5171" t="str">
        <f t="shared" si="80"/>
        <v>ᐳ</v>
      </c>
    </row>
    <row r="5172" spans="1:2" x14ac:dyDescent="0.25">
      <c r="A5172">
        <v>5172</v>
      </c>
      <c r="B5172" t="str">
        <f t="shared" si="80"/>
        <v>ᐴ</v>
      </c>
    </row>
    <row r="5173" spans="1:2" x14ac:dyDescent="0.25">
      <c r="A5173">
        <v>5173</v>
      </c>
      <c r="B5173" t="str">
        <f t="shared" si="80"/>
        <v>ᐵ</v>
      </c>
    </row>
    <row r="5174" spans="1:2" x14ac:dyDescent="0.25">
      <c r="A5174">
        <v>5174</v>
      </c>
      <c r="B5174" t="str">
        <f t="shared" si="80"/>
        <v>ᐶ</v>
      </c>
    </row>
    <row r="5175" spans="1:2" x14ac:dyDescent="0.25">
      <c r="A5175">
        <v>5175</v>
      </c>
      <c r="B5175" t="str">
        <f t="shared" si="80"/>
        <v>ᐷ</v>
      </c>
    </row>
    <row r="5176" spans="1:2" x14ac:dyDescent="0.25">
      <c r="A5176">
        <v>5176</v>
      </c>
      <c r="B5176" t="str">
        <f t="shared" si="80"/>
        <v>ᐸ</v>
      </c>
    </row>
    <row r="5177" spans="1:2" x14ac:dyDescent="0.25">
      <c r="A5177">
        <v>5177</v>
      </c>
      <c r="B5177" t="str">
        <f t="shared" si="80"/>
        <v>ᐹ</v>
      </c>
    </row>
    <row r="5178" spans="1:2" x14ac:dyDescent="0.25">
      <c r="A5178">
        <v>5178</v>
      </c>
      <c r="B5178" t="str">
        <f t="shared" si="80"/>
        <v>ᐺ</v>
      </c>
    </row>
    <row r="5179" spans="1:2" x14ac:dyDescent="0.25">
      <c r="A5179">
        <v>5179</v>
      </c>
      <c r="B5179" t="str">
        <f t="shared" si="80"/>
        <v>ᐻ</v>
      </c>
    </row>
    <row r="5180" spans="1:2" x14ac:dyDescent="0.25">
      <c r="A5180">
        <v>5180</v>
      </c>
      <c r="B5180" t="str">
        <f t="shared" si="80"/>
        <v>ᐼ</v>
      </c>
    </row>
    <row r="5181" spans="1:2" x14ac:dyDescent="0.25">
      <c r="A5181">
        <v>5181</v>
      </c>
      <c r="B5181" t="str">
        <f t="shared" si="80"/>
        <v>ᐽ</v>
      </c>
    </row>
    <row r="5182" spans="1:2" x14ac:dyDescent="0.25">
      <c r="A5182">
        <v>5182</v>
      </c>
      <c r="B5182" t="str">
        <f t="shared" si="80"/>
        <v>ᐾ</v>
      </c>
    </row>
    <row r="5183" spans="1:2" x14ac:dyDescent="0.25">
      <c r="A5183">
        <v>5183</v>
      </c>
      <c r="B5183" t="str">
        <f t="shared" si="80"/>
        <v>ᐿ</v>
      </c>
    </row>
    <row r="5184" spans="1:2" x14ac:dyDescent="0.25">
      <c r="A5184">
        <v>5184</v>
      </c>
      <c r="B5184" t="str">
        <f t="shared" si="80"/>
        <v>ᑀ</v>
      </c>
    </row>
    <row r="5185" spans="1:2" x14ac:dyDescent="0.25">
      <c r="A5185">
        <v>5185</v>
      </c>
      <c r="B5185" t="str">
        <f t="shared" si="80"/>
        <v>ᑁ</v>
      </c>
    </row>
    <row r="5186" spans="1:2" x14ac:dyDescent="0.25">
      <c r="A5186">
        <v>5186</v>
      </c>
      <c r="B5186" t="str">
        <f t="shared" ref="B5186:B5249" si="81">_xlfn.UNICHAR(A5186)</f>
        <v>ᑂ</v>
      </c>
    </row>
    <row r="5187" spans="1:2" x14ac:dyDescent="0.25">
      <c r="A5187">
        <v>5187</v>
      </c>
      <c r="B5187" t="str">
        <f t="shared" si="81"/>
        <v>ᑃ</v>
      </c>
    </row>
    <row r="5188" spans="1:2" x14ac:dyDescent="0.25">
      <c r="A5188">
        <v>5188</v>
      </c>
      <c r="B5188" t="str">
        <f t="shared" si="81"/>
        <v>ᑄ</v>
      </c>
    </row>
    <row r="5189" spans="1:2" x14ac:dyDescent="0.25">
      <c r="A5189">
        <v>5189</v>
      </c>
      <c r="B5189" t="str">
        <f t="shared" si="81"/>
        <v>ᑅ</v>
      </c>
    </row>
    <row r="5190" spans="1:2" x14ac:dyDescent="0.25">
      <c r="A5190">
        <v>5190</v>
      </c>
      <c r="B5190" t="str">
        <f t="shared" si="81"/>
        <v>ᑆ</v>
      </c>
    </row>
    <row r="5191" spans="1:2" x14ac:dyDescent="0.25">
      <c r="A5191">
        <v>5191</v>
      </c>
      <c r="B5191" t="str">
        <f t="shared" si="81"/>
        <v>ᑇ</v>
      </c>
    </row>
    <row r="5192" spans="1:2" x14ac:dyDescent="0.25">
      <c r="A5192">
        <v>5192</v>
      </c>
      <c r="B5192" t="str">
        <f t="shared" si="81"/>
        <v>ᑈ</v>
      </c>
    </row>
    <row r="5193" spans="1:2" x14ac:dyDescent="0.25">
      <c r="A5193">
        <v>5193</v>
      </c>
      <c r="B5193" t="str">
        <f t="shared" si="81"/>
        <v>ᑉ</v>
      </c>
    </row>
    <row r="5194" spans="1:2" x14ac:dyDescent="0.25">
      <c r="A5194">
        <v>5194</v>
      </c>
      <c r="B5194" t="str">
        <f t="shared" si="81"/>
        <v>ᑊ</v>
      </c>
    </row>
    <row r="5195" spans="1:2" x14ac:dyDescent="0.25">
      <c r="A5195">
        <v>5195</v>
      </c>
      <c r="B5195" t="str">
        <f t="shared" si="81"/>
        <v>ᑋ</v>
      </c>
    </row>
    <row r="5196" spans="1:2" x14ac:dyDescent="0.25">
      <c r="A5196">
        <v>5196</v>
      </c>
      <c r="B5196" t="str">
        <f t="shared" si="81"/>
        <v>ᑌ</v>
      </c>
    </row>
    <row r="5197" spans="1:2" x14ac:dyDescent="0.25">
      <c r="A5197">
        <v>5197</v>
      </c>
      <c r="B5197" t="str">
        <f t="shared" si="81"/>
        <v>ᑍ</v>
      </c>
    </row>
    <row r="5198" spans="1:2" x14ac:dyDescent="0.25">
      <c r="A5198">
        <v>5198</v>
      </c>
      <c r="B5198" t="str">
        <f t="shared" si="81"/>
        <v>ᑎ</v>
      </c>
    </row>
    <row r="5199" spans="1:2" x14ac:dyDescent="0.25">
      <c r="A5199">
        <v>5199</v>
      </c>
      <c r="B5199" t="str">
        <f t="shared" si="81"/>
        <v>ᑏ</v>
      </c>
    </row>
    <row r="5200" spans="1:2" x14ac:dyDescent="0.25">
      <c r="A5200">
        <v>5200</v>
      </c>
      <c r="B5200" t="str">
        <f t="shared" si="81"/>
        <v>ᑐ</v>
      </c>
    </row>
    <row r="5201" spans="1:2" x14ac:dyDescent="0.25">
      <c r="A5201">
        <v>5201</v>
      </c>
      <c r="B5201" t="str">
        <f t="shared" si="81"/>
        <v>ᑑ</v>
      </c>
    </row>
    <row r="5202" spans="1:2" x14ac:dyDescent="0.25">
      <c r="A5202">
        <v>5202</v>
      </c>
      <c r="B5202" t="str">
        <f t="shared" si="81"/>
        <v>ᑒ</v>
      </c>
    </row>
    <row r="5203" spans="1:2" x14ac:dyDescent="0.25">
      <c r="A5203">
        <v>5203</v>
      </c>
      <c r="B5203" t="str">
        <f t="shared" si="81"/>
        <v>ᑓ</v>
      </c>
    </row>
    <row r="5204" spans="1:2" x14ac:dyDescent="0.25">
      <c r="A5204">
        <v>5204</v>
      </c>
      <c r="B5204" t="str">
        <f t="shared" si="81"/>
        <v>ᑔ</v>
      </c>
    </row>
    <row r="5205" spans="1:2" x14ac:dyDescent="0.25">
      <c r="A5205">
        <v>5205</v>
      </c>
      <c r="B5205" t="str">
        <f t="shared" si="81"/>
        <v>ᑕ</v>
      </c>
    </row>
    <row r="5206" spans="1:2" x14ac:dyDescent="0.25">
      <c r="A5206">
        <v>5206</v>
      </c>
      <c r="B5206" t="str">
        <f t="shared" si="81"/>
        <v>ᑖ</v>
      </c>
    </row>
    <row r="5207" spans="1:2" x14ac:dyDescent="0.25">
      <c r="A5207">
        <v>5207</v>
      </c>
      <c r="B5207" t="str">
        <f t="shared" si="81"/>
        <v>ᑗ</v>
      </c>
    </row>
    <row r="5208" spans="1:2" x14ac:dyDescent="0.25">
      <c r="A5208">
        <v>5208</v>
      </c>
      <c r="B5208" t="str">
        <f t="shared" si="81"/>
        <v>ᑘ</v>
      </c>
    </row>
    <row r="5209" spans="1:2" x14ac:dyDescent="0.25">
      <c r="A5209">
        <v>5209</v>
      </c>
      <c r="B5209" t="str">
        <f t="shared" si="81"/>
        <v>ᑙ</v>
      </c>
    </row>
    <row r="5210" spans="1:2" x14ac:dyDescent="0.25">
      <c r="A5210">
        <v>5210</v>
      </c>
      <c r="B5210" t="str">
        <f t="shared" si="81"/>
        <v>ᑚ</v>
      </c>
    </row>
    <row r="5211" spans="1:2" x14ac:dyDescent="0.25">
      <c r="A5211">
        <v>5211</v>
      </c>
      <c r="B5211" t="str">
        <f t="shared" si="81"/>
        <v>ᑛ</v>
      </c>
    </row>
    <row r="5212" spans="1:2" x14ac:dyDescent="0.25">
      <c r="A5212">
        <v>5212</v>
      </c>
      <c r="B5212" t="str">
        <f t="shared" si="81"/>
        <v>ᑜ</v>
      </c>
    </row>
    <row r="5213" spans="1:2" x14ac:dyDescent="0.25">
      <c r="A5213">
        <v>5213</v>
      </c>
      <c r="B5213" t="str">
        <f t="shared" si="81"/>
        <v>ᑝ</v>
      </c>
    </row>
    <row r="5214" spans="1:2" x14ac:dyDescent="0.25">
      <c r="A5214">
        <v>5214</v>
      </c>
      <c r="B5214" t="str">
        <f t="shared" si="81"/>
        <v>ᑞ</v>
      </c>
    </row>
    <row r="5215" spans="1:2" x14ac:dyDescent="0.25">
      <c r="A5215">
        <v>5215</v>
      </c>
      <c r="B5215" t="str">
        <f t="shared" si="81"/>
        <v>ᑟ</v>
      </c>
    </row>
    <row r="5216" spans="1:2" x14ac:dyDescent="0.25">
      <c r="A5216">
        <v>5216</v>
      </c>
      <c r="B5216" t="str">
        <f t="shared" si="81"/>
        <v>ᑠ</v>
      </c>
    </row>
    <row r="5217" spans="1:2" x14ac:dyDescent="0.25">
      <c r="A5217">
        <v>5217</v>
      </c>
      <c r="B5217" t="str">
        <f t="shared" si="81"/>
        <v>ᑡ</v>
      </c>
    </row>
    <row r="5218" spans="1:2" x14ac:dyDescent="0.25">
      <c r="A5218">
        <v>5218</v>
      </c>
      <c r="B5218" t="str">
        <f t="shared" si="81"/>
        <v>ᑢ</v>
      </c>
    </row>
    <row r="5219" spans="1:2" x14ac:dyDescent="0.25">
      <c r="A5219">
        <v>5219</v>
      </c>
      <c r="B5219" t="str">
        <f t="shared" si="81"/>
        <v>ᑣ</v>
      </c>
    </row>
    <row r="5220" spans="1:2" x14ac:dyDescent="0.25">
      <c r="A5220">
        <v>5220</v>
      </c>
      <c r="B5220" t="str">
        <f t="shared" si="81"/>
        <v>ᑤ</v>
      </c>
    </row>
    <row r="5221" spans="1:2" x14ac:dyDescent="0.25">
      <c r="A5221">
        <v>5221</v>
      </c>
      <c r="B5221" t="str">
        <f t="shared" si="81"/>
        <v>ᑥ</v>
      </c>
    </row>
    <row r="5222" spans="1:2" x14ac:dyDescent="0.25">
      <c r="A5222">
        <v>5222</v>
      </c>
      <c r="B5222" t="str">
        <f t="shared" si="81"/>
        <v>ᑦ</v>
      </c>
    </row>
    <row r="5223" spans="1:2" x14ac:dyDescent="0.25">
      <c r="A5223">
        <v>5223</v>
      </c>
      <c r="B5223" t="str">
        <f t="shared" si="81"/>
        <v>ᑧ</v>
      </c>
    </row>
    <row r="5224" spans="1:2" x14ac:dyDescent="0.25">
      <c r="A5224">
        <v>5224</v>
      </c>
      <c r="B5224" t="str">
        <f t="shared" si="81"/>
        <v>ᑨ</v>
      </c>
    </row>
    <row r="5225" spans="1:2" x14ac:dyDescent="0.25">
      <c r="A5225">
        <v>5225</v>
      </c>
      <c r="B5225" t="str">
        <f t="shared" si="81"/>
        <v>ᑩ</v>
      </c>
    </row>
    <row r="5226" spans="1:2" x14ac:dyDescent="0.25">
      <c r="A5226">
        <v>5226</v>
      </c>
      <c r="B5226" t="str">
        <f t="shared" si="81"/>
        <v>ᑪ</v>
      </c>
    </row>
    <row r="5227" spans="1:2" x14ac:dyDescent="0.25">
      <c r="A5227">
        <v>5227</v>
      </c>
      <c r="B5227" t="str">
        <f t="shared" si="81"/>
        <v>ᑫ</v>
      </c>
    </row>
    <row r="5228" spans="1:2" x14ac:dyDescent="0.25">
      <c r="A5228">
        <v>5228</v>
      </c>
      <c r="B5228" t="str">
        <f t="shared" si="81"/>
        <v>ᑬ</v>
      </c>
    </row>
    <row r="5229" spans="1:2" x14ac:dyDescent="0.25">
      <c r="A5229">
        <v>5229</v>
      </c>
      <c r="B5229" t="str">
        <f t="shared" si="81"/>
        <v>ᑭ</v>
      </c>
    </row>
    <row r="5230" spans="1:2" x14ac:dyDescent="0.25">
      <c r="A5230">
        <v>5230</v>
      </c>
      <c r="B5230" t="str">
        <f t="shared" si="81"/>
        <v>ᑮ</v>
      </c>
    </row>
    <row r="5231" spans="1:2" x14ac:dyDescent="0.25">
      <c r="A5231">
        <v>5231</v>
      </c>
      <c r="B5231" t="str">
        <f t="shared" si="81"/>
        <v>ᑯ</v>
      </c>
    </row>
    <row r="5232" spans="1:2" x14ac:dyDescent="0.25">
      <c r="A5232">
        <v>5232</v>
      </c>
      <c r="B5232" t="str">
        <f t="shared" si="81"/>
        <v>ᑰ</v>
      </c>
    </row>
    <row r="5233" spans="1:2" x14ac:dyDescent="0.25">
      <c r="A5233">
        <v>5233</v>
      </c>
      <c r="B5233" t="str">
        <f t="shared" si="81"/>
        <v>ᑱ</v>
      </c>
    </row>
    <row r="5234" spans="1:2" x14ac:dyDescent="0.25">
      <c r="A5234">
        <v>5234</v>
      </c>
      <c r="B5234" t="str">
        <f t="shared" si="81"/>
        <v>ᑲ</v>
      </c>
    </row>
    <row r="5235" spans="1:2" x14ac:dyDescent="0.25">
      <c r="A5235">
        <v>5235</v>
      </c>
      <c r="B5235" t="str">
        <f t="shared" si="81"/>
        <v>ᑳ</v>
      </c>
    </row>
    <row r="5236" spans="1:2" x14ac:dyDescent="0.25">
      <c r="A5236">
        <v>5236</v>
      </c>
      <c r="B5236" t="str">
        <f t="shared" si="81"/>
        <v>ᑴ</v>
      </c>
    </row>
    <row r="5237" spans="1:2" x14ac:dyDescent="0.25">
      <c r="A5237">
        <v>5237</v>
      </c>
      <c r="B5237" t="str">
        <f t="shared" si="81"/>
        <v>ᑵ</v>
      </c>
    </row>
    <row r="5238" spans="1:2" x14ac:dyDescent="0.25">
      <c r="A5238">
        <v>5238</v>
      </c>
      <c r="B5238" t="str">
        <f t="shared" si="81"/>
        <v>ᑶ</v>
      </c>
    </row>
    <row r="5239" spans="1:2" x14ac:dyDescent="0.25">
      <c r="A5239">
        <v>5239</v>
      </c>
      <c r="B5239" t="str">
        <f t="shared" si="81"/>
        <v>ᑷ</v>
      </c>
    </row>
    <row r="5240" spans="1:2" x14ac:dyDescent="0.25">
      <c r="A5240">
        <v>5240</v>
      </c>
      <c r="B5240" t="str">
        <f t="shared" si="81"/>
        <v>ᑸ</v>
      </c>
    </row>
    <row r="5241" spans="1:2" x14ac:dyDescent="0.25">
      <c r="A5241">
        <v>5241</v>
      </c>
      <c r="B5241" t="str">
        <f t="shared" si="81"/>
        <v>ᑹ</v>
      </c>
    </row>
    <row r="5242" spans="1:2" x14ac:dyDescent="0.25">
      <c r="A5242">
        <v>5242</v>
      </c>
      <c r="B5242" t="str">
        <f t="shared" si="81"/>
        <v>ᑺ</v>
      </c>
    </row>
    <row r="5243" spans="1:2" x14ac:dyDescent="0.25">
      <c r="A5243">
        <v>5243</v>
      </c>
      <c r="B5243" t="str">
        <f t="shared" si="81"/>
        <v>ᑻ</v>
      </c>
    </row>
    <row r="5244" spans="1:2" x14ac:dyDescent="0.25">
      <c r="A5244">
        <v>5244</v>
      </c>
      <c r="B5244" t="str">
        <f t="shared" si="81"/>
        <v>ᑼ</v>
      </c>
    </row>
    <row r="5245" spans="1:2" x14ac:dyDescent="0.25">
      <c r="A5245">
        <v>5245</v>
      </c>
      <c r="B5245" t="str">
        <f t="shared" si="81"/>
        <v>ᑽ</v>
      </c>
    </row>
    <row r="5246" spans="1:2" x14ac:dyDescent="0.25">
      <c r="A5246">
        <v>5246</v>
      </c>
      <c r="B5246" t="str">
        <f t="shared" si="81"/>
        <v>ᑾ</v>
      </c>
    </row>
    <row r="5247" spans="1:2" x14ac:dyDescent="0.25">
      <c r="A5247">
        <v>5247</v>
      </c>
      <c r="B5247" t="str">
        <f t="shared" si="81"/>
        <v>ᑿ</v>
      </c>
    </row>
    <row r="5248" spans="1:2" x14ac:dyDescent="0.25">
      <c r="A5248">
        <v>5248</v>
      </c>
      <c r="B5248" t="str">
        <f t="shared" si="81"/>
        <v>ᒀ</v>
      </c>
    </row>
    <row r="5249" spans="1:2" x14ac:dyDescent="0.25">
      <c r="A5249">
        <v>5249</v>
      </c>
      <c r="B5249" t="str">
        <f t="shared" si="81"/>
        <v>ᒁ</v>
      </c>
    </row>
    <row r="5250" spans="1:2" x14ac:dyDescent="0.25">
      <c r="A5250">
        <v>5250</v>
      </c>
      <c r="B5250" t="str">
        <f t="shared" ref="B5250:B5313" si="82">_xlfn.UNICHAR(A5250)</f>
        <v>ᒂ</v>
      </c>
    </row>
    <row r="5251" spans="1:2" x14ac:dyDescent="0.25">
      <c r="A5251">
        <v>5251</v>
      </c>
      <c r="B5251" t="str">
        <f t="shared" si="82"/>
        <v>ᒃ</v>
      </c>
    </row>
    <row r="5252" spans="1:2" x14ac:dyDescent="0.25">
      <c r="A5252">
        <v>5252</v>
      </c>
      <c r="B5252" t="str">
        <f t="shared" si="82"/>
        <v>ᒄ</v>
      </c>
    </row>
    <row r="5253" spans="1:2" x14ac:dyDescent="0.25">
      <c r="A5253">
        <v>5253</v>
      </c>
      <c r="B5253" t="str">
        <f t="shared" si="82"/>
        <v>ᒅ</v>
      </c>
    </row>
    <row r="5254" spans="1:2" x14ac:dyDescent="0.25">
      <c r="A5254">
        <v>5254</v>
      </c>
      <c r="B5254" t="str">
        <f t="shared" si="82"/>
        <v>ᒆ</v>
      </c>
    </row>
    <row r="5255" spans="1:2" x14ac:dyDescent="0.25">
      <c r="A5255">
        <v>5255</v>
      </c>
      <c r="B5255" t="str">
        <f t="shared" si="82"/>
        <v>ᒇ</v>
      </c>
    </row>
    <row r="5256" spans="1:2" x14ac:dyDescent="0.25">
      <c r="A5256">
        <v>5256</v>
      </c>
      <c r="B5256" t="str">
        <f t="shared" si="82"/>
        <v>ᒈ</v>
      </c>
    </row>
    <row r="5257" spans="1:2" x14ac:dyDescent="0.25">
      <c r="A5257">
        <v>5257</v>
      </c>
      <c r="B5257" t="str">
        <f t="shared" si="82"/>
        <v>ᒉ</v>
      </c>
    </row>
    <row r="5258" spans="1:2" x14ac:dyDescent="0.25">
      <c r="A5258">
        <v>5258</v>
      </c>
      <c r="B5258" t="str">
        <f t="shared" si="82"/>
        <v>ᒊ</v>
      </c>
    </row>
    <row r="5259" spans="1:2" x14ac:dyDescent="0.25">
      <c r="A5259">
        <v>5259</v>
      </c>
      <c r="B5259" t="str">
        <f t="shared" si="82"/>
        <v>ᒋ</v>
      </c>
    </row>
    <row r="5260" spans="1:2" x14ac:dyDescent="0.25">
      <c r="A5260">
        <v>5260</v>
      </c>
      <c r="B5260" t="str">
        <f t="shared" si="82"/>
        <v>ᒌ</v>
      </c>
    </row>
    <row r="5261" spans="1:2" x14ac:dyDescent="0.25">
      <c r="A5261">
        <v>5261</v>
      </c>
      <c r="B5261" t="str">
        <f t="shared" si="82"/>
        <v>ᒍ</v>
      </c>
    </row>
    <row r="5262" spans="1:2" x14ac:dyDescent="0.25">
      <c r="A5262">
        <v>5262</v>
      </c>
      <c r="B5262" t="str">
        <f t="shared" si="82"/>
        <v>ᒎ</v>
      </c>
    </row>
    <row r="5263" spans="1:2" x14ac:dyDescent="0.25">
      <c r="A5263">
        <v>5263</v>
      </c>
      <c r="B5263" t="str">
        <f t="shared" si="82"/>
        <v>ᒏ</v>
      </c>
    </row>
    <row r="5264" spans="1:2" x14ac:dyDescent="0.25">
      <c r="A5264">
        <v>5264</v>
      </c>
      <c r="B5264" t="str">
        <f t="shared" si="82"/>
        <v>ᒐ</v>
      </c>
    </row>
    <row r="5265" spans="1:2" x14ac:dyDescent="0.25">
      <c r="A5265">
        <v>5265</v>
      </c>
      <c r="B5265" t="str">
        <f t="shared" si="82"/>
        <v>ᒑ</v>
      </c>
    </row>
    <row r="5266" spans="1:2" x14ac:dyDescent="0.25">
      <c r="A5266">
        <v>5266</v>
      </c>
      <c r="B5266" t="str">
        <f t="shared" si="82"/>
        <v>ᒒ</v>
      </c>
    </row>
    <row r="5267" spans="1:2" x14ac:dyDescent="0.25">
      <c r="A5267">
        <v>5267</v>
      </c>
      <c r="B5267" t="str">
        <f t="shared" si="82"/>
        <v>ᒓ</v>
      </c>
    </row>
    <row r="5268" spans="1:2" x14ac:dyDescent="0.25">
      <c r="A5268">
        <v>5268</v>
      </c>
      <c r="B5268" t="str">
        <f t="shared" si="82"/>
        <v>ᒔ</v>
      </c>
    </row>
    <row r="5269" spans="1:2" x14ac:dyDescent="0.25">
      <c r="A5269">
        <v>5269</v>
      </c>
      <c r="B5269" t="str">
        <f t="shared" si="82"/>
        <v>ᒕ</v>
      </c>
    </row>
    <row r="5270" spans="1:2" x14ac:dyDescent="0.25">
      <c r="A5270">
        <v>5270</v>
      </c>
      <c r="B5270" t="str">
        <f t="shared" si="82"/>
        <v>ᒖ</v>
      </c>
    </row>
    <row r="5271" spans="1:2" x14ac:dyDescent="0.25">
      <c r="A5271">
        <v>5271</v>
      </c>
      <c r="B5271" t="str">
        <f t="shared" si="82"/>
        <v>ᒗ</v>
      </c>
    </row>
    <row r="5272" spans="1:2" x14ac:dyDescent="0.25">
      <c r="A5272">
        <v>5272</v>
      </c>
      <c r="B5272" t="str">
        <f t="shared" si="82"/>
        <v>ᒘ</v>
      </c>
    </row>
    <row r="5273" spans="1:2" x14ac:dyDescent="0.25">
      <c r="A5273">
        <v>5273</v>
      </c>
      <c r="B5273" t="str">
        <f t="shared" si="82"/>
        <v>ᒙ</v>
      </c>
    </row>
    <row r="5274" spans="1:2" x14ac:dyDescent="0.25">
      <c r="A5274">
        <v>5274</v>
      </c>
      <c r="B5274" t="str">
        <f t="shared" si="82"/>
        <v>ᒚ</v>
      </c>
    </row>
    <row r="5275" spans="1:2" x14ac:dyDescent="0.25">
      <c r="A5275">
        <v>5275</v>
      </c>
      <c r="B5275" t="str">
        <f t="shared" si="82"/>
        <v>ᒛ</v>
      </c>
    </row>
    <row r="5276" spans="1:2" x14ac:dyDescent="0.25">
      <c r="A5276">
        <v>5276</v>
      </c>
      <c r="B5276" t="str">
        <f t="shared" si="82"/>
        <v>ᒜ</v>
      </c>
    </row>
    <row r="5277" spans="1:2" x14ac:dyDescent="0.25">
      <c r="A5277">
        <v>5277</v>
      </c>
      <c r="B5277" t="str">
        <f t="shared" si="82"/>
        <v>ᒝ</v>
      </c>
    </row>
    <row r="5278" spans="1:2" x14ac:dyDescent="0.25">
      <c r="A5278">
        <v>5278</v>
      </c>
      <c r="B5278" t="str">
        <f t="shared" si="82"/>
        <v>ᒞ</v>
      </c>
    </row>
    <row r="5279" spans="1:2" x14ac:dyDescent="0.25">
      <c r="A5279">
        <v>5279</v>
      </c>
      <c r="B5279" t="str">
        <f t="shared" si="82"/>
        <v>ᒟ</v>
      </c>
    </row>
    <row r="5280" spans="1:2" x14ac:dyDescent="0.25">
      <c r="A5280">
        <v>5280</v>
      </c>
      <c r="B5280" t="str">
        <f t="shared" si="82"/>
        <v>ᒠ</v>
      </c>
    </row>
    <row r="5281" spans="1:2" x14ac:dyDescent="0.25">
      <c r="A5281">
        <v>5281</v>
      </c>
      <c r="B5281" t="str">
        <f t="shared" si="82"/>
        <v>ᒡ</v>
      </c>
    </row>
    <row r="5282" spans="1:2" x14ac:dyDescent="0.25">
      <c r="A5282">
        <v>5282</v>
      </c>
      <c r="B5282" t="str">
        <f t="shared" si="82"/>
        <v>ᒢ</v>
      </c>
    </row>
    <row r="5283" spans="1:2" x14ac:dyDescent="0.25">
      <c r="A5283">
        <v>5283</v>
      </c>
      <c r="B5283" t="str">
        <f t="shared" si="82"/>
        <v>ᒣ</v>
      </c>
    </row>
    <row r="5284" spans="1:2" x14ac:dyDescent="0.25">
      <c r="A5284">
        <v>5284</v>
      </c>
      <c r="B5284" t="str">
        <f t="shared" si="82"/>
        <v>ᒤ</v>
      </c>
    </row>
    <row r="5285" spans="1:2" x14ac:dyDescent="0.25">
      <c r="A5285">
        <v>5285</v>
      </c>
      <c r="B5285" t="str">
        <f t="shared" si="82"/>
        <v>ᒥ</v>
      </c>
    </row>
    <row r="5286" spans="1:2" x14ac:dyDescent="0.25">
      <c r="A5286">
        <v>5286</v>
      </c>
      <c r="B5286" t="str">
        <f t="shared" si="82"/>
        <v>ᒦ</v>
      </c>
    </row>
    <row r="5287" spans="1:2" x14ac:dyDescent="0.25">
      <c r="A5287">
        <v>5287</v>
      </c>
      <c r="B5287" t="str">
        <f t="shared" si="82"/>
        <v>ᒧ</v>
      </c>
    </row>
    <row r="5288" spans="1:2" x14ac:dyDescent="0.25">
      <c r="A5288">
        <v>5288</v>
      </c>
      <c r="B5288" t="str">
        <f t="shared" si="82"/>
        <v>ᒨ</v>
      </c>
    </row>
    <row r="5289" spans="1:2" x14ac:dyDescent="0.25">
      <c r="A5289">
        <v>5289</v>
      </c>
      <c r="B5289" t="str">
        <f t="shared" si="82"/>
        <v>ᒩ</v>
      </c>
    </row>
    <row r="5290" spans="1:2" x14ac:dyDescent="0.25">
      <c r="A5290">
        <v>5290</v>
      </c>
      <c r="B5290" t="str">
        <f t="shared" si="82"/>
        <v>ᒪ</v>
      </c>
    </row>
    <row r="5291" spans="1:2" x14ac:dyDescent="0.25">
      <c r="A5291">
        <v>5291</v>
      </c>
      <c r="B5291" t="str">
        <f t="shared" si="82"/>
        <v>ᒫ</v>
      </c>
    </row>
    <row r="5292" spans="1:2" x14ac:dyDescent="0.25">
      <c r="A5292">
        <v>5292</v>
      </c>
      <c r="B5292" t="str">
        <f t="shared" si="82"/>
        <v>ᒬ</v>
      </c>
    </row>
    <row r="5293" spans="1:2" x14ac:dyDescent="0.25">
      <c r="A5293">
        <v>5293</v>
      </c>
      <c r="B5293" t="str">
        <f t="shared" si="82"/>
        <v>ᒭ</v>
      </c>
    </row>
    <row r="5294" spans="1:2" x14ac:dyDescent="0.25">
      <c r="A5294">
        <v>5294</v>
      </c>
      <c r="B5294" t="str">
        <f t="shared" si="82"/>
        <v>ᒮ</v>
      </c>
    </row>
    <row r="5295" spans="1:2" x14ac:dyDescent="0.25">
      <c r="A5295">
        <v>5295</v>
      </c>
      <c r="B5295" t="str">
        <f t="shared" si="82"/>
        <v>ᒯ</v>
      </c>
    </row>
    <row r="5296" spans="1:2" x14ac:dyDescent="0.25">
      <c r="A5296">
        <v>5296</v>
      </c>
      <c r="B5296" t="str">
        <f t="shared" si="82"/>
        <v>ᒰ</v>
      </c>
    </row>
    <row r="5297" spans="1:2" x14ac:dyDescent="0.25">
      <c r="A5297">
        <v>5297</v>
      </c>
      <c r="B5297" t="str">
        <f t="shared" si="82"/>
        <v>ᒱ</v>
      </c>
    </row>
    <row r="5298" spans="1:2" x14ac:dyDescent="0.25">
      <c r="A5298">
        <v>5298</v>
      </c>
      <c r="B5298" t="str">
        <f t="shared" si="82"/>
        <v>ᒲ</v>
      </c>
    </row>
    <row r="5299" spans="1:2" x14ac:dyDescent="0.25">
      <c r="A5299">
        <v>5299</v>
      </c>
      <c r="B5299" t="str">
        <f t="shared" si="82"/>
        <v>ᒳ</v>
      </c>
    </row>
    <row r="5300" spans="1:2" x14ac:dyDescent="0.25">
      <c r="A5300">
        <v>5300</v>
      </c>
      <c r="B5300" t="str">
        <f t="shared" si="82"/>
        <v>ᒴ</v>
      </c>
    </row>
    <row r="5301" spans="1:2" x14ac:dyDescent="0.25">
      <c r="A5301">
        <v>5301</v>
      </c>
      <c r="B5301" t="str">
        <f t="shared" si="82"/>
        <v>ᒵ</v>
      </c>
    </row>
    <row r="5302" spans="1:2" x14ac:dyDescent="0.25">
      <c r="A5302">
        <v>5302</v>
      </c>
      <c r="B5302" t="str">
        <f t="shared" si="82"/>
        <v>ᒶ</v>
      </c>
    </row>
    <row r="5303" spans="1:2" x14ac:dyDescent="0.25">
      <c r="A5303">
        <v>5303</v>
      </c>
      <c r="B5303" t="str">
        <f t="shared" si="82"/>
        <v>ᒷ</v>
      </c>
    </row>
    <row r="5304" spans="1:2" x14ac:dyDescent="0.25">
      <c r="A5304">
        <v>5304</v>
      </c>
      <c r="B5304" t="str">
        <f t="shared" si="82"/>
        <v>ᒸ</v>
      </c>
    </row>
    <row r="5305" spans="1:2" x14ac:dyDescent="0.25">
      <c r="A5305">
        <v>5305</v>
      </c>
      <c r="B5305" t="str">
        <f t="shared" si="82"/>
        <v>ᒹ</v>
      </c>
    </row>
    <row r="5306" spans="1:2" x14ac:dyDescent="0.25">
      <c r="A5306">
        <v>5306</v>
      </c>
      <c r="B5306" t="str">
        <f t="shared" si="82"/>
        <v>ᒺ</v>
      </c>
    </row>
    <row r="5307" spans="1:2" x14ac:dyDescent="0.25">
      <c r="A5307">
        <v>5307</v>
      </c>
      <c r="B5307" t="str">
        <f t="shared" si="82"/>
        <v>ᒻ</v>
      </c>
    </row>
    <row r="5308" spans="1:2" x14ac:dyDescent="0.25">
      <c r="A5308">
        <v>5308</v>
      </c>
      <c r="B5308" t="str">
        <f t="shared" si="82"/>
        <v>ᒼ</v>
      </c>
    </row>
    <row r="5309" spans="1:2" x14ac:dyDescent="0.25">
      <c r="A5309">
        <v>5309</v>
      </c>
      <c r="B5309" t="str">
        <f t="shared" si="82"/>
        <v>ᒽ</v>
      </c>
    </row>
    <row r="5310" spans="1:2" x14ac:dyDescent="0.25">
      <c r="A5310">
        <v>5310</v>
      </c>
      <c r="B5310" t="str">
        <f t="shared" si="82"/>
        <v>ᒾ</v>
      </c>
    </row>
    <row r="5311" spans="1:2" x14ac:dyDescent="0.25">
      <c r="A5311">
        <v>5311</v>
      </c>
      <c r="B5311" t="str">
        <f t="shared" si="82"/>
        <v>ᒿ</v>
      </c>
    </row>
    <row r="5312" spans="1:2" x14ac:dyDescent="0.25">
      <c r="A5312">
        <v>5312</v>
      </c>
      <c r="B5312" t="str">
        <f t="shared" si="82"/>
        <v>ᓀ</v>
      </c>
    </row>
    <row r="5313" spans="1:2" x14ac:dyDescent="0.25">
      <c r="A5313">
        <v>5313</v>
      </c>
      <c r="B5313" t="str">
        <f t="shared" si="82"/>
        <v>ᓁ</v>
      </c>
    </row>
    <row r="5314" spans="1:2" x14ac:dyDescent="0.25">
      <c r="A5314">
        <v>5314</v>
      </c>
      <c r="B5314" t="str">
        <f t="shared" ref="B5314:B5377" si="83">_xlfn.UNICHAR(A5314)</f>
        <v>ᓂ</v>
      </c>
    </row>
    <row r="5315" spans="1:2" x14ac:dyDescent="0.25">
      <c r="A5315">
        <v>5315</v>
      </c>
      <c r="B5315" t="str">
        <f t="shared" si="83"/>
        <v>ᓃ</v>
      </c>
    </row>
    <row r="5316" spans="1:2" x14ac:dyDescent="0.25">
      <c r="A5316">
        <v>5316</v>
      </c>
      <c r="B5316" t="str">
        <f t="shared" si="83"/>
        <v>ᓄ</v>
      </c>
    </row>
    <row r="5317" spans="1:2" x14ac:dyDescent="0.25">
      <c r="A5317">
        <v>5317</v>
      </c>
      <c r="B5317" t="str">
        <f t="shared" si="83"/>
        <v>ᓅ</v>
      </c>
    </row>
    <row r="5318" spans="1:2" x14ac:dyDescent="0.25">
      <c r="A5318">
        <v>5318</v>
      </c>
      <c r="B5318" t="str">
        <f t="shared" si="83"/>
        <v>ᓆ</v>
      </c>
    </row>
    <row r="5319" spans="1:2" x14ac:dyDescent="0.25">
      <c r="A5319">
        <v>5319</v>
      </c>
      <c r="B5319" t="str">
        <f t="shared" si="83"/>
        <v>ᓇ</v>
      </c>
    </row>
    <row r="5320" spans="1:2" x14ac:dyDescent="0.25">
      <c r="A5320">
        <v>5320</v>
      </c>
      <c r="B5320" t="str">
        <f t="shared" si="83"/>
        <v>ᓈ</v>
      </c>
    </row>
    <row r="5321" spans="1:2" x14ac:dyDescent="0.25">
      <c r="A5321">
        <v>5321</v>
      </c>
      <c r="B5321" t="str">
        <f t="shared" si="83"/>
        <v>ᓉ</v>
      </c>
    </row>
    <row r="5322" spans="1:2" x14ac:dyDescent="0.25">
      <c r="A5322">
        <v>5322</v>
      </c>
      <c r="B5322" t="str">
        <f t="shared" si="83"/>
        <v>ᓊ</v>
      </c>
    </row>
    <row r="5323" spans="1:2" x14ac:dyDescent="0.25">
      <c r="A5323">
        <v>5323</v>
      </c>
      <c r="B5323" t="str">
        <f t="shared" si="83"/>
        <v>ᓋ</v>
      </c>
    </row>
    <row r="5324" spans="1:2" x14ac:dyDescent="0.25">
      <c r="A5324">
        <v>5324</v>
      </c>
      <c r="B5324" t="str">
        <f t="shared" si="83"/>
        <v>ᓌ</v>
      </c>
    </row>
    <row r="5325" spans="1:2" x14ac:dyDescent="0.25">
      <c r="A5325">
        <v>5325</v>
      </c>
      <c r="B5325" t="str">
        <f t="shared" si="83"/>
        <v>ᓍ</v>
      </c>
    </row>
    <row r="5326" spans="1:2" x14ac:dyDescent="0.25">
      <c r="A5326">
        <v>5326</v>
      </c>
      <c r="B5326" t="str">
        <f t="shared" si="83"/>
        <v>ᓎ</v>
      </c>
    </row>
    <row r="5327" spans="1:2" x14ac:dyDescent="0.25">
      <c r="A5327">
        <v>5327</v>
      </c>
      <c r="B5327" t="str">
        <f t="shared" si="83"/>
        <v>ᓏ</v>
      </c>
    </row>
    <row r="5328" spans="1:2" x14ac:dyDescent="0.25">
      <c r="A5328">
        <v>5328</v>
      </c>
      <c r="B5328" t="str">
        <f t="shared" si="83"/>
        <v>ᓐ</v>
      </c>
    </row>
    <row r="5329" spans="1:2" x14ac:dyDescent="0.25">
      <c r="A5329">
        <v>5329</v>
      </c>
      <c r="B5329" t="str">
        <f t="shared" si="83"/>
        <v>ᓑ</v>
      </c>
    </row>
    <row r="5330" spans="1:2" x14ac:dyDescent="0.25">
      <c r="A5330">
        <v>5330</v>
      </c>
      <c r="B5330" t="str">
        <f t="shared" si="83"/>
        <v>ᓒ</v>
      </c>
    </row>
    <row r="5331" spans="1:2" x14ac:dyDescent="0.25">
      <c r="A5331">
        <v>5331</v>
      </c>
      <c r="B5331" t="str">
        <f t="shared" si="83"/>
        <v>ᓓ</v>
      </c>
    </row>
    <row r="5332" spans="1:2" x14ac:dyDescent="0.25">
      <c r="A5332">
        <v>5332</v>
      </c>
      <c r="B5332" t="str">
        <f t="shared" si="83"/>
        <v>ᓔ</v>
      </c>
    </row>
    <row r="5333" spans="1:2" x14ac:dyDescent="0.25">
      <c r="A5333">
        <v>5333</v>
      </c>
      <c r="B5333" t="str">
        <f t="shared" si="83"/>
        <v>ᓕ</v>
      </c>
    </row>
    <row r="5334" spans="1:2" x14ac:dyDescent="0.25">
      <c r="A5334">
        <v>5334</v>
      </c>
      <c r="B5334" t="str">
        <f t="shared" si="83"/>
        <v>ᓖ</v>
      </c>
    </row>
    <row r="5335" spans="1:2" x14ac:dyDescent="0.25">
      <c r="A5335">
        <v>5335</v>
      </c>
      <c r="B5335" t="str">
        <f t="shared" si="83"/>
        <v>ᓗ</v>
      </c>
    </row>
    <row r="5336" spans="1:2" x14ac:dyDescent="0.25">
      <c r="A5336">
        <v>5336</v>
      </c>
      <c r="B5336" t="str">
        <f t="shared" si="83"/>
        <v>ᓘ</v>
      </c>
    </row>
    <row r="5337" spans="1:2" x14ac:dyDescent="0.25">
      <c r="A5337">
        <v>5337</v>
      </c>
      <c r="B5337" t="str">
        <f t="shared" si="83"/>
        <v>ᓙ</v>
      </c>
    </row>
    <row r="5338" spans="1:2" x14ac:dyDescent="0.25">
      <c r="A5338">
        <v>5338</v>
      </c>
      <c r="B5338" t="str">
        <f t="shared" si="83"/>
        <v>ᓚ</v>
      </c>
    </row>
    <row r="5339" spans="1:2" x14ac:dyDescent="0.25">
      <c r="A5339">
        <v>5339</v>
      </c>
      <c r="B5339" t="str">
        <f t="shared" si="83"/>
        <v>ᓛ</v>
      </c>
    </row>
    <row r="5340" spans="1:2" x14ac:dyDescent="0.25">
      <c r="A5340">
        <v>5340</v>
      </c>
      <c r="B5340" t="str">
        <f t="shared" si="83"/>
        <v>ᓜ</v>
      </c>
    </row>
    <row r="5341" spans="1:2" x14ac:dyDescent="0.25">
      <c r="A5341">
        <v>5341</v>
      </c>
      <c r="B5341" t="str">
        <f t="shared" si="83"/>
        <v>ᓝ</v>
      </c>
    </row>
    <row r="5342" spans="1:2" x14ac:dyDescent="0.25">
      <c r="A5342">
        <v>5342</v>
      </c>
      <c r="B5342" t="str">
        <f t="shared" si="83"/>
        <v>ᓞ</v>
      </c>
    </row>
    <row r="5343" spans="1:2" x14ac:dyDescent="0.25">
      <c r="A5343">
        <v>5343</v>
      </c>
      <c r="B5343" t="str">
        <f t="shared" si="83"/>
        <v>ᓟ</v>
      </c>
    </row>
    <row r="5344" spans="1:2" x14ac:dyDescent="0.25">
      <c r="A5344">
        <v>5344</v>
      </c>
      <c r="B5344" t="str">
        <f t="shared" si="83"/>
        <v>ᓠ</v>
      </c>
    </row>
    <row r="5345" spans="1:2" x14ac:dyDescent="0.25">
      <c r="A5345">
        <v>5345</v>
      </c>
      <c r="B5345" t="str">
        <f t="shared" si="83"/>
        <v>ᓡ</v>
      </c>
    </row>
    <row r="5346" spans="1:2" x14ac:dyDescent="0.25">
      <c r="A5346">
        <v>5346</v>
      </c>
      <c r="B5346" t="str">
        <f t="shared" si="83"/>
        <v>ᓢ</v>
      </c>
    </row>
    <row r="5347" spans="1:2" x14ac:dyDescent="0.25">
      <c r="A5347">
        <v>5347</v>
      </c>
      <c r="B5347" t="str">
        <f t="shared" si="83"/>
        <v>ᓣ</v>
      </c>
    </row>
    <row r="5348" spans="1:2" x14ac:dyDescent="0.25">
      <c r="A5348">
        <v>5348</v>
      </c>
      <c r="B5348" t="str">
        <f t="shared" si="83"/>
        <v>ᓤ</v>
      </c>
    </row>
    <row r="5349" spans="1:2" x14ac:dyDescent="0.25">
      <c r="A5349">
        <v>5349</v>
      </c>
      <c r="B5349" t="str">
        <f t="shared" si="83"/>
        <v>ᓥ</v>
      </c>
    </row>
    <row r="5350" spans="1:2" x14ac:dyDescent="0.25">
      <c r="A5350">
        <v>5350</v>
      </c>
      <c r="B5350" t="str">
        <f t="shared" si="83"/>
        <v>ᓦ</v>
      </c>
    </row>
    <row r="5351" spans="1:2" x14ac:dyDescent="0.25">
      <c r="A5351">
        <v>5351</v>
      </c>
      <c r="B5351" t="str">
        <f t="shared" si="83"/>
        <v>ᓧ</v>
      </c>
    </row>
    <row r="5352" spans="1:2" x14ac:dyDescent="0.25">
      <c r="A5352">
        <v>5352</v>
      </c>
      <c r="B5352" t="str">
        <f t="shared" si="83"/>
        <v>ᓨ</v>
      </c>
    </row>
    <row r="5353" spans="1:2" x14ac:dyDescent="0.25">
      <c r="A5353">
        <v>5353</v>
      </c>
      <c r="B5353" t="str">
        <f t="shared" si="83"/>
        <v>ᓩ</v>
      </c>
    </row>
    <row r="5354" spans="1:2" x14ac:dyDescent="0.25">
      <c r="A5354">
        <v>5354</v>
      </c>
      <c r="B5354" t="str">
        <f t="shared" si="83"/>
        <v>ᓪ</v>
      </c>
    </row>
    <row r="5355" spans="1:2" x14ac:dyDescent="0.25">
      <c r="A5355">
        <v>5355</v>
      </c>
      <c r="B5355" t="str">
        <f t="shared" si="83"/>
        <v>ᓫ</v>
      </c>
    </row>
    <row r="5356" spans="1:2" x14ac:dyDescent="0.25">
      <c r="A5356">
        <v>5356</v>
      </c>
      <c r="B5356" t="str">
        <f t="shared" si="83"/>
        <v>ᓬ</v>
      </c>
    </row>
    <row r="5357" spans="1:2" x14ac:dyDescent="0.25">
      <c r="A5357">
        <v>5357</v>
      </c>
      <c r="B5357" t="str">
        <f t="shared" si="83"/>
        <v>ᓭ</v>
      </c>
    </row>
    <row r="5358" spans="1:2" x14ac:dyDescent="0.25">
      <c r="A5358">
        <v>5358</v>
      </c>
      <c r="B5358" t="str">
        <f t="shared" si="83"/>
        <v>ᓮ</v>
      </c>
    </row>
    <row r="5359" spans="1:2" x14ac:dyDescent="0.25">
      <c r="A5359">
        <v>5359</v>
      </c>
      <c r="B5359" t="str">
        <f t="shared" si="83"/>
        <v>ᓯ</v>
      </c>
    </row>
    <row r="5360" spans="1:2" x14ac:dyDescent="0.25">
      <c r="A5360">
        <v>5360</v>
      </c>
      <c r="B5360" t="str">
        <f t="shared" si="83"/>
        <v>ᓰ</v>
      </c>
    </row>
    <row r="5361" spans="1:2" x14ac:dyDescent="0.25">
      <c r="A5361">
        <v>5361</v>
      </c>
      <c r="B5361" t="str">
        <f t="shared" si="83"/>
        <v>ᓱ</v>
      </c>
    </row>
    <row r="5362" spans="1:2" x14ac:dyDescent="0.25">
      <c r="A5362">
        <v>5362</v>
      </c>
      <c r="B5362" t="str">
        <f t="shared" si="83"/>
        <v>ᓲ</v>
      </c>
    </row>
    <row r="5363" spans="1:2" x14ac:dyDescent="0.25">
      <c r="A5363">
        <v>5363</v>
      </c>
      <c r="B5363" t="str">
        <f t="shared" si="83"/>
        <v>ᓳ</v>
      </c>
    </row>
    <row r="5364" spans="1:2" x14ac:dyDescent="0.25">
      <c r="A5364">
        <v>5364</v>
      </c>
      <c r="B5364" t="str">
        <f t="shared" si="83"/>
        <v>ᓴ</v>
      </c>
    </row>
    <row r="5365" spans="1:2" x14ac:dyDescent="0.25">
      <c r="A5365">
        <v>5365</v>
      </c>
      <c r="B5365" t="str">
        <f t="shared" si="83"/>
        <v>ᓵ</v>
      </c>
    </row>
    <row r="5366" spans="1:2" x14ac:dyDescent="0.25">
      <c r="A5366">
        <v>5366</v>
      </c>
      <c r="B5366" t="str">
        <f t="shared" si="83"/>
        <v>ᓶ</v>
      </c>
    </row>
    <row r="5367" spans="1:2" x14ac:dyDescent="0.25">
      <c r="A5367">
        <v>5367</v>
      </c>
      <c r="B5367" t="str">
        <f t="shared" si="83"/>
        <v>ᓷ</v>
      </c>
    </row>
    <row r="5368" spans="1:2" x14ac:dyDescent="0.25">
      <c r="A5368">
        <v>5368</v>
      </c>
      <c r="B5368" t="str">
        <f t="shared" si="83"/>
        <v>ᓸ</v>
      </c>
    </row>
    <row r="5369" spans="1:2" x14ac:dyDescent="0.25">
      <c r="A5369">
        <v>5369</v>
      </c>
      <c r="B5369" t="str">
        <f t="shared" si="83"/>
        <v>ᓹ</v>
      </c>
    </row>
    <row r="5370" spans="1:2" x14ac:dyDescent="0.25">
      <c r="A5370">
        <v>5370</v>
      </c>
      <c r="B5370" t="str">
        <f t="shared" si="83"/>
        <v>ᓺ</v>
      </c>
    </row>
    <row r="5371" spans="1:2" x14ac:dyDescent="0.25">
      <c r="A5371">
        <v>5371</v>
      </c>
      <c r="B5371" t="str">
        <f t="shared" si="83"/>
        <v>ᓻ</v>
      </c>
    </row>
    <row r="5372" spans="1:2" x14ac:dyDescent="0.25">
      <c r="A5372">
        <v>5372</v>
      </c>
      <c r="B5372" t="str">
        <f t="shared" si="83"/>
        <v>ᓼ</v>
      </c>
    </row>
    <row r="5373" spans="1:2" x14ac:dyDescent="0.25">
      <c r="A5373">
        <v>5373</v>
      </c>
      <c r="B5373" t="str">
        <f t="shared" si="83"/>
        <v>ᓽ</v>
      </c>
    </row>
    <row r="5374" spans="1:2" x14ac:dyDescent="0.25">
      <c r="A5374">
        <v>5374</v>
      </c>
      <c r="B5374" t="str">
        <f t="shared" si="83"/>
        <v>ᓾ</v>
      </c>
    </row>
    <row r="5375" spans="1:2" x14ac:dyDescent="0.25">
      <c r="A5375">
        <v>5375</v>
      </c>
      <c r="B5375" t="str">
        <f t="shared" si="83"/>
        <v>ᓿ</v>
      </c>
    </row>
    <row r="5376" spans="1:2" x14ac:dyDescent="0.25">
      <c r="A5376">
        <v>5376</v>
      </c>
      <c r="B5376" t="str">
        <f t="shared" si="83"/>
        <v>ᔀ</v>
      </c>
    </row>
    <row r="5377" spans="1:2" x14ac:dyDescent="0.25">
      <c r="A5377">
        <v>5377</v>
      </c>
      <c r="B5377" t="str">
        <f t="shared" si="83"/>
        <v>ᔁ</v>
      </c>
    </row>
    <row r="5378" spans="1:2" x14ac:dyDescent="0.25">
      <c r="A5378">
        <v>5378</v>
      </c>
      <c r="B5378" t="str">
        <f t="shared" ref="B5378:B5441" si="84">_xlfn.UNICHAR(A5378)</f>
        <v>ᔂ</v>
      </c>
    </row>
    <row r="5379" spans="1:2" x14ac:dyDescent="0.25">
      <c r="A5379">
        <v>5379</v>
      </c>
      <c r="B5379" t="str">
        <f t="shared" si="84"/>
        <v>ᔃ</v>
      </c>
    </row>
    <row r="5380" spans="1:2" x14ac:dyDescent="0.25">
      <c r="A5380">
        <v>5380</v>
      </c>
      <c r="B5380" t="str">
        <f t="shared" si="84"/>
        <v>ᔄ</v>
      </c>
    </row>
    <row r="5381" spans="1:2" x14ac:dyDescent="0.25">
      <c r="A5381">
        <v>5381</v>
      </c>
      <c r="B5381" t="str">
        <f t="shared" si="84"/>
        <v>ᔅ</v>
      </c>
    </row>
    <row r="5382" spans="1:2" x14ac:dyDescent="0.25">
      <c r="A5382">
        <v>5382</v>
      </c>
      <c r="B5382" t="str">
        <f t="shared" si="84"/>
        <v>ᔆ</v>
      </c>
    </row>
    <row r="5383" spans="1:2" x14ac:dyDescent="0.25">
      <c r="A5383">
        <v>5383</v>
      </c>
      <c r="B5383" t="str">
        <f t="shared" si="84"/>
        <v>ᔇ</v>
      </c>
    </row>
    <row r="5384" spans="1:2" x14ac:dyDescent="0.25">
      <c r="A5384">
        <v>5384</v>
      </c>
      <c r="B5384" t="str">
        <f t="shared" si="84"/>
        <v>ᔈ</v>
      </c>
    </row>
    <row r="5385" spans="1:2" x14ac:dyDescent="0.25">
      <c r="A5385">
        <v>5385</v>
      </c>
      <c r="B5385" t="str">
        <f t="shared" si="84"/>
        <v>ᔉ</v>
      </c>
    </row>
    <row r="5386" spans="1:2" x14ac:dyDescent="0.25">
      <c r="A5386">
        <v>5386</v>
      </c>
      <c r="B5386" t="str">
        <f t="shared" si="84"/>
        <v>ᔊ</v>
      </c>
    </row>
    <row r="5387" spans="1:2" x14ac:dyDescent="0.25">
      <c r="A5387">
        <v>5387</v>
      </c>
      <c r="B5387" t="str">
        <f t="shared" si="84"/>
        <v>ᔋ</v>
      </c>
    </row>
    <row r="5388" spans="1:2" x14ac:dyDescent="0.25">
      <c r="A5388">
        <v>5388</v>
      </c>
      <c r="B5388" t="str">
        <f t="shared" si="84"/>
        <v>ᔌ</v>
      </c>
    </row>
    <row r="5389" spans="1:2" x14ac:dyDescent="0.25">
      <c r="A5389">
        <v>5389</v>
      </c>
      <c r="B5389" t="str">
        <f t="shared" si="84"/>
        <v>ᔍ</v>
      </c>
    </row>
    <row r="5390" spans="1:2" x14ac:dyDescent="0.25">
      <c r="A5390">
        <v>5390</v>
      </c>
      <c r="B5390" t="str">
        <f t="shared" si="84"/>
        <v>ᔎ</v>
      </c>
    </row>
    <row r="5391" spans="1:2" x14ac:dyDescent="0.25">
      <c r="A5391">
        <v>5391</v>
      </c>
      <c r="B5391" t="str">
        <f t="shared" si="84"/>
        <v>ᔏ</v>
      </c>
    </row>
    <row r="5392" spans="1:2" x14ac:dyDescent="0.25">
      <c r="A5392">
        <v>5392</v>
      </c>
      <c r="B5392" t="str">
        <f t="shared" si="84"/>
        <v>ᔐ</v>
      </c>
    </row>
    <row r="5393" spans="1:2" x14ac:dyDescent="0.25">
      <c r="A5393">
        <v>5393</v>
      </c>
      <c r="B5393" t="str">
        <f t="shared" si="84"/>
        <v>ᔑ</v>
      </c>
    </row>
    <row r="5394" spans="1:2" x14ac:dyDescent="0.25">
      <c r="A5394">
        <v>5394</v>
      </c>
      <c r="B5394" t="str">
        <f t="shared" si="84"/>
        <v>ᔒ</v>
      </c>
    </row>
    <row r="5395" spans="1:2" x14ac:dyDescent="0.25">
      <c r="A5395">
        <v>5395</v>
      </c>
      <c r="B5395" t="str">
        <f t="shared" si="84"/>
        <v>ᔓ</v>
      </c>
    </row>
    <row r="5396" spans="1:2" x14ac:dyDescent="0.25">
      <c r="A5396">
        <v>5396</v>
      </c>
      <c r="B5396" t="str">
        <f t="shared" si="84"/>
        <v>ᔔ</v>
      </c>
    </row>
    <row r="5397" spans="1:2" x14ac:dyDescent="0.25">
      <c r="A5397">
        <v>5397</v>
      </c>
      <c r="B5397" t="str">
        <f t="shared" si="84"/>
        <v>ᔕ</v>
      </c>
    </row>
    <row r="5398" spans="1:2" x14ac:dyDescent="0.25">
      <c r="A5398">
        <v>5398</v>
      </c>
      <c r="B5398" t="str">
        <f t="shared" si="84"/>
        <v>ᔖ</v>
      </c>
    </row>
    <row r="5399" spans="1:2" x14ac:dyDescent="0.25">
      <c r="A5399">
        <v>5399</v>
      </c>
      <c r="B5399" t="str">
        <f t="shared" si="84"/>
        <v>ᔗ</v>
      </c>
    </row>
    <row r="5400" spans="1:2" x14ac:dyDescent="0.25">
      <c r="A5400">
        <v>5400</v>
      </c>
      <c r="B5400" t="str">
        <f t="shared" si="84"/>
        <v>ᔘ</v>
      </c>
    </row>
    <row r="5401" spans="1:2" x14ac:dyDescent="0.25">
      <c r="A5401">
        <v>5401</v>
      </c>
      <c r="B5401" t="str">
        <f t="shared" si="84"/>
        <v>ᔙ</v>
      </c>
    </row>
    <row r="5402" spans="1:2" x14ac:dyDescent="0.25">
      <c r="A5402">
        <v>5402</v>
      </c>
      <c r="B5402" t="str">
        <f t="shared" si="84"/>
        <v>ᔚ</v>
      </c>
    </row>
    <row r="5403" spans="1:2" x14ac:dyDescent="0.25">
      <c r="A5403">
        <v>5403</v>
      </c>
      <c r="B5403" t="str">
        <f t="shared" si="84"/>
        <v>ᔛ</v>
      </c>
    </row>
    <row r="5404" spans="1:2" x14ac:dyDescent="0.25">
      <c r="A5404">
        <v>5404</v>
      </c>
      <c r="B5404" t="str">
        <f t="shared" si="84"/>
        <v>ᔜ</v>
      </c>
    </row>
    <row r="5405" spans="1:2" x14ac:dyDescent="0.25">
      <c r="A5405">
        <v>5405</v>
      </c>
      <c r="B5405" t="str">
        <f t="shared" si="84"/>
        <v>ᔝ</v>
      </c>
    </row>
    <row r="5406" spans="1:2" x14ac:dyDescent="0.25">
      <c r="A5406">
        <v>5406</v>
      </c>
      <c r="B5406" t="str">
        <f t="shared" si="84"/>
        <v>ᔞ</v>
      </c>
    </row>
    <row r="5407" spans="1:2" x14ac:dyDescent="0.25">
      <c r="A5407">
        <v>5407</v>
      </c>
      <c r="B5407" t="str">
        <f t="shared" si="84"/>
        <v>ᔟ</v>
      </c>
    </row>
    <row r="5408" spans="1:2" x14ac:dyDescent="0.25">
      <c r="A5408">
        <v>5408</v>
      </c>
      <c r="B5408" t="str">
        <f t="shared" si="84"/>
        <v>ᔠ</v>
      </c>
    </row>
    <row r="5409" spans="1:2" x14ac:dyDescent="0.25">
      <c r="A5409">
        <v>5409</v>
      </c>
      <c r="B5409" t="str">
        <f t="shared" si="84"/>
        <v>ᔡ</v>
      </c>
    </row>
    <row r="5410" spans="1:2" x14ac:dyDescent="0.25">
      <c r="A5410">
        <v>5410</v>
      </c>
      <c r="B5410" t="str">
        <f t="shared" si="84"/>
        <v>ᔢ</v>
      </c>
    </row>
    <row r="5411" spans="1:2" x14ac:dyDescent="0.25">
      <c r="A5411">
        <v>5411</v>
      </c>
      <c r="B5411" t="str">
        <f t="shared" si="84"/>
        <v>ᔣ</v>
      </c>
    </row>
    <row r="5412" spans="1:2" x14ac:dyDescent="0.25">
      <c r="A5412">
        <v>5412</v>
      </c>
      <c r="B5412" t="str">
        <f t="shared" si="84"/>
        <v>ᔤ</v>
      </c>
    </row>
    <row r="5413" spans="1:2" x14ac:dyDescent="0.25">
      <c r="A5413">
        <v>5413</v>
      </c>
      <c r="B5413" t="str">
        <f t="shared" si="84"/>
        <v>ᔥ</v>
      </c>
    </row>
    <row r="5414" spans="1:2" x14ac:dyDescent="0.25">
      <c r="A5414">
        <v>5414</v>
      </c>
      <c r="B5414" t="str">
        <f t="shared" si="84"/>
        <v>ᔦ</v>
      </c>
    </row>
    <row r="5415" spans="1:2" x14ac:dyDescent="0.25">
      <c r="A5415">
        <v>5415</v>
      </c>
      <c r="B5415" t="str">
        <f t="shared" si="84"/>
        <v>ᔧ</v>
      </c>
    </row>
    <row r="5416" spans="1:2" x14ac:dyDescent="0.25">
      <c r="A5416">
        <v>5416</v>
      </c>
      <c r="B5416" t="str">
        <f t="shared" si="84"/>
        <v>ᔨ</v>
      </c>
    </row>
    <row r="5417" spans="1:2" x14ac:dyDescent="0.25">
      <c r="A5417">
        <v>5417</v>
      </c>
      <c r="B5417" t="str">
        <f t="shared" si="84"/>
        <v>ᔩ</v>
      </c>
    </row>
    <row r="5418" spans="1:2" x14ac:dyDescent="0.25">
      <c r="A5418">
        <v>5418</v>
      </c>
      <c r="B5418" t="str">
        <f t="shared" si="84"/>
        <v>ᔪ</v>
      </c>
    </row>
    <row r="5419" spans="1:2" x14ac:dyDescent="0.25">
      <c r="A5419">
        <v>5419</v>
      </c>
      <c r="B5419" t="str">
        <f t="shared" si="84"/>
        <v>ᔫ</v>
      </c>
    </row>
    <row r="5420" spans="1:2" x14ac:dyDescent="0.25">
      <c r="A5420">
        <v>5420</v>
      </c>
      <c r="B5420" t="str">
        <f t="shared" si="84"/>
        <v>ᔬ</v>
      </c>
    </row>
    <row r="5421" spans="1:2" x14ac:dyDescent="0.25">
      <c r="A5421">
        <v>5421</v>
      </c>
      <c r="B5421" t="str">
        <f t="shared" si="84"/>
        <v>ᔭ</v>
      </c>
    </row>
    <row r="5422" spans="1:2" x14ac:dyDescent="0.25">
      <c r="A5422">
        <v>5422</v>
      </c>
      <c r="B5422" t="str">
        <f t="shared" si="84"/>
        <v>ᔮ</v>
      </c>
    </row>
    <row r="5423" spans="1:2" x14ac:dyDescent="0.25">
      <c r="A5423">
        <v>5423</v>
      </c>
      <c r="B5423" t="str">
        <f t="shared" si="84"/>
        <v>ᔯ</v>
      </c>
    </row>
    <row r="5424" spans="1:2" x14ac:dyDescent="0.25">
      <c r="A5424">
        <v>5424</v>
      </c>
      <c r="B5424" t="str">
        <f t="shared" si="84"/>
        <v>ᔰ</v>
      </c>
    </row>
    <row r="5425" spans="1:2" x14ac:dyDescent="0.25">
      <c r="A5425">
        <v>5425</v>
      </c>
      <c r="B5425" t="str">
        <f t="shared" si="84"/>
        <v>ᔱ</v>
      </c>
    </row>
    <row r="5426" spans="1:2" x14ac:dyDescent="0.25">
      <c r="A5426">
        <v>5426</v>
      </c>
      <c r="B5426" t="str">
        <f t="shared" si="84"/>
        <v>ᔲ</v>
      </c>
    </row>
    <row r="5427" spans="1:2" x14ac:dyDescent="0.25">
      <c r="A5427">
        <v>5427</v>
      </c>
      <c r="B5427" t="str">
        <f t="shared" si="84"/>
        <v>ᔳ</v>
      </c>
    </row>
    <row r="5428" spans="1:2" x14ac:dyDescent="0.25">
      <c r="A5428">
        <v>5428</v>
      </c>
      <c r="B5428" t="str">
        <f t="shared" si="84"/>
        <v>ᔴ</v>
      </c>
    </row>
    <row r="5429" spans="1:2" x14ac:dyDescent="0.25">
      <c r="A5429">
        <v>5429</v>
      </c>
      <c r="B5429" t="str">
        <f t="shared" si="84"/>
        <v>ᔵ</v>
      </c>
    </row>
    <row r="5430" spans="1:2" x14ac:dyDescent="0.25">
      <c r="A5430">
        <v>5430</v>
      </c>
      <c r="B5430" t="str">
        <f t="shared" si="84"/>
        <v>ᔶ</v>
      </c>
    </row>
    <row r="5431" spans="1:2" x14ac:dyDescent="0.25">
      <c r="A5431">
        <v>5431</v>
      </c>
      <c r="B5431" t="str">
        <f t="shared" si="84"/>
        <v>ᔷ</v>
      </c>
    </row>
    <row r="5432" spans="1:2" x14ac:dyDescent="0.25">
      <c r="A5432">
        <v>5432</v>
      </c>
      <c r="B5432" t="str">
        <f t="shared" si="84"/>
        <v>ᔸ</v>
      </c>
    </row>
    <row r="5433" spans="1:2" x14ac:dyDescent="0.25">
      <c r="A5433">
        <v>5433</v>
      </c>
      <c r="B5433" t="str">
        <f t="shared" si="84"/>
        <v>ᔹ</v>
      </c>
    </row>
    <row r="5434" spans="1:2" x14ac:dyDescent="0.25">
      <c r="A5434">
        <v>5434</v>
      </c>
      <c r="B5434" t="str">
        <f t="shared" si="84"/>
        <v>ᔺ</v>
      </c>
    </row>
    <row r="5435" spans="1:2" x14ac:dyDescent="0.25">
      <c r="A5435">
        <v>5435</v>
      </c>
      <c r="B5435" t="str">
        <f t="shared" si="84"/>
        <v>ᔻ</v>
      </c>
    </row>
    <row r="5436" spans="1:2" x14ac:dyDescent="0.25">
      <c r="A5436">
        <v>5436</v>
      </c>
      <c r="B5436" t="str">
        <f t="shared" si="84"/>
        <v>ᔼ</v>
      </c>
    </row>
    <row r="5437" spans="1:2" x14ac:dyDescent="0.25">
      <c r="A5437">
        <v>5437</v>
      </c>
      <c r="B5437" t="str">
        <f t="shared" si="84"/>
        <v>ᔽ</v>
      </c>
    </row>
    <row r="5438" spans="1:2" x14ac:dyDescent="0.25">
      <c r="A5438">
        <v>5438</v>
      </c>
      <c r="B5438" t="str">
        <f t="shared" si="84"/>
        <v>ᔾ</v>
      </c>
    </row>
    <row r="5439" spans="1:2" x14ac:dyDescent="0.25">
      <c r="A5439">
        <v>5439</v>
      </c>
      <c r="B5439" t="str">
        <f t="shared" si="84"/>
        <v>ᔿ</v>
      </c>
    </row>
    <row r="5440" spans="1:2" x14ac:dyDescent="0.25">
      <c r="A5440">
        <v>5440</v>
      </c>
      <c r="B5440" t="str">
        <f t="shared" si="84"/>
        <v>ᕀ</v>
      </c>
    </row>
    <row r="5441" spans="1:2" x14ac:dyDescent="0.25">
      <c r="A5441">
        <v>5441</v>
      </c>
      <c r="B5441" t="str">
        <f t="shared" si="84"/>
        <v>ᕁ</v>
      </c>
    </row>
    <row r="5442" spans="1:2" x14ac:dyDescent="0.25">
      <c r="A5442">
        <v>5442</v>
      </c>
      <c r="B5442" t="str">
        <f t="shared" ref="B5442:B5505" si="85">_xlfn.UNICHAR(A5442)</f>
        <v>ᕂ</v>
      </c>
    </row>
    <row r="5443" spans="1:2" x14ac:dyDescent="0.25">
      <c r="A5443">
        <v>5443</v>
      </c>
      <c r="B5443" t="str">
        <f t="shared" si="85"/>
        <v>ᕃ</v>
      </c>
    </row>
    <row r="5444" spans="1:2" x14ac:dyDescent="0.25">
      <c r="A5444">
        <v>5444</v>
      </c>
      <c r="B5444" t="str">
        <f t="shared" si="85"/>
        <v>ᕄ</v>
      </c>
    </row>
    <row r="5445" spans="1:2" x14ac:dyDescent="0.25">
      <c r="A5445">
        <v>5445</v>
      </c>
      <c r="B5445" t="str">
        <f t="shared" si="85"/>
        <v>ᕅ</v>
      </c>
    </row>
    <row r="5446" spans="1:2" x14ac:dyDescent="0.25">
      <c r="A5446">
        <v>5446</v>
      </c>
      <c r="B5446" t="str">
        <f t="shared" si="85"/>
        <v>ᕆ</v>
      </c>
    </row>
    <row r="5447" spans="1:2" x14ac:dyDescent="0.25">
      <c r="A5447">
        <v>5447</v>
      </c>
      <c r="B5447" t="str">
        <f t="shared" si="85"/>
        <v>ᕇ</v>
      </c>
    </row>
    <row r="5448" spans="1:2" x14ac:dyDescent="0.25">
      <c r="A5448">
        <v>5448</v>
      </c>
      <c r="B5448" t="str">
        <f t="shared" si="85"/>
        <v>ᕈ</v>
      </c>
    </row>
    <row r="5449" spans="1:2" x14ac:dyDescent="0.25">
      <c r="A5449">
        <v>5449</v>
      </c>
      <c r="B5449" t="str">
        <f t="shared" si="85"/>
        <v>ᕉ</v>
      </c>
    </row>
    <row r="5450" spans="1:2" x14ac:dyDescent="0.25">
      <c r="A5450">
        <v>5450</v>
      </c>
      <c r="B5450" t="str">
        <f t="shared" si="85"/>
        <v>ᕊ</v>
      </c>
    </row>
    <row r="5451" spans="1:2" x14ac:dyDescent="0.25">
      <c r="A5451">
        <v>5451</v>
      </c>
      <c r="B5451" t="str">
        <f t="shared" si="85"/>
        <v>ᕋ</v>
      </c>
    </row>
    <row r="5452" spans="1:2" x14ac:dyDescent="0.25">
      <c r="A5452">
        <v>5452</v>
      </c>
      <c r="B5452" t="str">
        <f t="shared" si="85"/>
        <v>ᕌ</v>
      </c>
    </row>
    <row r="5453" spans="1:2" x14ac:dyDescent="0.25">
      <c r="A5453">
        <v>5453</v>
      </c>
      <c r="B5453" t="str">
        <f t="shared" si="85"/>
        <v>ᕍ</v>
      </c>
    </row>
    <row r="5454" spans="1:2" x14ac:dyDescent="0.25">
      <c r="A5454">
        <v>5454</v>
      </c>
      <c r="B5454" t="str">
        <f t="shared" si="85"/>
        <v>ᕎ</v>
      </c>
    </row>
    <row r="5455" spans="1:2" x14ac:dyDescent="0.25">
      <c r="A5455">
        <v>5455</v>
      </c>
      <c r="B5455" t="str">
        <f t="shared" si="85"/>
        <v>ᕏ</v>
      </c>
    </row>
    <row r="5456" spans="1:2" x14ac:dyDescent="0.25">
      <c r="A5456">
        <v>5456</v>
      </c>
      <c r="B5456" t="str">
        <f t="shared" si="85"/>
        <v>ᕐ</v>
      </c>
    </row>
    <row r="5457" spans="1:2" x14ac:dyDescent="0.25">
      <c r="A5457">
        <v>5457</v>
      </c>
      <c r="B5457" t="str">
        <f t="shared" si="85"/>
        <v>ᕑ</v>
      </c>
    </row>
    <row r="5458" spans="1:2" x14ac:dyDescent="0.25">
      <c r="A5458">
        <v>5458</v>
      </c>
      <c r="B5458" t="str">
        <f t="shared" si="85"/>
        <v>ᕒ</v>
      </c>
    </row>
    <row r="5459" spans="1:2" x14ac:dyDescent="0.25">
      <c r="A5459">
        <v>5459</v>
      </c>
      <c r="B5459" t="str">
        <f t="shared" si="85"/>
        <v>ᕓ</v>
      </c>
    </row>
    <row r="5460" spans="1:2" x14ac:dyDescent="0.25">
      <c r="A5460">
        <v>5460</v>
      </c>
      <c r="B5460" t="str">
        <f t="shared" si="85"/>
        <v>ᕔ</v>
      </c>
    </row>
    <row r="5461" spans="1:2" x14ac:dyDescent="0.25">
      <c r="A5461">
        <v>5461</v>
      </c>
      <c r="B5461" t="str">
        <f t="shared" si="85"/>
        <v>ᕕ</v>
      </c>
    </row>
    <row r="5462" spans="1:2" x14ac:dyDescent="0.25">
      <c r="A5462">
        <v>5462</v>
      </c>
      <c r="B5462" t="str">
        <f t="shared" si="85"/>
        <v>ᕖ</v>
      </c>
    </row>
    <row r="5463" spans="1:2" x14ac:dyDescent="0.25">
      <c r="A5463">
        <v>5463</v>
      </c>
      <c r="B5463" t="str">
        <f t="shared" si="85"/>
        <v>ᕗ</v>
      </c>
    </row>
    <row r="5464" spans="1:2" x14ac:dyDescent="0.25">
      <c r="A5464">
        <v>5464</v>
      </c>
      <c r="B5464" t="str">
        <f t="shared" si="85"/>
        <v>ᕘ</v>
      </c>
    </row>
    <row r="5465" spans="1:2" x14ac:dyDescent="0.25">
      <c r="A5465">
        <v>5465</v>
      </c>
      <c r="B5465" t="str">
        <f t="shared" si="85"/>
        <v>ᕙ</v>
      </c>
    </row>
    <row r="5466" spans="1:2" x14ac:dyDescent="0.25">
      <c r="A5466">
        <v>5466</v>
      </c>
      <c r="B5466" t="str">
        <f t="shared" si="85"/>
        <v>ᕚ</v>
      </c>
    </row>
    <row r="5467" spans="1:2" x14ac:dyDescent="0.25">
      <c r="A5467">
        <v>5467</v>
      </c>
      <c r="B5467" t="str">
        <f t="shared" si="85"/>
        <v>ᕛ</v>
      </c>
    </row>
    <row r="5468" spans="1:2" x14ac:dyDescent="0.25">
      <c r="A5468">
        <v>5468</v>
      </c>
      <c r="B5468" t="str">
        <f t="shared" si="85"/>
        <v>ᕜ</v>
      </c>
    </row>
    <row r="5469" spans="1:2" x14ac:dyDescent="0.25">
      <c r="A5469">
        <v>5469</v>
      </c>
      <c r="B5469" t="str">
        <f t="shared" si="85"/>
        <v>ᕝ</v>
      </c>
    </row>
    <row r="5470" spans="1:2" x14ac:dyDescent="0.25">
      <c r="A5470">
        <v>5470</v>
      </c>
      <c r="B5470" t="str">
        <f t="shared" si="85"/>
        <v>ᕞ</v>
      </c>
    </row>
    <row r="5471" spans="1:2" x14ac:dyDescent="0.25">
      <c r="A5471">
        <v>5471</v>
      </c>
      <c r="B5471" t="str">
        <f t="shared" si="85"/>
        <v>ᕟ</v>
      </c>
    </row>
    <row r="5472" spans="1:2" x14ac:dyDescent="0.25">
      <c r="A5472">
        <v>5472</v>
      </c>
      <c r="B5472" t="str">
        <f t="shared" si="85"/>
        <v>ᕠ</v>
      </c>
    </row>
    <row r="5473" spans="1:2" x14ac:dyDescent="0.25">
      <c r="A5473">
        <v>5473</v>
      </c>
      <c r="B5473" t="str">
        <f t="shared" si="85"/>
        <v>ᕡ</v>
      </c>
    </row>
    <row r="5474" spans="1:2" x14ac:dyDescent="0.25">
      <c r="A5474">
        <v>5474</v>
      </c>
      <c r="B5474" t="str">
        <f t="shared" si="85"/>
        <v>ᕢ</v>
      </c>
    </row>
    <row r="5475" spans="1:2" x14ac:dyDescent="0.25">
      <c r="A5475">
        <v>5475</v>
      </c>
      <c r="B5475" t="str">
        <f t="shared" si="85"/>
        <v>ᕣ</v>
      </c>
    </row>
    <row r="5476" spans="1:2" x14ac:dyDescent="0.25">
      <c r="A5476">
        <v>5476</v>
      </c>
      <c r="B5476" t="str">
        <f t="shared" si="85"/>
        <v>ᕤ</v>
      </c>
    </row>
    <row r="5477" spans="1:2" x14ac:dyDescent="0.25">
      <c r="A5477">
        <v>5477</v>
      </c>
      <c r="B5477" t="str">
        <f t="shared" si="85"/>
        <v>ᕥ</v>
      </c>
    </row>
    <row r="5478" spans="1:2" x14ac:dyDescent="0.25">
      <c r="A5478">
        <v>5478</v>
      </c>
      <c r="B5478" t="str">
        <f t="shared" si="85"/>
        <v>ᕦ</v>
      </c>
    </row>
    <row r="5479" spans="1:2" x14ac:dyDescent="0.25">
      <c r="A5479">
        <v>5479</v>
      </c>
      <c r="B5479" t="str">
        <f t="shared" si="85"/>
        <v>ᕧ</v>
      </c>
    </row>
    <row r="5480" spans="1:2" x14ac:dyDescent="0.25">
      <c r="A5480">
        <v>5480</v>
      </c>
      <c r="B5480" t="str">
        <f t="shared" si="85"/>
        <v>ᕨ</v>
      </c>
    </row>
    <row r="5481" spans="1:2" x14ac:dyDescent="0.25">
      <c r="A5481">
        <v>5481</v>
      </c>
      <c r="B5481" t="str">
        <f t="shared" si="85"/>
        <v>ᕩ</v>
      </c>
    </row>
    <row r="5482" spans="1:2" x14ac:dyDescent="0.25">
      <c r="A5482">
        <v>5482</v>
      </c>
      <c r="B5482" t="str">
        <f t="shared" si="85"/>
        <v>ᕪ</v>
      </c>
    </row>
    <row r="5483" spans="1:2" x14ac:dyDescent="0.25">
      <c r="A5483">
        <v>5483</v>
      </c>
      <c r="B5483" t="str">
        <f t="shared" si="85"/>
        <v>ᕫ</v>
      </c>
    </row>
    <row r="5484" spans="1:2" x14ac:dyDescent="0.25">
      <c r="A5484">
        <v>5484</v>
      </c>
      <c r="B5484" t="str">
        <f t="shared" si="85"/>
        <v>ᕬ</v>
      </c>
    </row>
    <row r="5485" spans="1:2" x14ac:dyDescent="0.25">
      <c r="A5485">
        <v>5485</v>
      </c>
      <c r="B5485" t="str">
        <f t="shared" si="85"/>
        <v>ᕭ</v>
      </c>
    </row>
    <row r="5486" spans="1:2" x14ac:dyDescent="0.25">
      <c r="A5486">
        <v>5486</v>
      </c>
      <c r="B5486" t="str">
        <f t="shared" si="85"/>
        <v>ᕮ</v>
      </c>
    </row>
    <row r="5487" spans="1:2" x14ac:dyDescent="0.25">
      <c r="A5487">
        <v>5487</v>
      </c>
      <c r="B5487" t="str">
        <f t="shared" si="85"/>
        <v>ᕯ</v>
      </c>
    </row>
    <row r="5488" spans="1:2" x14ac:dyDescent="0.25">
      <c r="A5488">
        <v>5488</v>
      </c>
      <c r="B5488" t="str">
        <f t="shared" si="85"/>
        <v>ᕰ</v>
      </c>
    </row>
    <row r="5489" spans="1:2" x14ac:dyDescent="0.25">
      <c r="A5489">
        <v>5489</v>
      </c>
      <c r="B5489" t="str">
        <f t="shared" si="85"/>
        <v>ᕱ</v>
      </c>
    </row>
    <row r="5490" spans="1:2" x14ac:dyDescent="0.25">
      <c r="A5490">
        <v>5490</v>
      </c>
      <c r="B5490" t="str">
        <f t="shared" si="85"/>
        <v>ᕲ</v>
      </c>
    </row>
    <row r="5491" spans="1:2" x14ac:dyDescent="0.25">
      <c r="A5491">
        <v>5491</v>
      </c>
      <c r="B5491" t="str">
        <f t="shared" si="85"/>
        <v>ᕳ</v>
      </c>
    </row>
    <row r="5492" spans="1:2" x14ac:dyDescent="0.25">
      <c r="A5492">
        <v>5492</v>
      </c>
      <c r="B5492" t="str">
        <f t="shared" si="85"/>
        <v>ᕴ</v>
      </c>
    </row>
    <row r="5493" spans="1:2" x14ac:dyDescent="0.25">
      <c r="A5493">
        <v>5493</v>
      </c>
      <c r="B5493" t="str">
        <f t="shared" si="85"/>
        <v>ᕵ</v>
      </c>
    </row>
    <row r="5494" spans="1:2" x14ac:dyDescent="0.25">
      <c r="A5494">
        <v>5494</v>
      </c>
      <c r="B5494" t="str">
        <f t="shared" si="85"/>
        <v>ᕶ</v>
      </c>
    </row>
    <row r="5495" spans="1:2" x14ac:dyDescent="0.25">
      <c r="A5495">
        <v>5495</v>
      </c>
      <c r="B5495" t="str">
        <f t="shared" si="85"/>
        <v>ᕷ</v>
      </c>
    </row>
    <row r="5496" spans="1:2" x14ac:dyDescent="0.25">
      <c r="A5496">
        <v>5496</v>
      </c>
      <c r="B5496" t="str">
        <f t="shared" si="85"/>
        <v>ᕸ</v>
      </c>
    </row>
    <row r="5497" spans="1:2" x14ac:dyDescent="0.25">
      <c r="A5497">
        <v>5497</v>
      </c>
      <c r="B5497" t="str">
        <f t="shared" si="85"/>
        <v>ᕹ</v>
      </c>
    </row>
    <row r="5498" spans="1:2" x14ac:dyDescent="0.25">
      <c r="A5498">
        <v>5498</v>
      </c>
      <c r="B5498" t="str">
        <f t="shared" si="85"/>
        <v>ᕺ</v>
      </c>
    </row>
    <row r="5499" spans="1:2" x14ac:dyDescent="0.25">
      <c r="A5499">
        <v>5499</v>
      </c>
      <c r="B5499" t="str">
        <f t="shared" si="85"/>
        <v>ᕻ</v>
      </c>
    </row>
    <row r="5500" spans="1:2" x14ac:dyDescent="0.25">
      <c r="A5500">
        <v>5500</v>
      </c>
      <c r="B5500" t="str">
        <f t="shared" si="85"/>
        <v>ᕼ</v>
      </c>
    </row>
    <row r="5501" spans="1:2" x14ac:dyDescent="0.25">
      <c r="A5501">
        <v>5501</v>
      </c>
      <c r="B5501" t="str">
        <f t="shared" si="85"/>
        <v>ᕽ</v>
      </c>
    </row>
    <row r="5502" spans="1:2" x14ac:dyDescent="0.25">
      <c r="A5502">
        <v>5502</v>
      </c>
      <c r="B5502" t="str">
        <f t="shared" si="85"/>
        <v>ᕾ</v>
      </c>
    </row>
    <row r="5503" spans="1:2" x14ac:dyDescent="0.25">
      <c r="A5503">
        <v>5503</v>
      </c>
      <c r="B5503" t="str">
        <f t="shared" si="85"/>
        <v>ᕿ</v>
      </c>
    </row>
    <row r="5504" spans="1:2" x14ac:dyDescent="0.25">
      <c r="A5504">
        <v>5504</v>
      </c>
      <c r="B5504" t="str">
        <f t="shared" si="85"/>
        <v>ᖀ</v>
      </c>
    </row>
    <row r="5505" spans="1:2" x14ac:dyDescent="0.25">
      <c r="A5505">
        <v>5505</v>
      </c>
      <c r="B5505" t="str">
        <f t="shared" si="85"/>
        <v>ᖁ</v>
      </c>
    </row>
    <row r="5506" spans="1:2" x14ac:dyDescent="0.25">
      <c r="A5506">
        <v>5506</v>
      </c>
      <c r="B5506" t="str">
        <f t="shared" ref="B5506:B5569" si="86">_xlfn.UNICHAR(A5506)</f>
        <v>ᖂ</v>
      </c>
    </row>
    <row r="5507" spans="1:2" x14ac:dyDescent="0.25">
      <c r="A5507">
        <v>5507</v>
      </c>
      <c r="B5507" t="str">
        <f t="shared" si="86"/>
        <v>ᖃ</v>
      </c>
    </row>
    <row r="5508" spans="1:2" x14ac:dyDescent="0.25">
      <c r="A5508">
        <v>5508</v>
      </c>
      <c r="B5508" t="str">
        <f t="shared" si="86"/>
        <v>ᖄ</v>
      </c>
    </row>
    <row r="5509" spans="1:2" x14ac:dyDescent="0.25">
      <c r="A5509">
        <v>5509</v>
      </c>
      <c r="B5509" t="str">
        <f t="shared" si="86"/>
        <v>ᖅ</v>
      </c>
    </row>
    <row r="5510" spans="1:2" x14ac:dyDescent="0.25">
      <c r="A5510">
        <v>5510</v>
      </c>
      <c r="B5510" t="str">
        <f t="shared" si="86"/>
        <v>ᖆ</v>
      </c>
    </row>
    <row r="5511" spans="1:2" x14ac:dyDescent="0.25">
      <c r="A5511">
        <v>5511</v>
      </c>
      <c r="B5511" t="str">
        <f t="shared" si="86"/>
        <v>ᖇ</v>
      </c>
    </row>
    <row r="5512" spans="1:2" x14ac:dyDescent="0.25">
      <c r="A5512">
        <v>5512</v>
      </c>
      <c r="B5512" t="str">
        <f t="shared" si="86"/>
        <v>ᖈ</v>
      </c>
    </row>
    <row r="5513" spans="1:2" x14ac:dyDescent="0.25">
      <c r="A5513">
        <v>5513</v>
      </c>
      <c r="B5513" t="str">
        <f t="shared" si="86"/>
        <v>ᖉ</v>
      </c>
    </row>
    <row r="5514" spans="1:2" x14ac:dyDescent="0.25">
      <c r="A5514">
        <v>5514</v>
      </c>
      <c r="B5514" t="str">
        <f t="shared" si="86"/>
        <v>ᖊ</v>
      </c>
    </row>
    <row r="5515" spans="1:2" x14ac:dyDescent="0.25">
      <c r="A5515">
        <v>5515</v>
      </c>
      <c r="B5515" t="str">
        <f t="shared" si="86"/>
        <v>ᖋ</v>
      </c>
    </row>
    <row r="5516" spans="1:2" x14ac:dyDescent="0.25">
      <c r="A5516">
        <v>5516</v>
      </c>
      <c r="B5516" t="str">
        <f t="shared" si="86"/>
        <v>ᖌ</v>
      </c>
    </row>
    <row r="5517" spans="1:2" x14ac:dyDescent="0.25">
      <c r="A5517">
        <v>5517</v>
      </c>
      <c r="B5517" t="str">
        <f t="shared" si="86"/>
        <v>ᖍ</v>
      </c>
    </row>
    <row r="5518" spans="1:2" x14ac:dyDescent="0.25">
      <c r="A5518">
        <v>5518</v>
      </c>
      <c r="B5518" t="str">
        <f t="shared" si="86"/>
        <v>ᖎ</v>
      </c>
    </row>
    <row r="5519" spans="1:2" x14ac:dyDescent="0.25">
      <c r="A5519">
        <v>5519</v>
      </c>
      <c r="B5519" t="str">
        <f t="shared" si="86"/>
        <v>ᖏ</v>
      </c>
    </row>
    <row r="5520" spans="1:2" x14ac:dyDescent="0.25">
      <c r="A5520">
        <v>5520</v>
      </c>
      <c r="B5520" t="str">
        <f t="shared" si="86"/>
        <v>ᖐ</v>
      </c>
    </row>
    <row r="5521" spans="1:2" x14ac:dyDescent="0.25">
      <c r="A5521">
        <v>5521</v>
      </c>
      <c r="B5521" t="str">
        <f t="shared" si="86"/>
        <v>ᖑ</v>
      </c>
    </row>
    <row r="5522" spans="1:2" x14ac:dyDescent="0.25">
      <c r="A5522">
        <v>5522</v>
      </c>
      <c r="B5522" t="str">
        <f t="shared" si="86"/>
        <v>ᖒ</v>
      </c>
    </row>
    <row r="5523" spans="1:2" x14ac:dyDescent="0.25">
      <c r="A5523">
        <v>5523</v>
      </c>
      <c r="B5523" t="str">
        <f t="shared" si="86"/>
        <v>ᖓ</v>
      </c>
    </row>
    <row r="5524" spans="1:2" x14ac:dyDescent="0.25">
      <c r="A5524">
        <v>5524</v>
      </c>
      <c r="B5524" t="str">
        <f t="shared" si="86"/>
        <v>ᖔ</v>
      </c>
    </row>
    <row r="5525" spans="1:2" x14ac:dyDescent="0.25">
      <c r="A5525">
        <v>5525</v>
      </c>
      <c r="B5525" t="str">
        <f t="shared" si="86"/>
        <v>ᖕ</v>
      </c>
    </row>
    <row r="5526" spans="1:2" x14ac:dyDescent="0.25">
      <c r="A5526">
        <v>5526</v>
      </c>
      <c r="B5526" t="str">
        <f t="shared" si="86"/>
        <v>ᖖ</v>
      </c>
    </row>
    <row r="5527" spans="1:2" x14ac:dyDescent="0.25">
      <c r="A5527">
        <v>5527</v>
      </c>
      <c r="B5527" t="str">
        <f t="shared" si="86"/>
        <v>ᖗ</v>
      </c>
    </row>
    <row r="5528" spans="1:2" x14ac:dyDescent="0.25">
      <c r="A5528">
        <v>5528</v>
      </c>
      <c r="B5528" t="str">
        <f t="shared" si="86"/>
        <v>ᖘ</v>
      </c>
    </row>
    <row r="5529" spans="1:2" x14ac:dyDescent="0.25">
      <c r="A5529">
        <v>5529</v>
      </c>
      <c r="B5529" t="str">
        <f t="shared" si="86"/>
        <v>ᖙ</v>
      </c>
    </row>
    <row r="5530" spans="1:2" x14ac:dyDescent="0.25">
      <c r="A5530">
        <v>5530</v>
      </c>
      <c r="B5530" t="str">
        <f t="shared" si="86"/>
        <v>ᖚ</v>
      </c>
    </row>
    <row r="5531" spans="1:2" x14ac:dyDescent="0.25">
      <c r="A5531">
        <v>5531</v>
      </c>
      <c r="B5531" t="str">
        <f t="shared" si="86"/>
        <v>ᖛ</v>
      </c>
    </row>
    <row r="5532" spans="1:2" x14ac:dyDescent="0.25">
      <c r="A5532">
        <v>5532</v>
      </c>
      <c r="B5532" t="str">
        <f t="shared" si="86"/>
        <v>ᖜ</v>
      </c>
    </row>
    <row r="5533" spans="1:2" x14ac:dyDescent="0.25">
      <c r="A5533">
        <v>5533</v>
      </c>
      <c r="B5533" t="str">
        <f t="shared" si="86"/>
        <v>ᖝ</v>
      </c>
    </row>
    <row r="5534" spans="1:2" x14ac:dyDescent="0.25">
      <c r="A5534">
        <v>5534</v>
      </c>
      <c r="B5534" t="str">
        <f t="shared" si="86"/>
        <v>ᖞ</v>
      </c>
    </row>
    <row r="5535" spans="1:2" x14ac:dyDescent="0.25">
      <c r="A5535">
        <v>5535</v>
      </c>
      <c r="B5535" t="str">
        <f t="shared" si="86"/>
        <v>ᖟ</v>
      </c>
    </row>
    <row r="5536" spans="1:2" x14ac:dyDescent="0.25">
      <c r="A5536">
        <v>5536</v>
      </c>
      <c r="B5536" t="str">
        <f t="shared" si="86"/>
        <v>ᖠ</v>
      </c>
    </row>
    <row r="5537" spans="1:2" x14ac:dyDescent="0.25">
      <c r="A5537">
        <v>5537</v>
      </c>
      <c r="B5537" t="str">
        <f t="shared" si="86"/>
        <v>ᖡ</v>
      </c>
    </row>
    <row r="5538" spans="1:2" x14ac:dyDescent="0.25">
      <c r="A5538">
        <v>5538</v>
      </c>
      <c r="B5538" t="str">
        <f t="shared" si="86"/>
        <v>ᖢ</v>
      </c>
    </row>
    <row r="5539" spans="1:2" x14ac:dyDescent="0.25">
      <c r="A5539">
        <v>5539</v>
      </c>
      <c r="B5539" t="str">
        <f t="shared" si="86"/>
        <v>ᖣ</v>
      </c>
    </row>
    <row r="5540" spans="1:2" x14ac:dyDescent="0.25">
      <c r="A5540">
        <v>5540</v>
      </c>
      <c r="B5540" t="str">
        <f t="shared" si="86"/>
        <v>ᖤ</v>
      </c>
    </row>
    <row r="5541" spans="1:2" x14ac:dyDescent="0.25">
      <c r="A5541">
        <v>5541</v>
      </c>
      <c r="B5541" t="str">
        <f t="shared" si="86"/>
        <v>ᖥ</v>
      </c>
    </row>
    <row r="5542" spans="1:2" x14ac:dyDescent="0.25">
      <c r="A5542">
        <v>5542</v>
      </c>
      <c r="B5542" t="str">
        <f t="shared" si="86"/>
        <v>ᖦ</v>
      </c>
    </row>
    <row r="5543" spans="1:2" x14ac:dyDescent="0.25">
      <c r="A5543">
        <v>5543</v>
      </c>
      <c r="B5543" t="str">
        <f t="shared" si="86"/>
        <v>ᖧ</v>
      </c>
    </row>
    <row r="5544" spans="1:2" x14ac:dyDescent="0.25">
      <c r="A5544">
        <v>5544</v>
      </c>
      <c r="B5544" t="str">
        <f t="shared" si="86"/>
        <v>ᖨ</v>
      </c>
    </row>
    <row r="5545" spans="1:2" x14ac:dyDescent="0.25">
      <c r="A5545">
        <v>5545</v>
      </c>
      <c r="B5545" t="str">
        <f t="shared" si="86"/>
        <v>ᖩ</v>
      </c>
    </row>
    <row r="5546" spans="1:2" x14ac:dyDescent="0.25">
      <c r="A5546">
        <v>5546</v>
      </c>
      <c r="B5546" t="str">
        <f t="shared" si="86"/>
        <v>ᖪ</v>
      </c>
    </row>
    <row r="5547" spans="1:2" x14ac:dyDescent="0.25">
      <c r="A5547">
        <v>5547</v>
      </c>
      <c r="B5547" t="str">
        <f t="shared" si="86"/>
        <v>ᖫ</v>
      </c>
    </row>
    <row r="5548" spans="1:2" x14ac:dyDescent="0.25">
      <c r="A5548">
        <v>5548</v>
      </c>
      <c r="B5548" t="str">
        <f t="shared" si="86"/>
        <v>ᖬ</v>
      </c>
    </row>
    <row r="5549" spans="1:2" x14ac:dyDescent="0.25">
      <c r="A5549">
        <v>5549</v>
      </c>
      <c r="B5549" t="str">
        <f t="shared" si="86"/>
        <v>ᖭ</v>
      </c>
    </row>
    <row r="5550" spans="1:2" x14ac:dyDescent="0.25">
      <c r="A5550">
        <v>5550</v>
      </c>
      <c r="B5550" t="str">
        <f t="shared" si="86"/>
        <v>ᖮ</v>
      </c>
    </row>
    <row r="5551" spans="1:2" x14ac:dyDescent="0.25">
      <c r="A5551">
        <v>5551</v>
      </c>
      <c r="B5551" t="str">
        <f t="shared" si="86"/>
        <v>ᖯ</v>
      </c>
    </row>
    <row r="5552" spans="1:2" x14ac:dyDescent="0.25">
      <c r="A5552">
        <v>5552</v>
      </c>
      <c r="B5552" t="str">
        <f t="shared" si="86"/>
        <v>ᖰ</v>
      </c>
    </row>
    <row r="5553" spans="1:2" x14ac:dyDescent="0.25">
      <c r="A5553">
        <v>5553</v>
      </c>
      <c r="B5553" t="str">
        <f t="shared" si="86"/>
        <v>ᖱ</v>
      </c>
    </row>
    <row r="5554" spans="1:2" x14ac:dyDescent="0.25">
      <c r="A5554">
        <v>5554</v>
      </c>
      <c r="B5554" t="str">
        <f t="shared" si="86"/>
        <v>ᖲ</v>
      </c>
    </row>
    <row r="5555" spans="1:2" x14ac:dyDescent="0.25">
      <c r="A5555">
        <v>5555</v>
      </c>
      <c r="B5555" t="str">
        <f t="shared" si="86"/>
        <v>ᖳ</v>
      </c>
    </row>
    <row r="5556" spans="1:2" x14ac:dyDescent="0.25">
      <c r="A5556">
        <v>5556</v>
      </c>
      <c r="B5556" t="str">
        <f t="shared" si="86"/>
        <v>ᖴ</v>
      </c>
    </row>
    <row r="5557" spans="1:2" x14ac:dyDescent="0.25">
      <c r="A5557">
        <v>5557</v>
      </c>
      <c r="B5557" t="str">
        <f t="shared" si="86"/>
        <v>ᖵ</v>
      </c>
    </row>
    <row r="5558" spans="1:2" x14ac:dyDescent="0.25">
      <c r="A5558">
        <v>5558</v>
      </c>
      <c r="B5558" t="str">
        <f t="shared" si="86"/>
        <v>ᖶ</v>
      </c>
    </row>
    <row r="5559" spans="1:2" x14ac:dyDescent="0.25">
      <c r="A5559">
        <v>5559</v>
      </c>
      <c r="B5559" t="str">
        <f t="shared" si="86"/>
        <v>ᖷ</v>
      </c>
    </row>
    <row r="5560" spans="1:2" x14ac:dyDescent="0.25">
      <c r="A5560">
        <v>5560</v>
      </c>
      <c r="B5560" t="str">
        <f t="shared" si="86"/>
        <v>ᖸ</v>
      </c>
    </row>
    <row r="5561" spans="1:2" x14ac:dyDescent="0.25">
      <c r="A5561">
        <v>5561</v>
      </c>
      <c r="B5561" t="str">
        <f t="shared" si="86"/>
        <v>ᖹ</v>
      </c>
    </row>
    <row r="5562" spans="1:2" x14ac:dyDescent="0.25">
      <c r="A5562">
        <v>5562</v>
      </c>
      <c r="B5562" t="str">
        <f t="shared" si="86"/>
        <v>ᖺ</v>
      </c>
    </row>
    <row r="5563" spans="1:2" x14ac:dyDescent="0.25">
      <c r="A5563">
        <v>5563</v>
      </c>
      <c r="B5563" t="str">
        <f t="shared" si="86"/>
        <v>ᖻ</v>
      </c>
    </row>
    <row r="5564" spans="1:2" x14ac:dyDescent="0.25">
      <c r="A5564">
        <v>5564</v>
      </c>
      <c r="B5564" t="str">
        <f t="shared" si="86"/>
        <v>ᖼ</v>
      </c>
    </row>
    <row r="5565" spans="1:2" x14ac:dyDescent="0.25">
      <c r="A5565">
        <v>5565</v>
      </c>
      <c r="B5565" t="str">
        <f t="shared" si="86"/>
        <v>ᖽ</v>
      </c>
    </row>
    <row r="5566" spans="1:2" x14ac:dyDescent="0.25">
      <c r="A5566">
        <v>5566</v>
      </c>
      <c r="B5566" t="str">
        <f t="shared" si="86"/>
        <v>ᖾ</v>
      </c>
    </row>
    <row r="5567" spans="1:2" x14ac:dyDescent="0.25">
      <c r="A5567">
        <v>5567</v>
      </c>
      <c r="B5567" t="str">
        <f t="shared" si="86"/>
        <v>ᖿ</v>
      </c>
    </row>
    <row r="5568" spans="1:2" x14ac:dyDescent="0.25">
      <c r="A5568">
        <v>5568</v>
      </c>
      <c r="B5568" t="str">
        <f t="shared" si="86"/>
        <v>ᗀ</v>
      </c>
    </row>
    <row r="5569" spans="1:2" x14ac:dyDescent="0.25">
      <c r="A5569">
        <v>5569</v>
      </c>
      <c r="B5569" t="str">
        <f t="shared" si="86"/>
        <v>ᗁ</v>
      </c>
    </row>
    <row r="5570" spans="1:2" x14ac:dyDescent="0.25">
      <c r="A5570">
        <v>5570</v>
      </c>
      <c r="B5570" t="str">
        <f t="shared" ref="B5570:B5633" si="87">_xlfn.UNICHAR(A5570)</f>
        <v>ᗂ</v>
      </c>
    </row>
    <row r="5571" spans="1:2" x14ac:dyDescent="0.25">
      <c r="A5571">
        <v>5571</v>
      </c>
      <c r="B5571" t="str">
        <f t="shared" si="87"/>
        <v>ᗃ</v>
      </c>
    </row>
    <row r="5572" spans="1:2" x14ac:dyDescent="0.25">
      <c r="A5572">
        <v>5572</v>
      </c>
      <c r="B5572" t="str">
        <f t="shared" si="87"/>
        <v>ᗄ</v>
      </c>
    </row>
    <row r="5573" spans="1:2" x14ac:dyDescent="0.25">
      <c r="A5573">
        <v>5573</v>
      </c>
      <c r="B5573" t="str">
        <f t="shared" si="87"/>
        <v>ᗅ</v>
      </c>
    </row>
    <row r="5574" spans="1:2" x14ac:dyDescent="0.25">
      <c r="A5574">
        <v>5574</v>
      </c>
      <c r="B5574" t="str">
        <f t="shared" si="87"/>
        <v>ᗆ</v>
      </c>
    </row>
    <row r="5575" spans="1:2" x14ac:dyDescent="0.25">
      <c r="A5575">
        <v>5575</v>
      </c>
      <c r="B5575" t="str">
        <f t="shared" si="87"/>
        <v>ᗇ</v>
      </c>
    </row>
    <row r="5576" spans="1:2" x14ac:dyDescent="0.25">
      <c r="A5576">
        <v>5576</v>
      </c>
      <c r="B5576" t="str">
        <f t="shared" si="87"/>
        <v>ᗈ</v>
      </c>
    </row>
    <row r="5577" spans="1:2" x14ac:dyDescent="0.25">
      <c r="A5577">
        <v>5577</v>
      </c>
      <c r="B5577" t="str">
        <f t="shared" si="87"/>
        <v>ᗉ</v>
      </c>
    </row>
    <row r="5578" spans="1:2" x14ac:dyDescent="0.25">
      <c r="A5578">
        <v>5578</v>
      </c>
      <c r="B5578" t="str">
        <f t="shared" si="87"/>
        <v>ᗊ</v>
      </c>
    </row>
    <row r="5579" spans="1:2" x14ac:dyDescent="0.25">
      <c r="A5579">
        <v>5579</v>
      </c>
      <c r="B5579" t="str">
        <f t="shared" si="87"/>
        <v>ᗋ</v>
      </c>
    </row>
    <row r="5580" spans="1:2" x14ac:dyDescent="0.25">
      <c r="A5580">
        <v>5580</v>
      </c>
      <c r="B5580" t="str">
        <f t="shared" si="87"/>
        <v>ᗌ</v>
      </c>
    </row>
    <row r="5581" spans="1:2" x14ac:dyDescent="0.25">
      <c r="A5581">
        <v>5581</v>
      </c>
      <c r="B5581" t="str">
        <f t="shared" si="87"/>
        <v>ᗍ</v>
      </c>
    </row>
    <row r="5582" spans="1:2" x14ac:dyDescent="0.25">
      <c r="A5582">
        <v>5582</v>
      </c>
      <c r="B5582" t="str">
        <f t="shared" si="87"/>
        <v>ᗎ</v>
      </c>
    </row>
    <row r="5583" spans="1:2" x14ac:dyDescent="0.25">
      <c r="A5583">
        <v>5583</v>
      </c>
      <c r="B5583" t="str">
        <f t="shared" si="87"/>
        <v>ᗏ</v>
      </c>
    </row>
    <row r="5584" spans="1:2" x14ac:dyDescent="0.25">
      <c r="A5584">
        <v>5584</v>
      </c>
      <c r="B5584" t="str">
        <f t="shared" si="87"/>
        <v>ᗐ</v>
      </c>
    </row>
    <row r="5585" spans="1:2" x14ac:dyDescent="0.25">
      <c r="A5585">
        <v>5585</v>
      </c>
      <c r="B5585" t="str">
        <f t="shared" si="87"/>
        <v>ᗑ</v>
      </c>
    </row>
    <row r="5586" spans="1:2" x14ac:dyDescent="0.25">
      <c r="A5586">
        <v>5586</v>
      </c>
      <c r="B5586" t="str">
        <f t="shared" si="87"/>
        <v>ᗒ</v>
      </c>
    </row>
    <row r="5587" spans="1:2" x14ac:dyDescent="0.25">
      <c r="A5587">
        <v>5587</v>
      </c>
      <c r="B5587" t="str">
        <f t="shared" si="87"/>
        <v>ᗓ</v>
      </c>
    </row>
    <row r="5588" spans="1:2" x14ac:dyDescent="0.25">
      <c r="A5588">
        <v>5588</v>
      </c>
      <c r="B5588" t="str">
        <f t="shared" si="87"/>
        <v>ᗔ</v>
      </c>
    </row>
    <row r="5589" spans="1:2" x14ac:dyDescent="0.25">
      <c r="A5589">
        <v>5589</v>
      </c>
      <c r="B5589" t="str">
        <f t="shared" si="87"/>
        <v>ᗕ</v>
      </c>
    </row>
    <row r="5590" spans="1:2" x14ac:dyDescent="0.25">
      <c r="A5590">
        <v>5590</v>
      </c>
      <c r="B5590" t="str">
        <f t="shared" si="87"/>
        <v>ᗖ</v>
      </c>
    </row>
    <row r="5591" spans="1:2" x14ac:dyDescent="0.25">
      <c r="A5591">
        <v>5591</v>
      </c>
      <c r="B5591" t="str">
        <f t="shared" si="87"/>
        <v>ᗗ</v>
      </c>
    </row>
    <row r="5592" spans="1:2" x14ac:dyDescent="0.25">
      <c r="A5592">
        <v>5592</v>
      </c>
      <c r="B5592" t="str">
        <f t="shared" si="87"/>
        <v>ᗘ</v>
      </c>
    </row>
    <row r="5593" spans="1:2" x14ac:dyDescent="0.25">
      <c r="A5593">
        <v>5593</v>
      </c>
      <c r="B5593" t="str">
        <f t="shared" si="87"/>
        <v>ᗙ</v>
      </c>
    </row>
    <row r="5594" spans="1:2" x14ac:dyDescent="0.25">
      <c r="A5594">
        <v>5594</v>
      </c>
      <c r="B5594" t="str">
        <f t="shared" si="87"/>
        <v>ᗚ</v>
      </c>
    </row>
    <row r="5595" spans="1:2" x14ac:dyDescent="0.25">
      <c r="A5595">
        <v>5595</v>
      </c>
      <c r="B5595" t="str">
        <f t="shared" si="87"/>
        <v>ᗛ</v>
      </c>
    </row>
    <row r="5596" spans="1:2" x14ac:dyDescent="0.25">
      <c r="A5596">
        <v>5596</v>
      </c>
      <c r="B5596" t="str">
        <f t="shared" si="87"/>
        <v>ᗜ</v>
      </c>
    </row>
    <row r="5597" spans="1:2" x14ac:dyDescent="0.25">
      <c r="A5597">
        <v>5597</v>
      </c>
      <c r="B5597" t="str">
        <f t="shared" si="87"/>
        <v>ᗝ</v>
      </c>
    </row>
    <row r="5598" spans="1:2" x14ac:dyDescent="0.25">
      <c r="A5598">
        <v>5598</v>
      </c>
      <c r="B5598" t="str">
        <f t="shared" si="87"/>
        <v>ᗞ</v>
      </c>
    </row>
    <row r="5599" spans="1:2" x14ac:dyDescent="0.25">
      <c r="A5599">
        <v>5599</v>
      </c>
      <c r="B5599" t="str">
        <f t="shared" si="87"/>
        <v>ᗟ</v>
      </c>
    </row>
    <row r="5600" spans="1:2" x14ac:dyDescent="0.25">
      <c r="A5600">
        <v>5600</v>
      </c>
      <c r="B5600" t="str">
        <f t="shared" si="87"/>
        <v>ᗠ</v>
      </c>
    </row>
    <row r="5601" spans="1:2" x14ac:dyDescent="0.25">
      <c r="A5601">
        <v>5601</v>
      </c>
      <c r="B5601" t="str">
        <f t="shared" si="87"/>
        <v>ᗡ</v>
      </c>
    </row>
    <row r="5602" spans="1:2" x14ac:dyDescent="0.25">
      <c r="A5602">
        <v>5602</v>
      </c>
      <c r="B5602" t="str">
        <f t="shared" si="87"/>
        <v>ᗢ</v>
      </c>
    </row>
    <row r="5603" spans="1:2" x14ac:dyDescent="0.25">
      <c r="A5603">
        <v>5603</v>
      </c>
      <c r="B5603" t="str">
        <f t="shared" si="87"/>
        <v>ᗣ</v>
      </c>
    </row>
    <row r="5604" spans="1:2" x14ac:dyDescent="0.25">
      <c r="A5604">
        <v>5604</v>
      </c>
      <c r="B5604" t="str">
        <f t="shared" si="87"/>
        <v>ᗤ</v>
      </c>
    </row>
    <row r="5605" spans="1:2" x14ac:dyDescent="0.25">
      <c r="A5605">
        <v>5605</v>
      </c>
      <c r="B5605" t="str">
        <f t="shared" si="87"/>
        <v>ᗥ</v>
      </c>
    </row>
    <row r="5606" spans="1:2" x14ac:dyDescent="0.25">
      <c r="A5606">
        <v>5606</v>
      </c>
      <c r="B5606" t="str">
        <f t="shared" si="87"/>
        <v>ᗦ</v>
      </c>
    </row>
    <row r="5607" spans="1:2" x14ac:dyDescent="0.25">
      <c r="A5607">
        <v>5607</v>
      </c>
      <c r="B5607" t="str">
        <f t="shared" si="87"/>
        <v>ᗧ</v>
      </c>
    </row>
    <row r="5608" spans="1:2" x14ac:dyDescent="0.25">
      <c r="A5608">
        <v>5608</v>
      </c>
      <c r="B5608" t="str">
        <f t="shared" si="87"/>
        <v>ᗨ</v>
      </c>
    </row>
    <row r="5609" spans="1:2" x14ac:dyDescent="0.25">
      <c r="A5609">
        <v>5609</v>
      </c>
      <c r="B5609" t="str">
        <f t="shared" si="87"/>
        <v>ᗩ</v>
      </c>
    </row>
    <row r="5610" spans="1:2" x14ac:dyDescent="0.25">
      <c r="A5610">
        <v>5610</v>
      </c>
      <c r="B5610" t="str">
        <f t="shared" si="87"/>
        <v>ᗪ</v>
      </c>
    </row>
    <row r="5611" spans="1:2" x14ac:dyDescent="0.25">
      <c r="A5611">
        <v>5611</v>
      </c>
      <c r="B5611" t="str">
        <f t="shared" si="87"/>
        <v>ᗫ</v>
      </c>
    </row>
    <row r="5612" spans="1:2" x14ac:dyDescent="0.25">
      <c r="A5612">
        <v>5612</v>
      </c>
      <c r="B5612" t="str">
        <f t="shared" si="87"/>
        <v>ᗬ</v>
      </c>
    </row>
    <row r="5613" spans="1:2" x14ac:dyDescent="0.25">
      <c r="A5613">
        <v>5613</v>
      </c>
      <c r="B5613" t="str">
        <f t="shared" si="87"/>
        <v>ᗭ</v>
      </c>
    </row>
    <row r="5614" spans="1:2" x14ac:dyDescent="0.25">
      <c r="A5614">
        <v>5614</v>
      </c>
      <c r="B5614" t="str">
        <f t="shared" si="87"/>
        <v>ᗮ</v>
      </c>
    </row>
    <row r="5615" spans="1:2" x14ac:dyDescent="0.25">
      <c r="A5615">
        <v>5615</v>
      </c>
      <c r="B5615" t="str">
        <f t="shared" si="87"/>
        <v>ᗯ</v>
      </c>
    </row>
    <row r="5616" spans="1:2" x14ac:dyDescent="0.25">
      <c r="A5616">
        <v>5616</v>
      </c>
      <c r="B5616" t="str">
        <f t="shared" si="87"/>
        <v>ᗰ</v>
      </c>
    </row>
    <row r="5617" spans="1:2" x14ac:dyDescent="0.25">
      <c r="A5617">
        <v>5617</v>
      </c>
      <c r="B5617" t="str">
        <f t="shared" si="87"/>
        <v>ᗱ</v>
      </c>
    </row>
    <row r="5618" spans="1:2" x14ac:dyDescent="0.25">
      <c r="A5618">
        <v>5618</v>
      </c>
      <c r="B5618" t="str">
        <f t="shared" si="87"/>
        <v>ᗲ</v>
      </c>
    </row>
    <row r="5619" spans="1:2" x14ac:dyDescent="0.25">
      <c r="A5619">
        <v>5619</v>
      </c>
      <c r="B5619" t="str">
        <f t="shared" si="87"/>
        <v>ᗳ</v>
      </c>
    </row>
    <row r="5620" spans="1:2" x14ac:dyDescent="0.25">
      <c r="A5620">
        <v>5620</v>
      </c>
      <c r="B5620" t="str">
        <f t="shared" si="87"/>
        <v>ᗴ</v>
      </c>
    </row>
    <row r="5621" spans="1:2" x14ac:dyDescent="0.25">
      <c r="A5621">
        <v>5621</v>
      </c>
      <c r="B5621" t="str">
        <f t="shared" si="87"/>
        <v>ᗵ</v>
      </c>
    </row>
    <row r="5622" spans="1:2" x14ac:dyDescent="0.25">
      <c r="A5622">
        <v>5622</v>
      </c>
      <c r="B5622" t="str">
        <f t="shared" si="87"/>
        <v>ᗶ</v>
      </c>
    </row>
    <row r="5623" spans="1:2" x14ac:dyDescent="0.25">
      <c r="A5623">
        <v>5623</v>
      </c>
      <c r="B5623" t="str">
        <f t="shared" si="87"/>
        <v>ᗷ</v>
      </c>
    </row>
    <row r="5624" spans="1:2" x14ac:dyDescent="0.25">
      <c r="A5624">
        <v>5624</v>
      </c>
      <c r="B5624" t="str">
        <f t="shared" si="87"/>
        <v>ᗸ</v>
      </c>
    </row>
    <row r="5625" spans="1:2" x14ac:dyDescent="0.25">
      <c r="A5625">
        <v>5625</v>
      </c>
      <c r="B5625" t="str">
        <f t="shared" si="87"/>
        <v>ᗹ</v>
      </c>
    </row>
    <row r="5626" spans="1:2" x14ac:dyDescent="0.25">
      <c r="A5626">
        <v>5626</v>
      </c>
      <c r="B5626" t="str">
        <f t="shared" si="87"/>
        <v>ᗺ</v>
      </c>
    </row>
    <row r="5627" spans="1:2" x14ac:dyDescent="0.25">
      <c r="A5627">
        <v>5627</v>
      </c>
      <c r="B5627" t="str">
        <f t="shared" si="87"/>
        <v>ᗻ</v>
      </c>
    </row>
    <row r="5628" spans="1:2" x14ac:dyDescent="0.25">
      <c r="A5628">
        <v>5628</v>
      </c>
      <c r="B5628" t="str">
        <f t="shared" si="87"/>
        <v>ᗼ</v>
      </c>
    </row>
    <row r="5629" spans="1:2" x14ac:dyDescent="0.25">
      <c r="A5629">
        <v>5629</v>
      </c>
      <c r="B5629" t="str">
        <f t="shared" si="87"/>
        <v>ᗽ</v>
      </c>
    </row>
    <row r="5630" spans="1:2" x14ac:dyDescent="0.25">
      <c r="A5630">
        <v>5630</v>
      </c>
      <c r="B5630" t="str">
        <f t="shared" si="87"/>
        <v>ᗾ</v>
      </c>
    </row>
    <row r="5631" spans="1:2" x14ac:dyDescent="0.25">
      <c r="A5631">
        <v>5631</v>
      </c>
      <c r="B5631" t="str">
        <f t="shared" si="87"/>
        <v>ᗿ</v>
      </c>
    </row>
    <row r="5632" spans="1:2" x14ac:dyDescent="0.25">
      <c r="A5632">
        <v>5632</v>
      </c>
      <c r="B5632" t="str">
        <f t="shared" si="87"/>
        <v>ᘀ</v>
      </c>
    </row>
    <row r="5633" spans="1:2" x14ac:dyDescent="0.25">
      <c r="A5633">
        <v>5633</v>
      </c>
      <c r="B5633" t="str">
        <f t="shared" si="87"/>
        <v>ᘁ</v>
      </c>
    </row>
    <row r="5634" spans="1:2" x14ac:dyDescent="0.25">
      <c r="A5634">
        <v>5634</v>
      </c>
      <c r="B5634" t="str">
        <f t="shared" ref="B5634:B5697" si="88">_xlfn.UNICHAR(A5634)</f>
        <v>ᘂ</v>
      </c>
    </row>
    <row r="5635" spans="1:2" x14ac:dyDescent="0.25">
      <c r="A5635">
        <v>5635</v>
      </c>
      <c r="B5635" t="str">
        <f t="shared" si="88"/>
        <v>ᘃ</v>
      </c>
    </row>
    <row r="5636" spans="1:2" x14ac:dyDescent="0.25">
      <c r="A5636">
        <v>5636</v>
      </c>
      <c r="B5636" t="str">
        <f t="shared" si="88"/>
        <v>ᘄ</v>
      </c>
    </row>
    <row r="5637" spans="1:2" x14ac:dyDescent="0.25">
      <c r="A5637">
        <v>5637</v>
      </c>
      <c r="B5637" t="str">
        <f t="shared" si="88"/>
        <v>ᘅ</v>
      </c>
    </row>
    <row r="5638" spans="1:2" x14ac:dyDescent="0.25">
      <c r="A5638">
        <v>5638</v>
      </c>
      <c r="B5638" t="str">
        <f t="shared" si="88"/>
        <v>ᘆ</v>
      </c>
    </row>
    <row r="5639" spans="1:2" x14ac:dyDescent="0.25">
      <c r="A5639">
        <v>5639</v>
      </c>
      <c r="B5639" t="str">
        <f t="shared" si="88"/>
        <v>ᘇ</v>
      </c>
    </row>
    <row r="5640" spans="1:2" x14ac:dyDescent="0.25">
      <c r="A5640">
        <v>5640</v>
      </c>
      <c r="B5640" t="str">
        <f t="shared" si="88"/>
        <v>ᘈ</v>
      </c>
    </row>
    <row r="5641" spans="1:2" x14ac:dyDescent="0.25">
      <c r="A5641">
        <v>5641</v>
      </c>
      <c r="B5641" t="str">
        <f t="shared" si="88"/>
        <v>ᘉ</v>
      </c>
    </row>
    <row r="5642" spans="1:2" x14ac:dyDescent="0.25">
      <c r="A5642">
        <v>5642</v>
      </c>
      <c r="B5642" t="str">
        <f t="shared" si="88"/>
        <v>ᘊ</v>
      </c>
    </row>
    <row r="5643" spans="1:2" x14ac:dyDescent="0.25">
      <c r="A5643">
        <v>5643</v>
      </c>
      <c r="B5643" t="str">
        <f t="shared" si="88"/>
        <v>ᘋ</v>
      </c>
    </row>
    <row r="5644" spans="1:2" x14ac:dyDescent="0.25">
      <c r="A5644">
        <v>5644</v>
      </c>
      <c r="B5644" t="str">
        <f t="shared" si="88"/>
        <v>ᘌ</v>
      </c>
    </row>
    <row r="5645" spans="1:2" x14ac:dyDescent="0.25">
      <c r="A5645">
        <v>5645</v>
      </c>
      <c r="B5645" t="str">
        <f t="shared" si="88"/>
        <v>ᘍ</v>
      </c>
    </row>
    <row r="5646" spans="1:2" x14ac:dyDescent="0.25">
      <c r="A5646">
        <v>5646</v>
      </c>
      <c r="B5646" t="str">
        <f t="shared" si="88"/>
        <v>ᘎ</v>
      </c>
    </row>
    <row r="5647" spans="1:2" x14ac:dyDescent="0.25">
      <c r="A5647">
        <v>5647</v>
      </c>
      <c r="B5647" t="str">
        <f t="shared" si="88"/>
        <v>ᘏ</v>
      </c>
    </row>
    <row r="5648" spans="1:2" x14ac:dyDescent="0.25">
      <c r="A5648">
        <v>5648</v>
      </c>
      <c r="B5648" t="str">
        <f t="shared" si="88"/>
        <v>ᘐ</v>
      </c>
    </row>
    <row r="5649" spans="1:2" x14ac:dyDescent="0.25">
      <c r="A5649">
        <v>5649</v>
      </c>
      <c r="B5649" t="str">
        <f t="shared" si="88"/>
        <v>ᘑ</v>
      </c>
    </row>
    <row r="5650" spans="1:2" x14ac:dyDescent="0.25">
      <c r="A5650">
        <v>5650</v>
      </c>
      <c r="B5650" t="str">
        <f t="shared" si="88"/>
        <v>ᘒ</v>
      </c>
    </row>
    <row r="5651" spans="1:2" x14ac:dyDescent="0.25">
      <c r="A5651">
        <v>5651</v>
      </c>
      <c r="B5651" t="str">
        <f t="shared" si="88"/>
        <v>ᘓ</v>
      </c>
    </row>
    <row r="5652" spans="1:2" x14ac:dyDescent="0.25">
      <c r="A5652">
        <v>5652</v>
      </c>
      <c r="B5652" t="str">
        <f t="shared" si="88"/>
        <v>ᘔ</v>
      </c>
    </row>
    <row r="5653" spans="1:2" x14ac:dyDescent="0.25">
      <c r="A5653">
        <v>5653</v>
      </c>
      <c r="B5653" t="str">
        <f t="shared" si="88"/>
        <v>ᘕ</v>
      </c>
    </row>
    <row r="5654" spans="1:2" x14ac:dyDescent="0.25">
      <c r="A5654">
        <v>5654</v>
      </c>
      <c r="B5654" t="str">
        <f t="shared" si="88"/>
        <v>ᘖ</v>
      </c>
    </row>
    <row r="5655" spans="1:2" x14ac:dyDescent="0.25">
      <c r="A5655">
        <v>5655</v>
      </c>
      <c r="B5655" t="str">
        <f t="shared" si="88"/>
        <v>ᘗ</v>
      </c>
    </row>
    <row r="5656" spans="1:2" x14ac:dyDescent="0.25">
      <c r="A5656">
        <v>5656</v>
      </c>
      <c r="B5656" t="str">
        <f t="shared" si="88"/>
        <v>ᘘ</v>
      </c>
    </row>
    <row r="5657" spans="1:2" x14ac:dyDescent="0.25">
      <c r="A5657">
        <v>5657</v>
      </c>
      <c r="B5657" t="str">
        <f t="shared" si="88"/>
        <v>ᘙ</v>
      </c>
    </row>
    <row r="5658" spans="1:2" x14ac:dyDescent="0.25">
      <c r="A5658">
        <v>5658</v>
      </c>
      <c r="B5658" t="str">
        <f t="shared" si="88"/>
        <v>ᘚ</v>
      </c>
    </row>
    <row r="5659" spans="1:2" x14ac:dyDescent="0.25">
      <c r="A5659">
        <v>5659</v>
      </c>
      <c r="B5659" t="str">
        <f t="shared" si="88"/>
        <v>ᘛ</v>
      </c>
    </row>
    <row r="5660" spans="1:2" x14ac:dyDescent="0.25">
      <c r="A5660">
        <v>5660</v>
      </c>
      <c r="B5660" t="str">
        <f t="shared" si="88"/>
        <v>ᘜ</v>
      </c>
    </row>
    <row r="5661" spans="1:2" x14ac:dyDescent="0.25">
      <c r="A5661">
        <v>5661</v>
      </c>
      <c r="B5661" t="str">
        <f t="shared" si="88"/>
        <v>ᘝ</v>
      </c>
    </row>
    <row r="5662" spans="1:2" x14ac:dyDescent="0.25">
      <c r="A5662">
        <v>5662</v>
      </c>
      <c r="B5662" t="str">
        <f t="shared" si="88"/>
        <v>ᘞ</v>
      </c>
    </row>
    <row r="5663" spans="1:2" x14ac:dyDescent="0.25">
      <c r="A5663">
        <v>5663</v>
      </c>
      <c r="B5663" t="str">
        <f t="shared" si="88"/>
        <v>ᘟ</v>
      </c>
    </row>
    <row r="5664" spans="1:2" x14ac:dyDescent="0.25">
      <c r="A5664">
        <v>5664</v>
      </c>
      <c r="B5664" t="str">
        <f t="shared" si="88"/>
        <v>ᘠ</v>
      </c>
    </row>
    <row r="5665" spans="1:2" x14ac:dyDescent="0.25">
      <c r="A5665">
        <v>5665</v>
      </c>
      <c r="B5665" t="str">
        <f t="shared" si="88"/>
        <v>ᘡ</v>
      </c>
    </row>
    <row r="5666" spans="1:2" x14ac:dyDescent="0.25">
      <c r="A5666">
        <v>5666</v>
      </c>
      <c r="B5666" t="str">
        <f t="shared" si="88"/>
        <v>ᘢ</v>
      </c>
    </row>
    <row r="5667" spans="1:2" x14ac:dyDescent="0.25">
      <c r="A5667">
        <v>5667</v>
      </c>
      <c r="B5667" t="str">
        <f t="shared" si="88"/>
        <v>ᘣ</v>
      </c>
    </row>
    <row r="5668" spans="1:2" x14ac:dyDescent="0.25">
      <c r="A5668">
        <v>5668</v>
      </c>
      <c r="B5668" t="str">
        <f t="shared" si="88"/>
        <v>ᘤ</v>
      </c>
    </row>
    <row r="5669" spans="1:2" x14ac:dyDescent="0.25">
      <c r="A5669">
        <v>5669</v>
      </c>
      <c r="B5669" t="str">
        <f t="shared" si="88"/>
        <v>ᘥ</v>
      </c>
    </row>
    <row r="5670" spans="1:2" x14ac:dyDescent="0.25">
      <c r="A5670">
        <v>5670</v>
      </c>
      <c r="B5670" t="str">
        <f t="shared" si="88"/>
        <v>ᘦ</v>
      </c>
    </row>
    <row r="5671" spans="1:2" x14ac:dyDescent="0.25">
      <c r="A5671">
        <v>5671</v>
      </c>
      <c r="B5671" t="str">
        <f t="shared" si="88"/>
        <v>ᘧ</v>
      </c>
    </row>
    <row r="5672" spans="1:2" x14ac:dyDescent="0.25">
      <c r="A5672">
        <v>5672</v>
      </c>
      <c r="B5672" t="str">
        <f t="shared" si="88"/>
        <v>ᘨ</v>
      </c>
    </row>
    <row r="5673" spans="1:2" x14ac:dyDescent="0.25">
      <c r="A5673">
        <v>5673</v>
      </c>
      <c r="B5673" t="str">
        <f t="shared" si="88"/>
        <v>ᘩ</v>
      </c>
    </row>
    <row r="5674" spans="1:2" x14ac:dyDescent="0.25">
      <c r="A5674">
        <v>5674</v>
      </c>
      <c r="B5674" t="str">
        <f t="shared" si="88"/>
        <v>ᘪ</v>
      </c>
    </row>
    <row r="5675" spans="1:2" x14ac:dyDescent="0.25">
      <c r="A5675">
        <v>5675</v>
      </c>
      <c r="B5675" t="str">
        <f t="shared" si="88"/>
        <v>ᘫ</v>
      </c>
    </row>
    <row r="5676" spans="1:2" x14ac:dyDescent="0.25">
      <c r="A5676">
        <v>5676</v>
      </c>
      <c r="B5676" t="str">
        <f t="shared" si="88"/>
        <v>ᘬ</v>
      </c>
    </row>
    <row r="5677" spans="1:2" x14ac:dyDescent="0.25">
      <c r="A5677">
        <v>5677</v>
      </c>
      <c r="B5677" t="str">
        <f t="shared" si="88"/>
        <v>ᘭ</v>
      </c>
    </row>
    <row r="5678" spans="1:2" x14ac:dyDescent="0.25">
      <c r="A5678">
        <v>5678</v>
      </c>
      <c r="B5678" t="str">
        <f t="shared" si="88"/>
        <v>ᘮ</v>
      </c>
    </row>
    <row r="5679" spans="1:2" x14ac:dyDescent="0.25">
      <c r="A5679">
        <v>5679</v>
      </c>
      <c r="B5679" t="str">
        <f t="shared" si="88"/>
        <v>ᘯ</v>
      </c>
    </row>
    <row r="5680" spans="1:2" x14ac:dyDescent="0.25">
      <c r="A5680">
        <v>5680</v>
      </c>
      <c r="B5680" t="str">
        <f t="shared" si="88"/>
        <v>ᘰ</v>
      </c>
    </row>
    <row r="5681" spans="1:2" x14ac:dyDescent="0.25">
      <c r="A5681">
        <v>5681</v>
      </c>
      <c r="B5681" t="str">
        <f t="shared" si="88"/>
        <v>ᘱ</v>
      </c>
    </row>
    <row r="5682" spans="1:2" x14ac:dyDescent="0.25">
      <c r="A5682">
        <v>5682</v>
      </c>
      <c r="B5682" t="str">
        <f t="shared" si="88"/>
        <v>ᘲ</v>
      </c>
    </row>
    <row r="5683" spans="1:2" x14ac:dyDescent="0.25">
      <c r="A5683">
        <v>5683</v>
      </c>
      <c r="B5683" t="str">
        <f t="shared" si="88"/>
        <v>ᘳ</v>
      </c>
    </row>
    <row r="5684" spans="1:2" x14ac:dyDescent="0.25">
      <c r="A5684">
        <v>5684</v>
      </c>
      <c r="B5684" t="str">
        <f t="shared" si="88"/>
        <v>ᘴ</v>
      </c>
    </row>
    <row r="5685" spans="1:2" x14ac:dyDescent="0.25">
      <c r="A5685">
        <v>5685</v>
      </c>
      <c r="B5685" t="str">
        <f t="shared" si="88"/>
        <v>ᘵ</v>
      </c>
    </row>
    <row r="5686" spans="1:2" x14ac:dyDescent="0.25">
      <c r="A5686">
        <v>5686</v>
      </c>
      <c r="B5686" t="str">
        <f t="shared" si="88"/>
        <v>ᘶ</v>
      </c>
    </row>
    <row r="5687" spans="1:2" x14ac:dyDescent="0.25">
      <c r="A5687">
        <v>5687</v>
      </c>
      <c r="B5687" t="str">
        <f t="shared" si="88"/>
        <v>ᘷ</v>
      </c>
    </row>
    <row r="5688" spans="1:2" x14ac:dyDescent="0.25">
      <c r="A5688">
        <v>5688</v>
      </c>
      <c r="B5688" t="str">
        <f t="shared" si="88"/>
        <v>ᘸ</v>
      </c>
    </row>
    <row r="5689" spans="1:2" x14ac:dyDescent="0.25">
      <c r="A5689">
        <v>5689</v>
      </c>
      <c r="B5689" t="str">
        <f t="shared" si="88"/>
        <v>ᘹ</v>
      </c>
    </row>
    <row r="5690" spans="1:2" x14ac:dyDescent="0.25">
      <c r="A5690">
        <v>5690</v>
      </c>
      <c r="B5690" t="str">
        <f t="shared" si="88"/>
        <v>ᘺ</v>
      </c>
    </row>
    <row r="5691" spans="1:2" x14ac:dyDescent="0.25">
      <c r="A5691">
        <v>5691</v>
      </c>
      <c r="B5691" t="str">
        <f t="shared" si="88"/>
        <v>ᘻ</v>
      </c>
    </row>
    <row r="5692" spans="1:2" x14ac:dyDescent="0.25">
      <c r="A5692">
        <v>5692</v>
      </c>
      <c r="B5692" t="str">
        <f t="shared" si="88"/>
        <v>ᘼ</v>
      </c>
    </row>
    <row r="5693" spans="1:2" x14ac:dyDescent="0.25">
      <c r="A5693">
        <v>5693</v>
      </c>
      <c r="B5693" t="str">
        <f t="shared" si="88"/>
        <v>ᘽ</v>
      </c>
    </row>
    <row r="5694" spans="1:2" x14ac:dyDescent="0.25">
      <c r="A5694">
        <v>5694</v>
      </c>
      <c r="B5694" t="str">
        <f t="shared" si="88"/>
        <v>ᘾ</v>
      </c>
    </row>
    <row r="5695" spans="1:2" x14ac:dyDescent="0.25">
      <c r="A5695">
        <v>5695</v>
      </c>
      <c r="B5695" t="str">
        <f t="shared" si="88"/>
        <v>ᘿ</v>
      </c>
    </row>
    <row r="5696" spans="1:2" x14ac:dyDescent="0.25">
      <c r="A5696">
        <v>5696</v>
      </c>
      <c r="B5696" t="str">
        <f t="shared" si="88"/>
        <v>ᙀ</v>
      </c>
    </row>
    <row r="5697" spans="1:2" x14ac:dyDescent="0.25">
      <c r="A5697">
        <v>5697</v>
      </c>
      <c r="B5697" t="str">
        <f t="shared" si="88"/>
        <v>ᙁ</v>
      </c>
    </row>
    <row r="5698" spans="1:2" x14ac:dyDescent="0.25">
      <c r="A5698">
        <v>5698</v>
      </c>
      <c r="B5698" t="str">
        <f t="shared" ref="B5698:B5761" si="89">_xlfn.UNICHAR(A5698)</f>
        <v>ᙂ</v>
      </c>
    </row>
    <row r="5699" spans="1:2" x14ac:dyDescent="0.25">
      <c r="A5699">
        <v>5699</v>
      </c>
      <c r="B5699" t="str">
        <f t="shared" si="89"/>
        <v>ᙃ</v>
      </c>
    </row>
    <row r="5700" spans="1:2" x14ac:dyDescent="0.25">
      <c r="A5700">
        <v>5700</v>
      </c>
      <c r="B5700" t="str">
        <f t="shared" si="89"/>
        <v>ᙄ</v>
      </c>
    </row>
    <row r="5701" spans="1:2" x14ac:dyDescent="0.25">
      <c r="A5701">
        <v>5701</v>
      </c>
      <c r="B5701" t="str">
        <f t="shared" si="89"/>
        <v>ᙅ</v>
      </c>
    </row>
    <row r="5702" spans="1:2" x14ac:dyDescent="0.25">
      <c r="A5702">
        <v>5702</v>
      </c>
      <c r="B5702" t="str">
        <f t="shared" si="89"/>
        <v>ᙆ</v>
      </c>
    </row>
    <row r="5703" spans="1:2" x14ac:dyDescent="0.25">
      <c r="A5703">
        <v>5703</v>
      </c>
      <c r="B5703" t="str">
        <f t="shared" si="89"/>
        <v>ᙇ</v>
      </c>
    </row>
    <row r="5704" spans="1:2" x14ac:dyDescent="0.25">
      <c r="A5704">
        <v>5704</v>
      </c>
      <c r="B5704" t="str">
        <f t="shared" si="89"/>
        <v>ᙈ</v>
      </c>
    </row>
    <row r="5705" spans="1:2" x14ac:dyDescent="0.25">
      <c r="A5705">
        <v>5705</v>
      </c>
      <c r="B5705" t="str">
        <f t="shared" si="89"/>
        <v>ᙉ</v>
      </c>
    </row>
    <row r="5706" spans="1:2" x14ac:dyDescent="0.25">
      <c r="A5706">
        <v>5706</v>
      </c>
      <c r="B5706" t="str">
        <f t="shared" si="89"/>
        <v>ᙊ</v>
      </c>
    </row>
    <row r="5707" spans="1:2" x14ac:dyDescent="0.25">
      <c r="A5707">
        <v>5707</v>
      </c>
      <c r="B5707" t="str">
        <f t="shared" si="89"/>
        <v>ᙋ</v>
      </c>
    </row>
    <row r="5708" spans="1:2" x14ac:dyDescent="0.25">
      <c r="A5708">
        <v>5708</v>
      </c>
      <c r="B5708" t="str">
        <f t="shared" si="89"/>
        <v>ᙌ</v>
      </c>
    </row>
    <row r="5709" spans="1:2" x14ac:dyDescent="0.25">
      <c r="A5709">
        <v>5709</v>
      </c>
      <c r="B5709" t="str">
        <f t="shared" si="89"/>
        <v>ᙍ</v>
      </c>
    </row>
    <row r="5710" spans="1:2" x14ac:dyDescent="0.25">
      <c r="A5710">
        <v>5710</v>
      </c>
      <c r="B5710" t="str">
        <f t="shared" si="89"/>
        <v>ᙎ</v>
      </c>
    </row>
    <row r="5711" spans="1:2" x14ac:dyDescent="0.25">
      <c r="A5711">
        <v>5711</v>
      </c>
      <c r="B5711" t="str">
        <f t="shared" si="89"/>
        <v>ᙏ</v>
      </c>
    </row>
    <row r="5712" spans="1:2" x14ac:dyDescent="0.25">
      <c r="A5712">
        <v>5712</v>
      </c>
      <c r="B5712" t="str">
        <f t="shared" si="89"/>
        <v>ᙐ</v>
      </c>
    </row>
    <row r="5713" spans="1:2" x14ac:dyDescent="0.25">
      <c r="A5713">
        <v>5713</v>
      </c>
      <c r="B5713" t="str">
        <f t="shared" si="89"/>
        <v>ᙑ</v>
      </c>
    </row>
    <row r="5714" spans="1:2" x14ac:dyDescent="0.25">
      <c r="A5714">
        <v>5714</v>
      </c>
      <c r="B5714" t="str">
        <f t="shared" si="89"/>
        <v>ᙒ</v>
      </c>
    </row>
    <row r="5715" spans="1:2" x14ac:dyDescent="0.25">
      <c r="A5715">
        <v>5715</v>
      </c>
      <c r="B5715" t="str">
        <f t="shared" si="89"/>
        <v>ᙓ</v>
      </c>
    </row>
    <row r="5716" spans="1:2" x14ac:dyDescent="0.25">
      <c r="A5716">
        <v>5716</v>
      </c>
      <c r="B5716" t="str">
        <f t="shared" si="89"/>
        <v>ᙔ</v>
      </c>
    </row>
    <row r="5717" spans="1:2" x14ac:dyDescent="0.25">
      <c r="A5717">
        <v>5717</v>
      </c>
      <c r="B5717" t="str">
        <f t="shared" si="89"/>
        <v>ᙕ</v>
      </c>
    </row>
    <row r="5718" spans="1:2" x14ac:dyDescent="0.25">
      <c r="A5718">
        <v>5718</v>
      </c>
      <c r="B5718" t="str">
        <f t="shared" si="89"/>
        <v>ᙖ</v>
      </c>
    </row>
    <row r="5719" spans="1:2" x14ac:dyDescent="0.25">
      <c r="A5719">
        <v>5719</v>
      </c>
      <c r="B5719" t="str">
        <f t="shared" si="89"/>
        <v>ᙗ</v>
      </c>
    </row>
    <row r="5720" spans="1:2" x14ac:dyDescent="0.25">
      <c r="A5720">
        <v>5720</v>
      </c>
      <c r="B5720" t="str">
        <f t="shared" si="89"/>
        <v>ᙘ</v>
      </c>
    </row>
    <row r="5721" spans="1:2" x14ac:dyDescent="0.25">
      <c r="A5721">
        <v>5721</v>
      </c>
      <c r="B5721" t="str">
        <f t="shared" si="89"/>
        <v>ᙙ</v>
      </c>
    </row>
    <row r="5722" spans="1:2" x14ac:dyDescent="0.25">
      <c r="A5722">
        <v>5722</v>
      </c>
      <c r="B5722" t="str">
        <f t="shared" si="89"/>
        <v>ᙚ</v>
      </c>
    </row>
    <row r="5723" spans="1:2" x14ac:dyDescent="0.25">
      <c r="A5723">
        <v>5723</v>
      </c>
      <c r="B5723" t="str">
        <f t="shared" si="89"/>
        <v>ᙛ</v>
      </c>
    </row>
    <row r="5724" spans="1:2" x14ac:dyDescent="0.25">
      <c r="A5724">
        <v>5724</v>
      </c>
      <c r="B5724" t="str">
        <f t="shared" si="89"/>
        <v>ᙜ</v>
      </c>
    </row>
    <row r="5725" spans="1:2" x14ac:dyDescent="0.25">
      <c r="A5725">
        <v>5725</v>
      </c>
      <c r="B5725" t="str">
        <f t="shared" si="89"/>
        <v>ᙝ</v>
      </c>
    </row>
    <row r="5726" spans="1:2" x14ac:dyDescent="0.25">
      <c r="A5726">
        <v>5726</v>
      </c>
      <c r="B5726" t="str">
        <f t="shared" si="89"/>
        <v>ᙞ</v>
      </c>
    </row>
    <row r="5727" spans="1:2" x14ac:dyDescent="0.25">
      <c r="A5727">
        <v>5727</v>
      </c>
      <c r="B5727" t="str">
        <f t="shared" si="89"/>
        <v>ᙟ</v>
      </c>
    </row>
    <row r="5728" spans="1:2" x14ac:dyDescent="0.25">
      <c r="A5728">
        <v>5728</v>
      </c>
      <c r="B5728" t="str">
        <f t="shared" si="89"/>
        <v>ᙠ</v>
      </c>
    </row>
    <row r="5729" spans="1:2" x14ac:dyDescent="0.25">
      <c r="A5729">
        <v>5729</v>
      </c>
      <c r="B5729" t="str">
        <f t="shared" si="89"/>
        <v>ᙡ</v>
      </c>
    </row>
    <row r="5730" spans="1:2" x14ac:dyDescent="0.25">
      <c r="A5730">
        <v>5730</v>
      </c>
      <c r="B5730" t="str">
        <f t="shared" si="89"/>
        <v>ᙢ</v>
      </c>
    </row>
    <row r="5731" spans="1:2" x14ac:dyDescent="0.25">
      <c r="A5731">
        <v>5731</v>
      </c>
      <c r="B5731" t="str">
        <f t="shared" si="89"/>
        <v>ᙣ</v>
      </c>
    </row>
    <row r="5732" spans="1:2" x14ac:dyDescent="0.25">
      <c r="A5732">
        <v>5732</v>
      </c>
      <c r="B5732" t="str">
        <f t="shared" si="89"/>
        <v>ᙤ</v>
      </c>
    </row>
    <row r="5733" spans="1:2" x14ac:dyDescent="0.25">
      <c r="A5733">
        <v>5733</v>
      </c>
      <c r="B5733" t="str">
        <f t="shared" si="89"/>
        <v>ᙥ</v>
      </c>
    </row>
    <row r="5734" spans="1:2" x14ac:dyDescent="0.25">
      <c r="A5734">
        <v>5734</v>
      </c>
      <c r="B5734" t="str">
        <f t="shared" si="89"/>
        <v>ᙦ</v>
      </c>
    </row>
    <row r="5735" spans="1:2" x14ac:dyDescent="0.25">
      <c r="A5735">
        <v>5735</v>
      </c>
      <c r="B5735" t="str">
        <f t="shared" si="89"/>
        <v>ᙧ</v>
      </c>
    </row>
    <row r="5736" spans="1:2" x14ac:dyDescent="0.25">
      <c r="A5736">
        <v>5736</v>
      </c>
      <c r="B5736" t="str">
        <f t="shared" si="89"/>
        <v>ᙨ</v>
      </c>
    </row>
    <row r="5737" spans="1:2" x14ac:dyDescent="0.25">
      <c r="A5737">
        <v>5737</v>
      </c>
      <c r="B5737" t="str">
        <f t="shared" si="89"/>
        <v>ᙩ</v>
      </c>
    </row>
    <row r="5738" spans="1:2" x14ac:dyDescent="0.25">
      <c r="A5738">
        <v>5738</v>
      </c>
      <c r="B5738" t="str">
        <f t="shared" si="89"/>
        <v>ᙪ</v>
      </c>
    </row>
    <row r="5739" spans="1:2" x14ac:dyDescent="0.25">
      <c r="A5739">
        <v>5739</v>
      </c>
      <c r="B5739" t="str">
        <f t="shared" si="89"/>
        <v>ᙫ</v>
      </c>
    </row>
    <row r="5740" spans="1:2" x14ac:dyDescent="0.25">
      <c r="A5740">
        <v>5740</v>
      </c>
      <c r="B5740" t="str">
        <f t="shared" si="89"/>
        <v>ᙬ</v>
      </c>
    </row>
    <row r="5741" spans="1:2" x14ac:dyDescent="0.25">
      <c r="A5741">
        <v>5741</v>
      </c>
      <c r="B5741" t="str">
        <f t="shared" si="89"/>
        <v>᙭</v>
      </c>
    </row>
    <row r="5742" spans="1:2" x14ac:dyDescent="0.25">
      <c r="A5742">
        <v>5742</v>
      </c>
      <c r="B5742" t="str">
        <f t="shared" si="89"/>
        <v>᙮</v>
      </c>
    </row>
    <row r="5743" spans="1:2" x14ac:dyDescent="0.25">
      <c r="A5743">
        <v>5743</v>
      </c>
      <c r="B5743" t="str">
        <f t="shared" si="89"/>
        <v>ᙯ</v>
      </c>
    </row>
    <row r="5744" spans="1:2" x14ac:dyDescent="0.25">
      <c r="A5744">
        <v>5744</v>
      </c>
      <c r="B5744" t="str">
        <f t="shared" si="89"/>
        <v>ᙰ</v>
      </c>
    </row>
    <row r="5745" spans="1:2" x14ac:dyDescent="0.25">
      <c r="A5745">
        <v>5745</v>
      </c>
      <c r="B5745" t="str">
        <f t="shared" si="89"/>
        <v>ᙱ</v>
      </c>
    </row>
    <row r="5746" spans="1:2" x14ac:dyDescent="0.25">
      <c r="A5746">
        <v>5746</v>
      </c>
      <c r="B5746" t="str">
        <f t="shared" si="89"/>
        <v>ᙲ</v>
      </c>
    </row>
    <row r="5747" spans="1:2" x14ac:dyDescent="0.25">
      <c r="A5747">
        <v>5747</v>
      </c>
      <c r="B5747" t="str">
        <f t="shared" si="89"/>
        <v>ᙳ</v>
      </c>
    </row>
    <row r="5748" spans="1:2" x14ac:dyDescent="0.25">
      <c r="A5748">
        <v>5748</v>
      </c>
      <c r="B5748" t="str">
        <f t="shared" si="89"/>
        <v>ᙴ</v>
      </c>
    </row>
    <row r="5749" spans="1:2" x14ac:dyDescent="0.25">
      <c r="A5749">
        <v>5749</v>
      </c>
      <c r="B5749" t="str">
        <f t="shared" si="89"/>
        <v>ᙵ</v>
      </c>
    </row>
    <row r="5750" spans="1:2" x14ac:dyDescent="0.25">
      <c r="A5750">
        <v>5750</v>
      </c>
      <c r="B5750" t="str">
        <f t="shared" si="89"/>
        <v>ᙶ</v>
      </c>
    </row>
    <row r="5751" spans="1:2" x14ac:dyDescent="0.25">
      <c r="A5751">
        <v>5751</v>
      </c>
      <c r="B5751" t="str">
        <f t="shared" si="89"/>
        <v>ᙷ</v>
      </c>
    </row>
    <row r="5752" spans="1:2" x14ac:dyDescent="0.25">
      <c r="A5752">
        <v>5752</v>
      </c>
      <c r="B5752" t="str">
        <f t="shared" si="89"/>
        <v>ᙸ</v>
      </c>
    </row>
    <row r="5753" spans="1:2" x14ac:dyDescent="0.25">
      <c r="A5753">
        <v>5753</v>
      </c>
      <c r="B5753" t="str">
        <f t="shared" si="89"/>
        <v>ᙹ</v>
      </c>
    </row>
    <row r="5754" spans="1:2" x14ac:dyDescent="0.25">
      <c r="A5754">
        <v>5754</v>
      </c>
      <c r="B5754" t="str">
        <f t="shared" si="89"/>
        <v>ᙺ</v>
      </c>
    </row>
    <row r="5755" spans="1:2" x14ac:dyDescent="0.25">
      <c r="A5755">
        <v>5755</v>
      </c>
      <c r="B5755" t="str">
        <f t="shared" si="89"/>
        <v>ᙻ</v>
      </c>
    </row>
    <row r="5756" spans="1:2" x14ac:dyDescent="0.25">
      <c r="A5756">
        <v>5756</v>
      </c>
      <c r="B5756" t="str">
        <f t="shared" si="89"/>
        <v>ᙼ</v>
      </c>
    </row>
    <row r="5757" spans="1:2" x14ac:dyDescent="0.25">
      <c r="A5757">
        <v>5757</v>
      </c>
      <c r="B5757" t="str">
        <f t="shared" si="89"/>
        <v>ᙽ</v>
      </c>
    </row>
    <row r="5758" spans="1:2" x14ac:dyDescent="0.25">
      <c r="A5758">
        <v>5758</v>
      </c>
      <c r="B5758" t="str">
        <f t="shared" si="89"/>
        <v>ᙾ</v>
      </c>
    </row>
    <row r="5759" spans="1:2" x14ac:dyDescent="0.25">
      <c r="A5759">
        <v>5759</v>
      </c>
      <c r="B5759" t="str">
        <f t="shared" si="89"/>
        <v>ᙿ</v>
      </c>
    </row>
    <row r="5760" spans="1:2" x14ac:dyDescent="0.25">
      <c r="A5760">
        <v>5760</v>
      </c>
      <c r="B5760" t="str">
        <f t="shared" si="89"/>
        <v> </v>
      </c>
    </row>
    <row r="5761" spans="1:2" x14ac:dyDescent="0.25">
      <c r="A5761">
        <v>5761</v>
      </c>
      <c r="B5761" t="str">
        <f t="shared" si="89"/>
        <v>ᚁ</v>
      </c>
    </row>
    <row r="5762" spans="1:2" x14ac:dyDescent="0.25">
      <c r="A5762">
        <v>5762</v>
      </c>
      <c r="B5762" t="str">
        <f t="shared" ref="B5762:B5825" si="90">_xlfn.UNICHAR(A5762)</f>
        <v>ᚂ</v>
      </c>
    </row>
    <row r="5763" spans="1:2" x14ac:dyDescent="0.25">
      <c r="A5763">
        <v>5763</v>
      </c>
      <c r="B5763" t="str">
        <f t="shared" si="90"/>
        <v>ᚃ</v>
      </c>
    </row>
    <row r="5764" spans="1:2" x14ac:dyDescent="0.25">
      <c r="A5764">
        <v>5764</v>
      </c>
      <c r="B5764" t="str">
        <f t="shared" si="90"/>
        <v>ᚄ</v>
      </c>
    </row>
    <row r="5765" spans="1:2" x14ac:dyDescent="0.25">
      <c r="A5765">
        <v>5765</v>
      </c>
      <c r="B5765" t="str">
        <f t="shared" si="90"/>
        <v>ᚅ</v>
      </c>
    </row>
    <row r="5766" spans="1:2" x14ac:dyDescent="0.25">
      <c r="A5766">
        <v>5766</v>
      </c>
      <c r="B5766" t="str">
        <f t="shared" si="90"/>
        <v>ᚆ</v>
      </c>
    </row>
    <row r="5767" spans="1:2" x14ac:dyDescent="0.25">
      <c r="A5767">
        <v>5767</v>
      </c>
      <c r="B5767" t="str">
        <f t="shared" si="90"/>
        <v>ᚇ</v>
      </c>
    </row>
    <row r="5768" spans="1:2" x14ac:dyDescent="0.25">
      <c r="A5768">
        <v>5768</v>
      </c>
      <c r="B5768" t="str">
        <f t="shared" si="90"/>
        <v>ᚈ</v>
      </c>
    </row>
    <row r="5769" spans="1:2" x14ac:dyDescent="0.25">
      <c r="A5769">
        <v>5769</v>
      </c>
      <c r="B5769" t="str">
        <f t="shared" si="90"/>
        <v>ᚉ</v>
      </c>
    </row>
    <row r="5770" spans="1:2" x14ac:dyDescent="0.25">
      <c r="A5770">
        <v>5770</v>
      </c>
      <c r="B5770" t="str">
        <f t="shared" si="90"/>
        <v>ᚊ</v>
      </c>
    </row>
    <row r="5771" spans="1:2" x14ac:dyDescent="0.25">
      <c r="A5771">
        <v>5771</v>
      </c>
      <c r="B5771" t="str">
        <f t="shared" si="90"/>
        <v>ᚋ</v>
      </c>
    </row>
    <row r="5772" spans="1:2" x14ac:dyDescent="0.25">
      <c r="A5772">
        <v>5772</v>
      </c>
      <c r="B5772" t="str">
        <f t="shared" si="90"/>
        <v>ᚌ</v>
      </c>
    </row>
    <row r="5773" spans="1:2" x14ac:dyDescent="0.25">
      <c r="A5773">
        <v>5773</v>
      </c>
      <c r="B5773" t="str">
        <f t="shared" si="90"/>
        <v>ᚍ</v>
      </c>
    </row>
    <row r="5774" spans="1:2" x14ac:dyDescent="0.25">
      <c r="A5774">
        <v>5774</v>
      </c>
      <c r="B5774" t="str">
        <f t="shared" si="90"/>
        <v>ᚎ</v>
      </c>
    </row>
    <row r="5775" spans="1:2" x14ac:dyDescent="0.25">
      <c r="A5775">
        <v>5775</v>
      </c>
      <c r="B5775" t="str">
        <f t="shared" si="90"/>
        <v>ᚏ</v>
      </c>
    </row>
    <row r="5776" spans="1:2" x14ac:dyDescent="0.25">
      <c r="A5776">
        <v>5776</v>
      </c>
      <c r="B5776" t="str">
        <f t="shared" si="90"/>
        <v>ᚐ</v>
      </c>
    </row>
    <row r="5777" spans="1:2" x14ac:dyDescent="0.25">
      <c r="A5777">
        <v>5777</v>
      </c>
      <c r="B5777" t="str">
        <f t="shared" si="90"/>
        <v>ᚑ</v>
      </c>
    </row>
    <row r="5778" spans="1:2" x14ac:dyDescent="0.25">
      <c r="A5778">
        <v>5778</v>
      </c>
      <c r="B5778" t="str">
        <f t="shared" si="90"/>
        <v>ᚒ</v>
      </c>
    </row>
    <row r="5779" spans="1:2" x14ac:dyDescent="0.25">
      <c r="A5779">
        <v>5779</v>
      </c>
      <c r="B5779" t="str">
        <f t="shared" si="90"/>
        <v>ᚓ</v>
      </c>
    </row>
    <row r="5780" spans="1:2" x14ac:dyDescent="0.25">
      <c r="A5780">
        <v>5780</v>
      </c>
      <c r="B5780" t="str">
        <f t="shared" si="90"/>
        <v>ᚔ</v>
      </c>
    </row>
    <row r="5781" spans="1:2" x14ac:dyDescent="0.25">
      <c r="A5781">
        <v>5781</v>
      </c>
      <c r="B5781" t="str">
        <f t="shared" si="90"/>
        <v>ᚕ</v>
      </c>
    </row>
    <row r="5782" spans="1:2" x14ac:dyDescent="0.25">
      <c r="A5782">
        <v>5782</v>
      </c>
      <c r="B5782" t="str">
        <f t="shared" si="90"/>
        <v>ᚖ</v>
      </c>
    </row>
    <row r="5783" spans="1:2" x14ac:dyDescent="0.25">
      <c r="A5783">
        <v>5783</v>
      </c>
      <c r="B5783" t="str">
        <f t="shared" si="90"/>
        <v>ᚗ</v>
      </c>
    </row>
    <row r="5784" spans="1:2" x14ac:dyDescent="0.25">
      <c r="A5784">
        <v>5784</v>
      </c>
      <c r="B5784" t="str">
        <f t="shared" si="90"/>
        <v>ᚘ</v>
      </c>
    </row>
    <row r="5785" spans="1:2" x14ac:dyDescent="0.25">
      <c r="A5785">
        <v>5785</v>
      </c>
      <c r="B5785" t="str">
        <f t="shared" si="90"/>
        <v>ᚙ</v>
      </c>
    </row>
    <row r="5786" spans="1:2" x14ac:dyDescent="0.25">
      <c r="A5786">
        <v>5786</v>
      </c>
      <c r="B5786" t="str">
        <f t="shared" si="90"/>
        <v>ᚚ</v>
      </c>
    </row>
    <row r="5787" spans="1:2" x14ac:dyDescent="0.25">
      <c r="A5787">
        <v>5787</v>
      </c>
      <c r="B5787" t="str">
        <f t="shared" si="90"/>
        <v>᚛</v>
      </c>
    </row>
    <row r="5788" spans="1:2" x14ac:dyDescent="0.25">
      <c r="A5788">
        <v>5788</v>
      </c>
      <c r="B5788" t="str">
        <f t="shared" si="90"/>
        <v>᚜</v>
      </c>
    </row>
    <row r="5789" spans="1:2" x14ac:dyDescent="0.25">
      <c r="A5789">
        <v>5789</v>
      </c>
      <c r="B5789" t="str">
        <f t="shared" si="90"/>
        <v>᚝</v>
      </c>
    </row>
    <row r="5790" spans="1:2" x14ac:dyDescent="0.25">
      <c r="A5790">
        <v>5790</v>
      </c>
      <c r="B5790" t="str">
        <f t="shared" si="90"/>
        <v>᚞</v>
      </c>
    </row>
    <row r="5791" spans="1:2" x14ac:dyDescent="0.25">
      <c r="A5791">
        <v>5791</v>
      </c>
      <c r="B5791" t="str">
        <f t="shared" si="90"/>
        <v>᚟</v>
      </c>
    </row>
    <row r="5792" spans="1:2" x14ac:dyDescent="0.25">
      <c r="A5792">
        <v>5792</v>
      </c>
      <c r="B5792" t="str">
        <f t="shared" si="90"/>
        <v>ᚠ</v>
      </c>
    </row>
    <row r="5793" spans="1:2" x14ac:dyDescent="0.25">
      <c r="A5793">
        <v>5793</v>
      </c>
      <c r="B5793" t="str">
        <f t="shared" si="90"/>
        <v>ᚡ</v>
      </c>
    </row>
    <row r="5794" spans="1:2" x14ac:dyDescent="0.25">
      <c r="A5794">
        <v>5794</v>
      </c>
      <c r="B5794" t="str">
        <f t="shared" si="90"/>
        <v>ᚢ</v>
      </c>
    </row>
    <row r="5795" spans="1:2" x14ac:dyDescent="0.25">
      <c r="A5795">
        <v>5795</v>
      </c>
      <c r="B5795" t="str">
        <f t="shared" si="90"/>
        <v>ᚣ</v>
      </c>
    </row>
    <row r="5796" spans="1:2" x14ac:dyDescent="0.25">
      <c r="A5796">
        <v>5796</v>
      </c>
      <c r="B5796" t="str">
        <f t="shared" si="90"/>
        <v>ᚤ</v>
      </c>
    </row>
    <row r="5797" spans="1:2" x14ac:dyDescent="0.25">
      <c r="A5797">
        <v>5797</v>
      </c>
      <c r="B5797" t="str">
        <f t="shared" si="90"/>
        <v>ᚥ</v>
      </c>
    </row>
    <row r="5798" spans="1:2" x14ac:dyDescent="0.25">
      <c r="A5798">
        <v>5798</v>
      </c>
      <c r="B5798" t="str">
        <f t="shared" si="90"/>
        <v>ᚦ</v>
      </c>
    </row>
    <row r="5799" spans="1:2" x14ac:dyDescent="0.25">
      <c r="A5799">
        <v>5799</v>
      </c>
      <c r="B5799" t="str">
        <f t="shared" si="90"/>
        <v>ᚧ</v>
      </c>
    </row>
    <row r="5800" spans="1:2" x14ac:dyDescent="0.25">
      <c r="A5800">
        <v>5800</v>
      </c>
      <c r="B5800" t="str">
        <f t="shared" si="90"/>
        <v>ᚨ</v>
      </c>
    </row>
    <row r="5801" spans="1:2" x14ac:dyDescent="0.25">
      <c r="A5801">
        <v>5801</v>
      </c>
      <c r="B5801" t="str">
        <f t="shared" si="90"/>
        <v>ᚩ</v>
      </c>
    </row>
    <row r="5802" spans="1:2" x14ac:dyDescent="0.25">
      <c r="A5802">
        <v>5802</v>
      </c>
      <c r="B5802" t="str">
        <f t="shared" si="90"/>
        <v>ᚪ</v>
      </c>
    </row>
    <row r="5803" spans="1:2" x14ac:dyDescent="0.25">
      <c r="A5803">
        <v>5803</v>
      </c>
      <c r="B5803" t="str">
        <f t="shared" si="90"/>
        <v>ᚫ</v>
      </c>
    </row>
    <row r="5804" spans="1:2" x14ac:dyDescent="0.25">
      <c r="A5804">
        <v>5804</v>
      </c>
      <c r="B5804" t="str">
        <f t="shared" si="90"/>
        <v>ᚬ</v>
      </c>
    </row>
    <row r="5805" spans="1:2" x14ac:dyDescent="0.25">
      <c r="A5805">
        <v>5805</v>
      </c>
      <c r="B5805" t="str">
        <f t="shared" si="90"/>
        <v>ᚭ</v>
      </c>
    </row>
    <row r="5806" spans="1:2" x14ac:dyDescent="0.25">
      <c r="A5806">
        <v>5806</v>
      </c>
      <c r="B5806" t="str">
        <f t="shared" si="90"/>
        <v>ᚮ</v>
      </c>
    </row>
    <row r="5807" spans="1:2" x14ac:dyDescent="0.25">
      <c r="A5807">
        <v>5807</v>
      </c>
      <c r="B5807" t="str">
        <f t="shared" si="90"/>
        <v>ᚯ</v>
      </c>
    </row>
    <row r="5808" spans="1:2" x14ac:dyDescent="0.25">
      <c r="A5808">
        <v>5808</v>
      </c>
      <c r="B5808" t="str">
        <f t="shared" si="90"/>
        <v>ᚰ</v>
      </c>
    </row>
    <row r="5809" spans="1:2" x14ac:dyDescent="0.25">
      <c r="A5809">
        <v>5809</v>
      </c>
      <c r="B5809" t="str">
        <f t="shared" si="90"/>
        <v>ᚱ</v>
      </c>
    </row>
    <row r="5810" spans="1:2" x14ac:dyDescent="0.25">
      <c r="A5810">
        <v>5810</v>
      </c>
      <c r="B5810" t="str">
        <f t="shared" si="90"/>
        <v>ᚲ</v>
      </c>
    </row>
    <row r="5811" spans="1:2" x14ac:dyDescent="0.25">
      <c r="A5811">
        <v>5811</v>
      </c>
      <c r="B5811" t="str">
        <f t="shared" si="90"/>
        <v>ᚳ</v>
      </c>
    </row>
    <row r="5812" spans="1:2" x14ac:dyDescent="0.25">
      <c r="A5812">
        <v>5812</v>
      </c>
      <c r="B5812" t="str">
        <f t="shared" si="90"/>
        <v>ᚴ</v>
      </c>
    </row>
    <row r="5813" spans="1:2" x14ac:dyDescent="0.25">
      <c r="A5813">
        <v>5813</v>
      </c>
      <c r="B5813" t="str">
        <f t="shared" si="90"/>
        <v>ᚵ</v>
      </c>
    </row>
    <row r="5814" spans="1:2" x14ac:dyDescent="0.25">
      <c r="A5814">
        <v>5814</v>
      </c>
      <c r="B5814" t="str">
        <f t="shared" si="90"/>
        <v>ᚶ</v>
      </c>
    </row>
    <row r="5815" spans="1:2" x14ac:dyDescent="0.25">
      <c r="A5815">
        <v>5815</v>
      </c>
      <c r="B5815" t="str">
        <f t="shared" si="90"/>
        <v>ᚷ</v>
      </c>
    </row>
    <row r="5816" spans="1:2" x14ac:dyDescent="0.25">
      <c r="A5816">
        <v>5816</v>
      </c>
      <c r="B5816" t="str">
        <f t="shared" si="90"/>
        <v>ᚸ</v>
      </c>
    </row>
    <row r="5817" spans="1:2" x14ac:dyDescent="0.25">
      <c r="A5817">
        <v>5817</v>
      </c>
      <c r="B5817" t="str">
        <f t="shared" si="90"/>
        <v>ᚹ</v>
      </c>
    </row>
    <row r="5818" spans="1:2" x14ac:dyDescent="0.25">
      <c r="A5818">
        <v>5818</v>
      </c>
      <c r="B5818" t="str">
        <f t="shared" si="90"/>
        <v>ᚺ</v>
      </c>
    </row>
    <row r="5819" spans="1:2" x14ac:dyDescent="0.25">
      <c r="A5819">
        <v>5819</v>
      </c>
      <c r="B5819" t="str">
        <f t="shared" si="90"/>
        <v>ᚻ</v>
      </c>
    </row>
    <row r="5820" spans="1:2" x14ac:dyDescent="0.25">
      <c r="A5820">
        <v>5820</v>
      </c>
      <c r="B5820" t="str">
        <f t="shared" si="90"/>
        <v>ᚼ</v>
      </c>
    </row>
    <row r="5821" spans="1:2" x14ac:dyDescent="0.25">
      <c r="A5821">
        <v>5821</v>
      </c>
      <c r="B5821" t="str">
        <f t="shared" si="90"/>
        <v>ᚽ</v>
      </c>
    </row>
    <row r="5822" spans="1:2" x14ac:dyDescent="0.25">
      <c r="A5822">
        <v>5822</v>
      </c>
      <c r="B5822" t="str">
        <f t="shared" si="90"/>
        <v>ᚾ</v>
      </c>
    </row>
    <row r="5823" spans="1:2" x14ac:dyDescent="0.25">
      <c r="A5823">
        <v>5823</v>
      </c>
      <c r="B5823" t="str">
        <f t="shared" si="90"/>
        <v>ᚿ</v>
      </c>
    </row>
    <row r="5824" spans="1:2" x14ac:dyDescent="0.25">
      <c r="A5824">
        <v>5824</v>
      </c>
      <c r="B5824" t="str">
        <f t="shared" si="90"/>
        <v>ᛀ</v>
      </c>
    </row>
    <row r="5825" spans="1:2" x14ac:dyDescent="0.25">
      <c r="A5825">
        <v>5825</v>
      </c>
      <c r="B5825" t="str">
        <f t="shared" si="90"/>
        <v>ᛁ</v>
      </c>
    </row>
    <row r="5826" spans="1:2" x14ac:dyDescent="0.25">
      <c r="A5826">
        <v>5826</v>
      </c>
      <c r="B5826" t="str">
        <f t="shared" ref="B5826:B5889" si="91">_xlfn.UNICHAR(A5826)</f>
        <v>ᛂ</v>
      </c>
    </row>
    <row r="5827" spans="1:2" x14ac:dyDescent="0.25">
      <c r="A5827">
        <v>5827</v>
      </c>
      <c r="B5827" t="str">
        <f t="shared" si="91"/>
        <v>ᛃ</v>
      </c>
    </row>
    <row r="5828" spans="1:2" x14ac:dyDescent="0.25">
      <c r="A5828">
        <v>5828</v>
      </c>
      <c r="B5828" t="str">
        <f t="shared" si="91"/>
        <v>ᛄ</v>
      </c>
    </row>
    <row r="5829" spans="1:2" x14ac:dyDescent="0.25">
      <c r="A5829">
        <v>5829</v>
      </c>
      <c r="B5829" t="str">
        <f t="shared" si="91"/>
        <v>ᛅ</v>
      </c>
    </row>
    <row r="5830" spans="1:2" x14ac:dyDescent="0.25">
      <c r="A5830">
        <v>5830</v>
      </c>
      <c r="B5830" t="str">
        <f t="shared" si="91"/>
        <v>ᛆ</v>
      </c>
    </row>
    <row r="5831" spans="1:2" x14ac:dyDescent="0.25">
      <c r="A5831">
        <v>5831</v>
      </c>
      <c r="B5831" t="str">
        <f t="shared" si="91"/>
        <v>ᛇ</v>
      </c>
    </row>
    <row r="5832" spans="1:2" x14ac:dyDescent="0.25">
      <c r="A5832">
        <v>5832</v>
      </c>
      <c r="B5832" t="str">
        <f t="shared" si="91"/>
        <v>ᛈ</v>
      </c>
    </row>
    <row r="5833" spans="1:2" x14ac:dyDescent="0.25">
      <c r="A5833">
        <v>5833</v>
      </c>
      <c r="B5833" t="str">
        <f t="shared" si="91"/>
        <v>ᛉ</v>
      </c>
    </row>
    <row r="5834" spans="1:2" x14ac:dyDescent="0.25">
      <c r="A5834">
        <v>5834</v>
      </c>
      <c r="B5834" t="str">
        <f t="shared" si="91"/>
        <v>ᛊ</v>
      </c>
    </row>
    <row r="5835" spans="1:2" x14ac:dyDescent="0.25">
      <c r="A5835">
        <v>5835</v>
      </c>
      <c r="B5835" t="str">
        <f t="shared" si="91"/>
        <v>ᛋ</v>
      </c>
    </row>
    <row r="5836" spans="1:2" x14ac:dyDescent="0.25">
      <c r="A5836">
        <v>5836</v>
      </c>
      <c r="B5836" t="str">
        <f t="shared" si="91"/>
        <v>ᛌ</v>
      </c>
    </row>
    <row r="5837" spans="1:2" x14ac:dyDescent="0.25">
      <c r="A5837">
        <v>5837</v>
      </c>
      <c r="B5837" t="str">
        <f t="shared" si="91"/>
        <v>ᛍ</v>
      </c>
    </row>
    <row r="5838" spans="1:2" x14ac:dyDescent="0.25">
      <c r="A5838">
        <v>5838</v>
      </c>
      <c r="B5838" t="str">
        <f t="shared" si="91"/>
        <v>ᛎ</v>
      </c>
    </row>
    <row r="5839" spans="1:2" x14ac:dyDescent="0.25">
      <c r="A5839">
        <v>5839</v>
      </c>
      <c r="B5839" t="str">
        <f t="shared" si="91"/>
        <v>ᛏ</v>
      </c>
    </row>
    <row r="5840" spans="1:2" x14ac:dyDescent="0.25">
      <c r="A5840">
        <v>5840</v>
      </c>
      <c r="B5840" t="str">
        <f t="shared" si="91"/>
        <v>ᛐ</v>
      </c>
    </row>
    <row r="5841" spans="1:2" x14ac:dyDescent="0.25">
      <c r="A5841">
        <v>5841</v>
      </c>
      <c r="B5841" t="str">
        <f t="shared" si="91"/>
        <v>ᛑ</v>
      </c>
    </row>
    <row r="5842" spans="1:2" x14ac:dyDescent="0.25">
      <c r="A5842">
        <v>5842</v>
      </c>
      <c r="B5842" t="str">
        <f t="shared" si="91"/>
        <v>ᛒ</v>
      </c>
    </row>
    <row r="5843" spans="1:2" x14ac:dyDescent="0.25">
      <c r="A5843">
        <v>5843</v>
      </c>
      <c r="B5843" t="str">
        <f t="shared" si="91"/>
        <v>ᛓ</v>
      </c>
    </row>
    <row r="5844" spans="1:2" x14ac:dyDescent="0.25">
      <c r="A5844">
        <v>5844</v>
      </c>
      <c r="B5844" t="str">
        <f t="shared" si="91"/>
        <v>ᛔ</v>
      </c>
    </row>
    <row r="5845" spans="1:2" x14ac:dyDescent="0.25">
      <c r="A5845">
        <v>5845</v>
      </c>
      <c r="B5845" t="str">
        <f t="shared" si="91"/>
        <v>ᛕ</v>
      </c>
    </row>
    <row r="5846" spans="1:2" x14ac:dyDescent="0.25">
      <c r="A5846">
        <v>5846</v>
      </c>
      <c r="B5846" t="str">
        <f t="shared" si="91"/>
        <v>ᛖ</v>
      </c>
    </row>
    <row r="5847" spans="1:2" x14ac:dyDescent="0.25">
      <c r="A5847">
        <v>5847</v>
      </c>
      <c r="B5847" t="str">
        <f t="shared" si="91"/>
        <v>ᛗ</v>
      </c>
    </row>
    <row r="5848" spans="1:2" x14ac:dyDescent="0.25">
      <c r="A5848">
        <v>5848</v>
      </c>
      <c r="B5848" t="str">
        <f t="shared" si="91"/>
        <v>ᛘ</v>
      </c>
    </row>
    <row r="5849" spans="1:2" x14ac:dyDescent="0.25">
      <c r="A5849">
        <v>5849</v>
      </c>
      <c r="B5849" t="str">
        <f t="shared" si="91"/>
        <v>ᛙ</v>
      </c>
    </row>
    <row r="5850" spans="1:2" x14ac:dyDescent="0.25">
      <c r="A5850">
        <v>5850</v>
      </c>
      <c r="B5850" t="str">
        <f t="shared" si="91"/>
        <v>ᛚ</v>
      </c>
    </row>
    <row r="5851" spans="1:2" x14ac:dyDescent="0.25">
      <c r="A5851">
        <v>5851</v>
      </c>
      <c r="B5851" t="str">
        <f t="shared" si="91"/>
        <v>ᛛ</v>
      </c>
    </row>
    <row r="5852" spans="1:2" x14ac:dyDescent="0.25">
      <c r="A5852">
        <v>5852</v>
      </c>
      <c r="B5852" t="str">
        <f t="shared" si="91"/>
        <v>ᛜ</v>
      </c>
    </row>
    <row r="5853" spans="1:2" x14ac:dyDescent="0.25">
      <c r="A5853">
        <v>5853</v>
      </c>
      <c r="B5853" t="str">
        <f t="shared" si="91"/>
        <v>ᛝ</v>
      </c>
    </row>
    <row r="5854" spans="1:2" x14ac:dyDescent="0.25">
      <c r="A5854">
        <v>5854</v>
      </c>
      <c r="B5854" t="str">
        <f t="shared" si="91"/>
        <v>ᛞ</v>
      </c>
    </row>
    <row r="5855" spans="1:2" x14ac:dyDescent="0.25">
      <c r="A5855">
        <v>5855</v>
      </c>
      <c r="B5855" t="str">
        <f t="shared" si="91"/>
        <v>ᛟ</v>
      </c>
    </row>
    <row r="5856" spans="1:2" x14ac:dyDescent="0.25">
      <c r="A5856">
        <v>5856</v>
      </c>
      <c r="B5856" t="str">
        <f t="shared" si="91"/>
        <v>ᛠ</v>
      </c>
    </row>
    <row r="5857" spans="1:2" x14ac:dyDescent="0.25">
      <c r="A5857">
        <v>5857</v>
      </c>
      <c r="B5857" t="str">
        <f t="shared" si="91"/>
        <v>ᛡ</v>
      </c>
    </row>
    <row r="5858" spans="1:2" x14ac:dyDescent="0.25">
      <c r="A5858">
        <v>5858</v>
      </c>
      <c r="B5858" t="str">
        <f t="shared" si="91"/>
        <v>ᛢ</v>
      </c>
    </row>
    <row r="5859" spans="1:2" x14ac:dyDescent="0.25">
      <c r="A5859">
        <v>5859</v>
      </c>
      <c r="B5859" t="str">
        <f t="shared" si="91"/>
        <v>ᛣ</v>
      </c>
    </row>
    <row r="5860" spans="1:2" x14ac:dyDescent="0.25">
      <c r="A5860">
        <v>5860</v>
      </c>
      <c r="B5860" t="str">
        <f t="shared" si="91"/>
        <v>ᛤ</v>
      </c>
    </row>
    <row r="5861" spans="1:2" x14ac:dyDescent="0.25">
      <c r="A5861">
        <v>5861</v>
      </c>
      <c r="B5861" t="str">
        <f t="shared" si="91"/>
        <v>ᛥ</v>
      </c>
    </row>
    <row r="5862" spans="1:2" x14ac:dyDescent="0.25">
      <c r="A5862">
        <v>5862</v>
      </c>
      <c r="B5862" t="str">
        <f t="shared" si="91"/>
        <v>ᛦ</v>
      </c>
    </row>
    <row r="5863" spans="1:2" x14ac:dyDescent="0.25">
      <c r="A5863">
        <v>5863</v>
      </c>
      <c r="B5863" t="str">
        <f t="shared" si="91"/>
        <v>ᛧ</v>
      </c>
    </row>
    <row r="5864" spans="1:2" x14ac:dyDescent="0.25">
      <c r="A5864">
        <v>5864</v>
      </c>
      <c r="B5864" t="str">
        <f t="shared" si="91"/>
        <v>ᛨ</v>
      </c>
    </row>
    <row r="5865" spans="1:2" x14ac:dyDescent="0.25">
      <c r="A5865">
        <v>5865</v>
      </c>
      <c r="B5865" t="str">
        <f t="shared" si="91"/>
        <v>ᛩ</v>
      </c>
    </row>
    <row r="5866" spans="1:2" x14ac:dyDescent="0.25">
      <c r="A5866">
        <v>5866</v>
      </c>
      <c r="B5866" t="str">
        <f t="shared" si="91"/>
        <v>ᛪ</v>
      </c>
    </row>
    <row r="5867" spans="1:2" x14ac:dyDescent="0.25">
      <c r="A5867">
        <v>5867</v>
      </c>
      <c r="B5867" t="str">
        <f t="shared" si="91"/>
        <v>᛫</v>
      </c>
    </row>
    <row r="5868" spans="1:2" x14ac:dyDescent="0.25">
      <c r="A5868">
        <v>5868</v>
      </c>
      <c r="B5868" t="str">
        <f t="shared" si="91"/>
        <v>᛬</v>
      </c>
    </row>
    <row r="5869" spans="1:2" x14ac:dyDescent="0.25">
      <c r="A5869">
        <v>5869</v>
      </c>
      <c r="B5869" t="str">
        <f t="shared" si="91"/>
        <v>᛭</v>
      </c>
    </row>
    <row r="5870" spans="1:2" x14ac:dyDescent="0.25">
      <c r="A5870">
        <v>5870</v>
      </c>
      <c r="B5870" t="str">
        <f t="shared" si="91"/>
        <v>ᛮ</v>
      </c>
    </row>
    <row r="5871" spans="1:2" x14ac:dyDescent="0.25">
      <c r="A5871">
        <v>5871</v>
      </c>
      <c r="B5871" t="str">
        <f t="shared" si="91"/>
        <v>ᛯ</v>
      </c>
    </row>
    <row r="5872" spans="1:2" x14ac:dyDescent="0.25">
      <c r="A5872">
        <v>5872</v>
      </c>
      <c r="B5872" t="str">
        <f t="shared" si="91"/>
        <v>ᛰ</v>
      </c>
    </row>
    <row r="5873" spans="1:2" x14ac:dyDescent="0.25">
      <c r="A5873">
        <v>5873</v>
      </c>
      <c r="B5873" t="str">
        <f t="shared" si="91"/>
        <v>ᛱ</v>
      </c>
    </row>
    <row r="5874" spans="1:2" x14ac:dyDescent="0.25">
      <c r="A5874">
        <v>5874</v>
      </c>
      <c r="B5874" t="str">
        <f t="shared" si="91"/>
        <v>ᛲ</v>
      </c>
    </row>
    <row r="5875" spans="1:2" x14ac:dyDescent="0.25">
      <c r="A5875">
        <v>5875</v>
      </c>
      <c r="B5875" t="str">
        <f t="shared" si="91"/>
        <v>ᛳ</v>
      </c>
    </row>
    <row r="5876" spans="1:2" x14ac:dyDescent="0.25">
      <c r="A5876">
        <v>5876</v>
      </c>
      <c r="B5876" t="str">
        <f t="shared" si="91"/>
        <v>ᛴ</v>
      </c>
    </row>
    <row r="5877" spans="1:2" x14ac:dyDescent="0.25">
      <c r="A5877">
        <v>5877</v>
      </c>
      <c r="B5877" t="str">
        <f t="shared" si="91"/>
        <v>ᛵ</v>
      </c>
    </row>
    <row r="5878" spans="1:2" x14ac:dyDescent="0.25">
      <c r="A5878">
        <v>5878</v>
      </c>
      <c r="B5878" t="str">
        <f t="shared" si="91"/>
        <v>ᛶ</v>
      </c>
    </row>
    <row r="5879" spans="1:2" x14ac:dyDescent="0.25">
      <c r="A5879">
        <v>5879</v>
      </c>
      <c r="B5879" t="str">
        <f t="shared" si="91"/>
        <v>ᛷ</v>
      </c>
    </row>
    <row r="5880" spans="1:2" x14ac:dyDescent="0.25">
      <c r="A5880">
        <v>5880</v>
      </c>
      <c r="B5880" t="str">
        <f t="shared" si="91"/>
        <v>ᛸ</v>
      </c>
    </row>
    <row r="5881" spans="1:2" x14ac:dyDescent="0.25">
      <c r="A5881">
        <v>5881</v>
      </c>
      <c r="B5881" t="str">
        <f t="shared" si="91"/>
        <v>᛹</v>
      </c>
    </row>
    <row r="5882" spans="1:2" x14ac:dyDescent="0.25">
      <c r="A5882">
        <v>5882</v>
      </c>
      <c r="B5882" t="str">
        <f t="shared" si="91"/>
        <v>᛺</v>
      </c>
    </row>
    <row r="5883" spans="1:2" x14ac:dyDescent="0.25">
      <c r="A5883">
        <v>5883</v>
      </c>
      <c r="B5883" t="str">
        <f t="shared" si="91"/>
        <v>᛻</v>
      </c>
    </row>
    <row r="5884" spans="1:2" x14ac:dyDescent="0.25">
      <c r="A5884">
        <v>5884</v>
      </c>
      <c r="B5884" t="str">
        <f t="shared" si="91"/>
        <v>᛼</v>
      </c>
    </row>
    <row r="5885" spans="1:2" x14ac:dyDescent="0.25">
      <c r="A5885">
        <v>5885</v>
      </c>
      <c r="B5885" t="str">
        <f t="shared" si="91"/>
        <v>᛽</v>
      </c>
    </row>
    <row r="5886" spans="1:2" x14ac:dyDescent="0.25">
      <c r="A5886">
        <v>5886</v>
      </c>
      <c r="B5886" t="str">
        <f t="shared" si="91"/>
        <v>᛾</v>
      </c>
    </row>
    <row r="5887" spans="1:2" x14ac:dyDescent="0.25">
      <c r="A5887">
        <v>5887</v>
      </c>
      <c r="B5887" t="str">
        <f t="shared" si="91"/>
        <v>᛿</v>
      </c>
    </row>
    <row r="5888" spans="1:2" x14ac:dyDescent="0.25">
      <c r="A5888">
        <v>5888</v>
      </c>
      <c r="B5888" t="str">
        <f t="shared" si="91"/>
        <v>ᜀ</v>
      </c>
    </row>
    <row r="5889" spans="1:2" x14ac:dyDescent="0.25">
      <c r="A5889">
        <v>5889</v>
      </c>
      <c r="B5889" t="str">
        <f t="shared" si="91"/>
        <v>ᜁ</v>
      </c>
    </row>
    <row r="5890" spans="1:2" x14ac:dyDescent="0.25">
      <c r="A5890">
        <v>5890</v>
      </c>
      <c r="B5890" t="str">
        <f t="shared" ref="B5890:B5953" si="92">_xlfn.UNICHAR(A5890)</f>
        <v>ᜂ</v>
      </c>
    </row>
    <row r="5891" spans="1:2" x14ac:dyDescent="0.25">
      <c r="A5891">
        <v>5891</v>
      </c>
      <c r="B5891" t="str">
        <f t="shared" si="92"/>
        <v>ᜃ</v>
      </c>
    </row>
    <row r="5892" spans="1:2" x14ac:dyDescent="0.25">
      <c r="A5892">
        <v>5892</v>
      </c>
      <c r="B5892" t="str">
        <f t="shared" si="92"/>
        <v>ᜄ</v>
      </c>
    </row>
    <row r="5893" spans="1:2" x14ac:dyDescent="0.25">
      <c r="A5893">
        <v>5893</v>
      </c>
      <c r="B5893" t="str">
        <f t="shared" si="92"/>
        <v>ᜅ</v>
      </c>
    </row>
    <row r="5894" spans="1:2" x14ac:dyDescent="0.25">
      <c r="A5894">
        <v>5894</v>
      </c>
      <c r="B5894" t="str">
        <f t="shared" si="92"/>
        <v>ᜆ</v>
      </c>
    </row>
    <row r="5895" spans="1:2" x14ac:dyDescent="0.25">
      <c r="A5895">
        <v>5895</v>
      </c>
      <c r="B5895" t="str">
        <f t="shared" si="92"/>
        <v>ᜇ</v>
      </c>
    </row>
    <row r="5896" spans="1:2" x14ac:dyDescent="0.25">
      <c r="A5896">
        <v>5896</v>
      </c>
      <c r="B5896" t="str">
        <f t="shared" si="92"/>
        <v>ᜈ</v>
      </c>
    </row>
    <row r="5897" spans="1:2" x14ac:dyDescent="0.25">
      <c r="A5897">
        <v>5897</v>
      </c>
      <c r="B5897" t="str">
        <f t="shared" si="92"/>
        <v>ᜉ</v>
      </c>
    </row>
    <row r="5898" spans="1:2" x14ac:dyDescent="0.25">
      <c r="A5898">
        <v>5898</v>
      </c>
      <c r="B5898" t="str">
        <f t="shared" si="92"/>
        <v>ᜊ</v>
      </c>
    </row>
    <row r="5899" spans="1:2" x14ac:dyDescent="0.25">
      <c r="A5899">
        <v>5899</v>
      </c>
      <c r="B5899" t="str">
        <f t="shared" si="92"/>
        <v>ᜋ</v>
      </c>
    </row>
    <row r="5900" spans="1:2" x14ac:dyDescent="0.25">
      <c r="A5900">
        <v>5900</v>
      </c>
      <c r="B5900" t="str">
        <f t="shared" si="92"/>
        <v>ᜌ</v>
      </c>
    </row>
    <row r="5901" spans="1:2" x14ac:dyDescent="0.25">
      <c r="A5901">
        <v>5901</v>
      </c>
      <c r="B5901" t="str">
        <f t="shared" si="92"/>
        <v>ᜍ</v>
      </c>
    </row>
    <row r="5902" spans="1:2" x14ac:dyDescent="0.25">
      <c r="A5902">
        <v>5902</v>
      </c>
      <c r="B5902" t="str">
        <f t="shared" si="92"/>
        <v>ᜎ</v>
      </c>
    </row>
    <row r="5903" spans="1:2" x14ac:dyDescent="0.25">
      <c r="A5903">
        <v>5903</v>
      </c>
      <c r="B5903" t="str">
        <f t="shared" si="92"/>
        <v>ᜏ</v>
      </c>
    </row>
    <row r="5904" spans="1:2" x14ac:dyDescent="0.25">
      <c r="A5904">
        <v>5904</v>
      </c>
      <c r="B5904" t="str">
        <f t="shared" si="92"/>
        <v>ᜐ</v>
      </c>
    </row>
    <row r="5905" spans="1:2" x14ac:dyDescent="0.25">
      <c r="A5905">
        <v>5905</v>
      </c>
      <c r="B5905" t="str">
        <f t="shared" si="92"/>
        <v>ᜑ</v>
      </c>
    </row>
    <row r="5906" spans="1:2" x14ac:dyDescent="0.25">
      <c r="A5906">
        <v>5906</v>
      </c>
      <c r="B5906" t="str">
        <f t="shared" si="92"/>
        <v>ᜒ</v>
      </c>
    </row>
    <row r="5907" spans="1:2" x14ac:dyDescent="0.25">
      <c r="A5907">
        <v>5907</v>
      </c>
      <c r="B5907" t="str">
        <f t="shared" si="92"/>
        <v>ᜓ</v>
      </c>
    </row>
    <row r="5908" spans="1:2" x14ac:dyDescent="0.25">
      <c r="A5908">
        <v>5908</v>
      </c>
      <c r="B5908" t="str">
        <f t="shared" si="92"/>
        <v>᜔</v>
      </c>
    </row>
    <row r="5909" spans="1:2" x14ac:dyDescent="0.25">
      <c r="A5909">
        <v>5909</v>
      </c>
      <c r="B5909" t="str">
        <f t="shared" si="92"/>
        <v>᜕</v>
      </c>
    </row>
    <row r="5910" spans="1:2" x14ac:dyDescent="0.25">
      <c r="A5910">
        <v>5910</v>
      </c>
      <c r="B5910" t="str">
        <f t="shared" si="92"/>
        <v>᜖</v>
      </c>
    </row>
    <row r="5911" spans="1:2" x14ac:dyDescent="0.25">
      <c r="A5911">
        <v>5911</v>
      </c>
      <c r="B5911" t="str">
        <f t="shared" si="92"/>
        <v>᜗</v>
      </c>
    </row>
    <row r="5912" spans="1:2" x14ac:dyDescent="0.25">
      <c r="A5912">
        <v>5912</v>
      </c>
      <c r="B5912" t="str">
        <f t="shared" si="92"/>
        <v>᜘</v>
      </c>
    </row>
    <row r="5913" spans="1:2" x14ac:dyDescent="0.25">
      <c r="A5913">
        <v>5913</v>
      </c>
      <c r="B5913" t="str">
        <f t="shared" si="92"/>
        <v>᜙</v>
      </c>
    </row>
    <row r="5914" spans="1:2" x14ac:dyDescent="0.25">
      <c r="A5914">
        <v>5914</v>
      </c>
      <c r="B5914" t="str">
        <f t="shared" si="92"/>
        <v>᜚</v>
      </c>
    </row>
    <row r="5915" spans="1:2" x14ac:dyDescent="0.25">
      <c r="A5915">
        <v>5915</v>
      </c>
      <c r="B5915" t="str">
        <f t="shared" si="92"/>
        <v>᜛</v>
      </c>
    </row>
    <row r="5916" spans="1:2" x14ac:dyDescent="0.25">
      <c r="A5916">
        <v>5916</v>
      </c>
      <c r="B5916" t="str">
        <f t="shared" si="92"/>
        <v>᜜</v>
      </c>
    </row>
    <row r="5917" spans="1:2" x14ac:dyDescent="0.25">
      <c r="A5917">
        <v>5917</v>
      </c>
      <c r="B5917" t="str">
        <f t="shared" si="92"/>
        <v>᜝</v>
      </c>
    </row>
    <row r="5918" spans="1:2" x14ac:dyDescent="0.25">
      <c r="A5918">
        <v>5918</v>
      </c>
      <c r="B5918" t="str">
        <f t="shared" si="92"/>
        <v>᜞</v>
      </c>
    </row>
    <row r="5919" spans="1:2" x14ac:dyDescent="0.25">
      <c r="A5919">
        <v>5919</v>
      </c>
      <c r="B5919" t="str">
        <f t="shared" si="92"/>
        <v>ᜟ</v>
      </c>
    </row>
    <row r="5920" spans="1:2" x14ac:dyDescent="0.25">
      <c r="A5920">
        <v>5920</v>
      </c>
      <c r="B5920" t="str">
        <f t="shared" si="92"/>
        <v>ᜠ</v>
      </c>
    </row>
    <row r="5921" spans="1:2" x14ac:dyDescent="0.25">
      <c r="A5921">
        <v>5921</v>
      </c>
      <c r="B5921" t="str">
        <f t="shared" si="92"/>
        <v>ᜡ</v>
      </c>
    </row>
    <row r="5922" spans="1:2" x14ac:dyDescent="0.25">
      <c r="A5922">
        <v>5922</v>
      </c>
      <c r="B5922" t="str">
        <f t="shared" si="92"/>
        <v>ᜢ</v>
      </c>
    </row>
    <row r="5923" spans="1:2" x14ac:dyDescent="0.25">
      <c r="A5923">
        <v>5923</v>
      </c>
      <c r="B5923" t="str">
        <f t="shared" si="92"/>
        <v>ᜣ</v>
      </c>
    </row>
    <row r="5924" spans="1:2" x14ac:dyDescent="0.25">
      <c r="A5924">
        <v>5924</v>
      </c>
      <c r="B5924" t="str">
        <f t="shared" si="92"/>
        <v>ᜤ</v>
      </c>
    </row>
    <row r="5925" spans="1:2" x14ac:dyDescent="0.25">
      <c r="A5925">
        <v>5925</v>
      </c>
      <c r="B5925" t="str">
        <f t="shared" si="92"/>
        <v>ᜥ</v>
      </c>
    </row>
    <row r="5926" spans="1:2" x14ac:dyDescent="0.25">
      <c r="A5926">
        <v>5926</v>
      </c>
      <c r="B5926" t="str">
        <f t="shared" si="92"/>
        <v>ᜦ</v>
      </c>
    </row>
    <row r="5927" spans="1:2" x14ac:dyDescent="0.25">
      <c r="A5927">
        <v>5927</v>
      </c>
      <c r="B5927" t="str">
        <f t="shared" si="92"/>
        <v>ᜧ</v>
      </c>
    </row>
    <row r="5928" spans="1:2" x14ac:dyDescent="0.25">
      <c r="A5928">
        <v>5928</v>
      </c>
      <c r="B5928" t="str">
        <f t="shared" si="92"/>
        <v>ᜨ</v>
      </c>
    </row>
    <row r="5929" spans="1:2" x14ac:dyDescent="0.25">
      <c r="A5929">
        <v>5929</v>
      </c>
      <c r="B5929" t="str">
        <f t="shared" si="92"/>
        <v>ᜩ</v>
      </c>
    </row>
    <row r="5930" spans="1:2" x14ac:dyDescent="0.25">
      <c r="A5930">
        <v>5930</v>
      </c>
      <c r="B5930" t="str">
        <f t="shared" si="92"/>
        <v>ᜪ</v>
      </c>
    </row>
    <row r="5931" spans="1:2" x14ac:dyDescent="0.25">
      <c r="A5931">
        <v>5931</v>
      </c>
      <c r="B5931" t="str">
        <f t="shared" si="92"/>
        <v>ᜫ</v>
      </c>
    </row>
    <row r="5932" spans="1:2" x14ac:dyDescent="0.25">
      <c r="A5932">
        <v>5932</v>
      </c>
      <c r="B5932" t="str">
        <f t="shared" si="92"/>
        <v>ᜬ</v>
      </c>
    </row>
    <row r="5933" spans="1:2" x14ac:dyDescent="0.25">
      <c r="A5933">
        <v>5933</v>
      </c>
      <c r="B5933" t="str">
        <f t="shared" si="92"/>
        <v>ᜭ</v>
      </c>
    </row>
    <row r="5934" spans="1:2" x14ac:dyDescent="0.25">
      <c r="A5934">
        <v>5934</v>
      </c>
      <c r="B5934" t="str">
        <f t="shared" si="92"/>
        <v>ᜮ</v>
      </c>
    </row>
    <row r="5935" spans="1:2" x14ac:dyDescent="0.25">
      <c r="A5935">
        <v>5935</v>
      </c>
      <c r="B5935" t="str">
        <f t="shared" si="92"/>
        <v>ᜯ</v>
      </c>
    </row>
    <row r="5936" spans="1:2" x14ac:dyDescent="0.25">
      <c r="A5936">
        <v>5936</v>
      </c>
      <c r="B5936" t="str">
        <f t="shared" si="92"/>
        <v>ᜰ</v>
      </c>
    </row>
    <row r="5937" spans="1:2" x14ac:dyDescent="0.25">
      <c r="A5937">
        <v>5937</v>
      </c>
      <c r="B5937" t="str">
        <f t="shared" si="92"/>
        <v>ᜱ</v>
      </c>
    </row>
    <row r="5938" spans="1:2" x14ac:dyDescent="0.25">
      <c r="A5938">
        <v>5938</v>
      </c>
      <c r="B5938" t="str">
        <f t="shared" si="92"/>
        <v>ᜲ</v>
      </c>
    </row>
    <row r="5939" spans="1:2" x14ac:dyDescent="0.25">
      <c r="A5939">
        <v>5939</v>
      </c>
      <c r="B5939" t="str">
        <f t="shared" si="92"/>
        <v>ᜳ</v>
      </c>
    </row>
    <row r="5940" spans="1:2" x14ac:dyDescent="0.25">
      <c r="A5940">
        <v>5940</v>
      </c>
      <c r="B5940" t="str">
        <f t="shared" si="92"/>
        <v>᜴</v>
      </c>
    </row>
    <row r="5941" spans="1:2" x14ac:dyDescent="0.25">
      <c r="A5941">
        <v>5941</v>
      </c>
      <c r="B5941" t="str">
        <f t="shared" si="92"/>
        <v>᜵</v>
      </c>
    </row>
    <row r="5942" spans="1:2" x14ac:dyDescent="0.25">
      <c r="A5942">
        <v>5942</v>
      </c>
      <c r="B5942" t="str">
        <f t="shared" si="92"/>
        <v>᜶</v>
      </c>
    </row>
    <row r="5943" spans="1:2" x14ac:dyDescent="0.25">
      <c r="A5943">
        <v>5943</v>
      </c>
      <c r="B5943" t="str">
        <f t="shared" si="92"/>
        <v>᜷</v>
      </c>
    </row>
    <row r="5944" spans="1:2" x14ac:dyDescent="0.25">
      <c r="A5944">
        <v>5944</v>
      </c>
      <c r="B5944" t="str">
        <f t="shared" si="92"/>
        <v>᜸</v>
      </c>
    </row>
    <row r="5945" spans="1:2" x14ac:dyDescent="0.25">
      <c r="A5945">
        <v>5945</v>
      </c>
      <c r="B5945" t="str">
        <f t="shared" si="92"/>
        <v>᜹</v>
      </c>
    </row>
    <row r="5946" spans="1:2" x14ac:dyDescent="0.25">
      <c r="A5946">
        <v>5946</v>
      </c>
      <c r="B5946" t="str">
        <f t="shared" si="92"/>
        <v>᜺</v>
      </c>
    </row>
    <row r="5947" spans="1:2" x14ac:dyDescent="0.25">
      <c r="A5947">
        <v>5947</v>
      </c>
      <c r="B5947" t="str">
        <f t="shared" si="92"/>
        <v>᜻</v>
      </c>
    </row>
    <row r="5948" spans="1:2" x14ac:dyDescent="0.25">
      <c r="A5948">
        <v>5948</v>
      </c>
      <c r="B5948" t="str">
        <f t="shared" si="92"/>
        <v>᜼</v>
      </c>
    </row>
    <row r="5949" spans="1:2" x14ac:dyDescent="0.25">
      <c r="A5949">
        <v>5949</v>
      </c>
      <c r="B5949" t="str">
        <f t="shared" si="92"/>
        <v>᜽</v>
      </c>
    </row>
    <row r="5950" spans="1:2" x14ac:dyDescent="0.25">
      <c r="A5950">
        <v>5950</v>
      </c>
      <c r="B5950" t="str">
        <f t="shared" si="92"/>
        <v>᜾</v>
      </c>
    </row>
    <row r="5951" spans="1:2" x14ac:dyDescent="0.25">
      <c r="A5951">
        <v>5951</v>
      </c>
      <c r="B5951" t="str">
        <f t="shared" si="92"/>
        <v>᜿</v>
      </c>
    </row>
    <row r="5952" spans="1:2" x14ac:dyDescent="0.25">
      <c r="A5952">
        <v>5952</v>
      </c>
      <c r="B5952" t="str">
        <f t="shared" si="92"/>
        <v>ᝀ</v>
      </c>
    </row>
    <row r="5953" spans="1:2" x14ac:dyDescent="0.25">
      <c r="A5953">
        <v>5953</v>
      </c>
      <c r="B5953" t="str">
        <f t="shared" si="92"/>
        <v>ᝁ</v>
      </c>
    </row>
    <row r="5954" spans="1:2" x14ac:dyDescent="0.25">
      <c r="A5954">
        <v>5954</v>
      </c>
      <c r="B5954" t="str">
        <f t="shared" ref="B5954:B6017" si="93">_xlfn.UNICHAR(A5954)</f>
        <v>ᝂ</v>
      </c>
    </row>
    <row r="5955" spans="1:2" x14ac:dyDescent="0.25">
      <c r="A5955">
        <v>5955</v>
      </c>
      <c r="B5955" t="str">
        <f t="shared" si="93"/>
        <v>ᝃ</v>
      </c>
    </row>
    <row r="5956" spans="1:2" x14ac:dyDescent="0.25">
      <c r="A5956">
        <v>5956</v>
      </c>
      <c r="B5956" t="str">
        <f t="shared" si="93"/>
        <v>ᝄ</v>
      </c>
    </row>
    <row r="5957" spans="1:2" x14ac:dyDescent="0.25">
      <c r="A5957">
        <v>5957</v>
      </c>
      <c r="B5957" t="str">
        <f t="shared" si="93"/>
        <v>ᝅ</v>
      </c>
    </row>
    <row r="5958" spans="1:2" x14ac:dyDescent="0.25">
      <c r="A5958">
        <v>5958</v>
      </c>
      <c r="B5958" t="str">
        <f t="shared" si="93"/>
        <v>ᝆ</v>
      </c>
    </row>
    <row r="5959" spans="1:2" x14ac:dyDescent="0.25">
      <c r="A5959">
        <v>5959</v>
      </c>
      <c r="B5959" t="str">
        <f t="shared" si="93"/>
        <v>ᝇ</v>
      </c>
    </row>
    <row r="5960" spans="1:2" x14ac:dyDescent="0.25">
      <c r="A5960">
        <v>5960</v>
      </c>
      <c r="B5960" t="str">
        <f t="shared" si="93"/>
        <v>ᝈ</v>
      </c>
    </row>
    <row r="5961" spans="1:2" x14ac:dyDescent="0.25">
      <c r="A5961">
        <v>5961</v>
      </c>
      <c r="B5961" t="str">
        <f t="shared" si="93"/>
        <v>ᝉ</v>
      </c>
    </row>
    <row r="5962" spans="1:2" x14ac:dyDescent="0.25">
      <c r="A5962">
        <v>5962</v>
      </c>
      <c r="B5962" t="str">
        <f t="shared" si="93"/>
        <v>ᝊ</v>
      </c>
    </row>
    <row r="5963" spans="1:2" x14ac:dyDescent="0.25">
      <c r="A5963">
        <v>5963</v>
      </c>
      <c r="B5963" t="str">
        <f t="shared" si="93"/>
        <v>ᝋ</v>
      </c>
    </row>
    <row r="5964" spans="1:2" x14ac:dyDescent="0.25">
      <c r="A5964">
        <v>5964</v>
      </c>
      <c r="B5964" t="str">
        <f t="shared" si="93"/>
        <v>ᝌ</v>
      </c>
    </row>
    <row r="5965" spans="1:2" x14ac:dyDescent="0.25">
      <c r="A5965">
        <v>5965</v>
      </c>
      <c r="B5965" t="str">
        <f t="shared" si="93"/>
        <v>ᝍ</v>
      </c>
    </row>
    <row r="5966" spans="1:2" x14ac:dyDescent="0.25">
      <c r="A5966">
        <v>5966</v>
      </c>
      <c r="B5966" t="str">
        <f t="shared" si="93"/>
        <v>ᝎ</v>
      </c>
    </row>
    <row r="5967" spans="1:2" x14ac:dyDescent="0.25">
      <c r="A5967">
        <v>5967</v>
      </c>
      <c r="B5967" t="str">
        <f t="shared" si="93"/>
        <v>ᝏ</v>
      </c>
    </row>
    <row r="5968" spans="1:2" x14ac:dyDescent="0.25">
      <c r="A5968">
        <v>5968</v>
      </c>
      <c r="B5968" t="str">
        <f t="shared" si="93"/>
        <v>ᝐ</v>
      </c>
    </row>
    <row r="5969" spans="1:2" x14ac:dyDescent="0.25">
      <c r="A5969">
        <v>5969</v>
      </c>
      <c r="B5969" t="str">
        <f t="shared" si="93"/>
        <v>ᝑ</v>
      </c>
    </row>
    <row r="5970" spans="1:2" x14ac:dyDescent="0.25">
      <c r="A5970">
        <v>5970</v>
      </c>
      <c r="B5970" t="str">
        <f t="shared" si="93"/>
        <v>ᝒ</v>
      </c>
    </row>
    <row r="5971" spans="1:2" x14ac:dyDescent="0.25">
      <c r="A5971">
        <v>5971</v>
      </c>
      <c r="B5971" t="str">
        <f t="shared" si="93"/>
        <v>ᝓ</v>
      </c>
    </row>
    <row r="5972" spans="1:2" x14ac:dyDescent="0.25">
      <c r="A5972">
        <v>5972</v>
      </c>
      <c r="B5972" t="str">
        <f t="shared" si="93"/>
        <v>᝔</v>
      </c>
    </row>
    <row r="5973" spans="1:2" x14ac:dyDescent="0.25">
      <c r="A5973">
        <v>5973</v>
      </c>
      <c r="B5973" t="str">
        <f t="shared" si="93"/>
        <v>᝕</v>
      </c>
    </row>
    <row r="5974" spans="1:2" x14ac:dyDescent="0.25">
      <c r="A5974">
        <v>5974</v>
      </c>
      <c r="B5974" t="str">
        <f t="shared" si="93"/>
        <v>᝖</v>
      </c>
    </row>
    <row r="5975" spans="1:2" x14ac:dyDescent="0.25">
      <c r="A5975">
        <v>5975</v>
      </c>
      <c r="B5975" t="str">
        <f t="shared" si="93"/>
        <v>᝗</v>
      </c>
    </row>
    <row r="5976" spans="1:2" x14ac:dyDescent="0.25">
      <c r="A5976">
        <v>5976</v>
      </c>
      <c r="B5976" t="str">
        <f t="shared" si="93"/>
        <v>᝘</v>
      </c>
    </row>
    <row r="5977" spans="1:2" x14ac:dyDescent="0.25">
      <c r="A5977">
        <v>5977</v>
      </c>
      <c r="B5977" t="str">
        <f t="shared" si="93"/>
        <v>᝙</v>
      </c>
    </row>
    <row r="5978" spans="1:2" x14ac:dyDescent="0.25">
      <c r="A5978">
        <v>5978</v>
      </c>
      <c r="B5978" t="str">
        <f t="shared" si="93"/>
        <v>᝚</v>
      </c>
    </row>
    <row r="5979" spans="1:2" x14ac:dyDescent="0.25">
      <c r="A5979">
        <v>5979</v>
      </c>
      <c r="B5979" t="str">
        <f t="shared" si="93"/>
        <v>᝛</v>
      </c>
    </row>
    <row r="5980" spans="1:2" x14ac:dyDescent="0.25">
      <c r="A5980">
        <v>5980</v>
      </c>
      <c r="B5980" t="str">
        <f t="shared" si="93"/>
        <v>᝜</v>
      </c>
    </row>
    <row r="5981" spans="1:2" x14ac:dyDescent="0.25">
      <c r="A5981">
        <v>5981</v>
      </c>
      <c r="B5981" t="str">
        <f t="shared" si="93"/>
        <v>᝝</v>
      </c>
    </row>
    <row r="5982" spans="1:2" x14ac:dyDescent="0.25">
      <c r="A5982">
        <v>5982</v>
      </c>
      <c r="B5982" t="str">
        <f t="shared" si="93"/>
        <v>᝞</v>
      </c>
    </row>
    <row r="5983" spans="1:2" x14ac:dyDescent="0.25">
      <c r="A5983">
        <v>5983</v>
      </c>
      <c r="B5983" t="str">
        <f t="shared" si="93"/>
        <v>᝟</v>
      </c>
    </row>
    <row r="5984" spans="1:2" x14ac:dyDescent="0.25">
      <c r="A5984">
        <v>5984</v>
      </c>
      <c r="B5984" t="str">
        <f t="shared" si="93"/>
        <v>ᝠ</v>
      </c>
    </row>
    <row r="5985" spans="1:2" x14ac:dyDescent="0.25">
      <c r="A5985">
        <v>5985</v>
      </c>
      <c r="B5985" t="str">
        <f t="shared" si="93"/>
        <v>ᝡ</v>
      </c>
    </row>
    <row r="5986" spans="1:2" x14ac:dyDescent="0.25">
      <c r="A5986">
        <v>5986</v>
      </c>
      <c r="B5986" t="str">
        <f t="shared" si="93"/>
        <v>ᝢ</v>
      </c>
    </row>
    <row r="5987" spans="1:2" x14ac:dyDescent="0.25">
      <c r="A5987">
        <v>5987</v>
      </c>
      <c r="B5987" t="str">
        <f t="shared" si="93"/>
        <v>ᝣ</v>
      </c>
    </row>
    <row r="5988" spans="1:2" x14ac:dyDescent="0.25">
      <c r="A5988">
        <v>5988</v>
      </c>
      <c r="B5988" t="str">
        <f t="shared" si="93"/>
        <v>ᝤ</v>
      </c>
    </row>
    <row r="5989" spans="1:2" x14ac:dyDescent="0.25">
      <c r="A5989">
        <v>5989</v>
      </c>
      <c r="B5989" t="str">
        <f t="shared" si="93"/>
        <v>ᝥ</v>
      </c>
    </row>
    <row r="5990" spans="1:2" x14ac:dyDescent="0.25">
      <c r="A5990">
        <v>5990</v>
      </c>
      <c r="B5990" t="str">
        <f t="shared" si="93"/>
        <v>ᝦ</v>
      </c>
    </row>
    <row r="5991" spans="1:2" x14ac:dyDescent="0.25">
      <c r="A5991">
        <v>5991</v>
      </c>
      <c r="B5991" t="str">
        <f t="shared" si="93"/>
        <v>ᝧ</v>
      </c>
    </row>
    <row r="5992" spans="1:2" x14ac:dyDescent="0.25">
      <c r="A5992">
        <v>5992</v>
      </c>
      <c r="B5992" t="str">
        <f t="shared" si="93"/>
        <v>ᝨ</v>
      </c>
    </row>
    <row r="5993" spans="1:2" x14ac:dyDescent="0.25">
      <c r="A5993">
        <v>5993</v>
      </c>
      <c r="B5993" t="str">
        <f t="shared" si="93"/>
        <v>ᝩ</v>
      </c>
    </row>
    <row r="5994" spans="1:2" x14ac:dyDescent="0.25">
      <c r="A5994">
        <v>5994</v>
      </c>
      <c r="B5994" t="str">
        <f t="shared" si="93"/>
        <v>ᝪ</v>
      </c>
    </row>
    <row r="5995" spans="1:2" x14ac:dyDescent="0.25">
      <c r="A5995">
        <v>5995</v>
      </c>
      <c r="B5995" t="str">
        <f t="shared" si="93"/>
        <v>ᝫ</v>
      </c>
    </row>
    <row r="5996" spans="1:2" x14ac:dyDescent="0.25">
      <c r="A5996">
        <v>5996</v>
      </c>
      <c r="B5996" t="str">
        <f t="shared" si="93"/>
        <v>ᝬ</v>
      </c>
    </row>
    <row r="5997" spans="1:2" x14ac:dyDescent="0.25">
      <c r="A5997">
        <v>5997</v>
      </c>
      <c r="B5997" t="str">
        <f t="shared" si="93"/>
        <v>᝭</v>
      </c>
    </row>
    <row r="5998" spans="1:2" x14ac:dyDescent="0.25">
      <c r="A5998">
        <v>5998</v>
      </c>
      <c r="B5998" t="str">
        <f t="shared" si="93"/>
        <v>ᝮ</v>
      </c>
    </row>
    <row r="5999" spans="1:2" x14ac:dyDescent="0.25">
      <c r="A5999">
        <v>5999</v>
      </c>
      <c r="B5999" t="str">
        <f t="shared" si="93"/>
        <v>ᝯ</v>
      </c>
    </row>
    <row r="6000" spans="1:2" x14ac:dyDescent="0.25">
      <c r="A6000">
        <v>6000</v>
      </c>
      <c r="B6000" t="str">
        <f t="shared" si="93"/>
        <v>ᝰ</v>
      </c>
    </row>
    <row r="6001" spans="1:2" x14ac:dyDescent="0.25">
      <c r="A6001">
        <v>6001</v>
      </c>
      <c r="B6001" t="str">
        <f t="shared" si="93"/>
        <v>᝱</v>
      </c>
    </row>
    <row r="6002" spans="1:2" x14ac:dyDescent="0.25">
      <c r="A6002">
        <v>6002</v>
      </c>
      <c r="B6002" t="str">
        <f t="shared" si="93"/>
        <v>ᝲ</v>
      </c>
    </row>
    <row r="6003" spans="1:2" x14ac:dyDescent="0.25">
      <c r="A6003">
        <v>6003</v>
      </c>
      <c r="B6003" t="str">
        <f t="shared" si="93"/>
        <v>ᝳ</v>
      </c>
    </row>
    <row r="6004" spans="1:2" x14ac:dyDescent="0.25">
      <c r="A6004">
        <v>6004</v>
      </c>
      <c r="B6004" t="str">
        <f t="shared" si="93"/>
        <v>᝴</v>
      </c>
    </row>
    <row r="6005" spans="1:2" x14ac:dyDescent="0.25">
      <c r="A6005">
        <v>6005</v>
      </c>
      <c r="B6005" t="str">
        <f t="shared" si="93"/>
        <v>᝵</v>
      </c>
    </row>
    <row r="6006" spans="1:2" x14ac:dyDescent="0.25">
      <c r="A6006">
        <v>6006</v>
      </c>
      <c r="B6006" t="str">
        <f t="shared" si="93"/>
        <v>᝶</v>
      </c>
    </row>
    <row r="6007" spans="1:2" x14ac:dyDescent="0.25">
      <c r="A6007">
        <v>6007</v>
      </c>
      <c r="B6007" t="str">
        <f t="shared" si="93"/>
        <v>᝷</v>
      </c>
    </row>
    <row r="6008" spans="1:2" x14ac:dyDescent="0.25">
      <c r="A6008">
        <v>6008</v>
      </c>
      <c r="B6008" t="str">
        <f t="shared" si="93"/>
        <v>᝸</v>
      </c>
    </row>
    <row r="6009" spans="1:2" x14ac:dyDescent="0.25">
      <c r="A6009">
        <v>6009</v>
      </c>
      <c r="B6009" t="str">
        <f t="shared" si="93"/>
        <v>᝹</v>
      </c>
    </row>
    <row r="6010" spans="1:2" x14ac:dyDescent="0.25">
      <c r="A6010">
        <v>6010</v>
      </c>
      <c r="B6010" t="str">
        <f t="shared" si="93"/>
        <v>᝺</v>
      </c>
    </row>
    <row r="6011" spans="1:2" x14ac:dyDescent="0.25">
      <c r="A6011">
        <v>6011</v>
      </c>
      <c r="B6011" t="str">
        <f t="shared" si="93"/>
        <v>᝻</v>
      </c>
    </row>
    <row r="6012" spans="1:2" x14ac:dyDescent="0.25">
      <c r="A6012">
        <v>6012</v>
      </c>
      <c r="B6012" t="str">
        <f t="shared" si="93"/>
        <v>᝼</v>
      </c>
    </row>
    <row r="6013" spans="1:2" x14ac:dyDescent="0.25">
      <c r="A6013">
        <v>6013</v>
      </c>
      <c r="B6013" t="str">
        <f t="shared" si="93"/>
        <v>᝽</v>
      </c>
    </row>
    <row r="6014" spans="1:2" x14ac:dyDescent="0.25">
      <c r="A6014">
        <v>6014</v>
      </c>
      <c r="B6014" t="str">
        <f t="shared" si="93"/>
        <v>᝾</v>
      </c>
    </row>
    <row r="6015" spans="1:2" x14ac:dyDescent="0.25">
      <c r="A6015">
        <v>6015</v>
      </c>
      <c r="B6015" t="str">
        <f t="shared" si="93"/>
        <v>᝿</v>
      </c>
    </row>
    <row r="6016" spans="1:2" x14ac:dyDescent="0.25">
      <c r="A6016">
        <v>6016</v>
      </c>
      <c r="B6016" t="str">
        <f t="shared" si="93"/>
        <v>ក</v>
      </c>
    </row>
    <row r="6017" spans="1:2" x14ac:dyDescent="0.25">
      <c r="A6017">
        <v>6017</v>
      </c>
      <c r="B6017" t="str">
        <f t="shared" si="93"/>
        <v>ខ</v>
      </c>
    </row>
    <row r="6018" spans="1:2" x14ac:dyDescent="0.25">
      <c r="A6018">
        <v>6018</v>
      </c>
      <c r="B6018" t="str">
        <f t="shared" ref="B6018:B6081" si="94">_xlfn.UNICHAR(A6018)</f>
        <v>គ</v>
      </c>
    </row>
    <row r="6019" spans="1:2" x14ac:dyDescent="0.25">
      <c r="A6019">
        <v>6019</v>
      </c>
      <c r="B6019" t="str">
        <f t="shared" si="94"/>
        <v>ឃ</v>
      </c>
    </row>
    <row r="6020" spans="1:2" x14ac:dyDescent="0.25">
      <c r="A6020">
        <v>6020</v>
      </c>
      <c r="B6020" t="str">
        <f t="shared" si="94"/>
        <v>ង</v>
      </c>
    </row>
    <row r="6021" spans="1:2" x14ac:dyDescent="0.25">
      <c r="A6021">
        <v>6021</v>
      </c>
      <c r="B6021" t="str">
        <f t="shared" si="94"/>
        <v>ច</v>
      </c>
    </row>
    <row r="6022" spans="1:2" x14ac:dyDescent="0.25">
      <c r="A6022">
        <v>6022</v>
      </c>
      <c r="B6022" t="str">
        <f t="shared" si="94"/>
        <v>ឆ</v>
      </c>
    </row>
    <row r="6023" spans="1:2" x14ac:dyDescent="0.25">
      <c r="A6023">
        <v>6023</v>
      </c>
      <c r="B6023" t="str">
        <f t="shared" si="94"/>
        <v>ជ</v>
      </c>
    </row>
    <row r="6024" spans="1:2" x14ac:dyDescent="0.25">
      <c r="A6024">
        <v>6024</v>
      </c>
      <c r="B6024" t="str">
        <f t="shared" si="94"/>
        <v>ឈ</v>
      </c>
    </row>
    <row r="6025" spans="1:2" x14ac:dyDescent="0.25">
      <c r="A6025">
        <v>6025</v>
      </c>
      <c r="B6025" t="str">
        <f t="shared" si="94"/>
        <v>ញ</v>
      </c>
    </row>
    <row r="6026" spans="1:2" x14ac:dyDescent="0.25">
      <c r="A6026">
        <v>6026</v>
      </c>
      <c r="B6026" t="str">
        <f t="shared" si="94"/>
        <v>ដ</v>
      </c>
    </row>
    <row r="6027" spans="1:2" x14ac:dyDescent="0.25">
      <c r="A6027">
        <v>6027</v>
      </c>
      <c r="B6027" t="str">
        <f t="shared" si="94"/>
        <v>ឋ</v>
      </c>
    </row>
    <row r="6028" spans="1:2" x14ac:dyDescent="0.25">
      <c r="A6028">
        <v>6028</v>
      </c>
      <c r="B6028" t="str">
        <f t="shared" si="94"/>
        <v>ឌ</v>
      </c>
    </row>
    <row r="6029" spans="1:2" x14ac:dyDescent="0.25">
      <c r="A6029">
        <v>6029</v>
      </c>
      <c r="B6029" t="str">
        <f t="shared" si="94"/>
        <v>ឍ</v>
      </c>
    </row>
    <row r="6030" spans="1:2" x14ac:dyDescent="0.25">
      <c r="A6030">
        <v>6030</v>
      </c>
      <c r="B6030" t="str">
        <f t="shared" si="94"/>
        <v>ណ</v>
      </c>
    </row>
    <row r="6031" spans="1:2" x14ac:dyDescent="0.25">
      <c r="A6031">
        <v>6031</v>
      </c>
      <c r="B6031" t="str">
        <f t="shared" si="94"/>
        <v>ត</v>
      </c>
    </row>
    <row r="6032" spans="1:2" x14ac:dyDescent="0.25">
      <c r="A6032">
        <v>6032</v>
      </c>
      <c r="B6032" t="str">
        <f t="shared" si="94"/>
        <v>ថ</v>
      </c>
    </row>
    <row r="6033" spans="1:2" x14ac:dyDescent="0.25">
      <c r="A6033">
        <v>6033</v>
      </c>
      <c r="B6033" t="str">
        <f t="shared" si="94"/>
        <v>ទ</v>
      </c>
    </row>
    <row r="6034" spans="1:2" x14ac:dyDescent="0.25">
      <c r="A6034">
        <v>6034</v>
      </c>
      <c r="B6034" t="str">
        <f t="shared" si="94"/>
        <v>ធ</v>
      </c>
    </row>
    <row r="6035" spans="1:2" x14ac:dyDescent="0.25">
      <c r="A6035">
        <v>6035</v>
      </c>
      <c r="B6035" t="str">
        <f t="shared" si="94"/>
        <v>ន</v>
      </c>
    </row>
    <row r="6036" spans="1:2" x14ac:dyDescent="0.25">
      <c r="A6036">
        <v>6036</v>
      </c>
      <c r="B6036" t="str">
        <f t="shared" si="94"/>
        <v>ប</v>
      </c>
    </row>
    <row r="6037" spans="1:2" x14ac:dyDescent="0.25">
      <c r="A6037">
        <v>6037</v>
      </c>
      <c r="B6037" t="str">
        <f t="shared" si="94"/>
        <v>ផ</v>
      </c>
    </row>
    <row r="6038" spans="1:2" x14ac:dyDescent="0.25">
      <c r="A6038">
        <v>6038</v>
      </c>
      <c r="B6038" t="str">
        <f t="shared" si="94"/>
        <v>ព</v>
      </c>
    </row>
    <row r="6039" spans="1:2" x14ac:dyDescent="0.25">
      <c r="A6039">
        <v>6039</v>
      </c>
      <c r="B6039" t="str">
        <f t="shared" si="94"/>
        <v>ភ</v>
      </c>
    </row>
    <row r="6040" spans="1:2" x14ac:dyDescent="0.25">
      <c r="A6040">
        <v>6040</v>
      </c>
      <c r="B6040" t="str">
        <f t="shared" si="94"/>
        <v>ម</v>
      </c>
    </row>
    <row r="6041" spans="1:2" x14ac:dyDescent="0.25">
      <c r="A6041">
        <v>6041</v>
      </c>
      <c r="B6041" t="str">
        <f t="shared" si="94"/>
        <v>យ</v>
      </c>
    </row>
    <row r="6042" spans="1:2" x14ac:dyDescent="0.25">
      <c r="A6042">
        <v>6042</v>
      </c>
      <c r="B6042" t="str">
        <f t="shared" si="94"/>
        <v>រ</v>
      </c>
    </row>
    <row r="6043" spans="1:2" x14ac:dyDescent="0.25">
      <c r="A6043">
        <v>6043</v>
      </c>
      <c r="B6043" t="str">
        <f t="shared" si="94"/>
        <v>ល</v>
      </c>
    </row>
    <row r="6044" spans="1:2" x14ac:dyDescent="0.25">
      <c r="A6044">
        <v>6044</v>
      </c>
      <c r="B6044" t="str">
        <f t="shared" si="94"/>
        <v>វ</v>
      </c>
    </row>
    <row r="6045" spans="1:2" x14ac:dyDescent="0.25">
      <c r="A6045">
        <v>6045</v>
      </c>
      <c r="B6045" t="str">
        <f t="shared" si="94"/>
        <v>ឝ</v>
      </c>
    </row>
    <row r="6046" spans="1:2" x14ac:dyDescent="0.25">
      <c r="A6046">
        <v>6046</v>
      </c>
      <c r="B6046" t="str">
        <f t="shared" si="94"/>
        <v>ឞ</v>
      </c>
    </row>
    <row r="6047" spans="1:2" x14ac:dyDescent="0.25">
      <c r="A6047">
        <v>6047</v>
      </c>
      <c r="B6047" t="str">
        <f t="shared" si="94"/>
        <v>ស</v>
      </c>
    </row>
    <row r="6048" spans="1:2" x14ac:dyDescent="0.25">
      <c r="A6048">
        <v>6048</v>
      </c>
      <c r="B6048" t="str">
        <f t="shared" si="94"/>
        <v>ហ</v>
      </c>
    </row>
    <row r="6049" spans="1:2" x14ac:dyDescent="0.25">
      <c r="A6049">
        <v>6049</v>
      </c>
      <c r="B6049" t="str">
        <f t="shared" si="94"/>
        <v>ឡ</v>
      </c>
    </row>
    <row r="6050" spans="1:2" x14ac:dyDescent="0.25">
      <c r="A6050">
        <v>6050</v>
      </c>
      <c r="B6050" t="str">
        <f t="shared" si="94"/>
        <v>អ</v>
      </c>
    </row>
    <row r="6051" spans="1:2" x14ac:dyDescent="0.25">
      <c r="A6051">
        <v>6051</v>
      </c>
      <c r="B6051" t="str">
        <f t="shared" si="94"/>
        <v>ឣ</v>
      </c>
    </row>
    <row r="6052" spans="1:2" x14ac:dyDescent="0.25">
      <c r="A6052">
        <v>6052</v>
      </c>
      <c r="B6052" t="str">
        <f t="shared" si="94"/>
        <v>ឤ</v>
      </c>
    </row>
    <row r="6053" spans="1:2" x14ac:dyDescent="0.25">
      <c r="A6053">
        <v>6053</v>
      </c>
      <c r="B6053" t="str">
        <f t="shared" si="94"/>
        <v>ឥ</v>
      </c>
    </row>
    <row r="6054" spans="1:2" x14ac:dyDescent="0.25">
      <c r="A6054">
        <v>6054</v>
      </c>
      <c r="B6054" t="str">
        <f t="shared" si="94"/>
        <v>ឦ</v>
      </c>
    </row>
    <row r="6055" spans="1:2" x14ac:dyDescent="0.25">
      <c r="A6055">
        <v>6055</v>
      </c>
      <c r="B6055" t="str">
        <f t="shared" si="94"/>
        <v>ឧ</v>
      </c>
    </row>
    <row r="6056" spans="1:2" x14ac:dyDescent="0.25">
      <c r="A6056">
        <v>6056</v>
      </c>
      <c r="B6056" t="str">
        <f t="shared" si="94"/>
        <v>ឨ</v>
      </c>
    </row>
    <row r="6057" spans="1:2" x14ac:dyDescent="0.25">
      <c r="A6057">
        <v>6057</v>
      </c>
      <c r="B6057" t="str">
        <f t="shared" si="94"/>
        <v>ឩ</v>
      </c>
    </row>
    <row r="6058" spans="1:2" x14ac:dyDescent="0.25">
      <c r="A6058">
        <v>6058</v>
      </c>
      <c r="B6058" t="str">
        <f t="shared" si="94"/>
        <v>ឪ</v>
      </c>
    </row>
    <row r="6059" spans="1:2" x14ac:dyDescent="0.25">
      <c r="A6059">
        <v>6059</v>
      </c>
      <c r="B6059" t="str">
        <f t="shared" si="94"/>
        <v>ឫ</v>
      </c>
    </row>
    <row r="6060" spans="1:2" x14ac:dyDescent="0.25">
      <c r="A6060">
        <v>6060</v>
      </c>
      <c r="B6060" t="str">
        <f t="shared" si="94"/>
        <v>ឬ</v>
      </c>
    </row>
    <row r="6061" spans="1:2" x14ac:dyDescent="0.25">
      <c r="A6061">
        <v>6061</v>
      </c>
      <c r="B6061" t="str">
        <f t="shared" si="94"/>
        <v>ឭ</v>
      </c>
    </row>
    <row r="6062" spans="1:2" x14ac:dyDescent="0.25">
      <c r="A6062">
        <v>6062</v>
      </c>
      <c r="B6062" t="str">
        <f t="shared" si="94"/>
        <v>ឮ</v>
      </c>
    </row>
    <row r="6063" spans="1:2" x14ac:dyDescent="0.25">
      <c r="A6063">
        <v>6063</v>
      </c>
      <c r="B6063" t="str">
        <f t="shared" si="94"/>
        <v>ឯ</v>
      </c>
    </row>
    <row r="6064" spans="1:2" x14ac:dyDescent="0.25">
      <c r="A6064">
        <v>6064</v>
      </c>
      <c r="B6064" t="str">
        <f t="shared" si="94"/>
        <v>ឰ</v>
      </c>
    </row>
    <row r="6065" spans="1:2" x14ac:dyDescent="0.25">
      <c r="A6065">
        <v>6065</v>
      </c>
      <c r="B6065" t="str">
        <f t="shared" si="94"/>
        <v>ឱ</v>
      </c>
    </row>
    <row r="6066" spans="1:2" x14ac:dyDescent="0.25">
      <c r="A6066">
        <v>6066</v>
      </c>
      <c r="B6066" t="str">
        <f t="shared" si="94"/>
        <v>ឲ</v>
      </c>
    </row>
    <row r="6067" spans="1:2" x14ac:dyDescent="0.25">
      <c r="A6067">
        <v>6067</v>
      </c>
      <c r="B6067" t="str">
        <f t="shared" si="94"/>
        <v>ឳ</v>
      </c>
    </row>
    <row r="6068" spans="1:2" x14ac:dyDescent="0.25">
      <c r="A6068">
        <v>6068</v>
      </c>
      <c r="B6068" t="str">
        <f t="shared" si="94"/>
        <v>឴</v>
      </c>
    </row>
    <row r="6069" spans="1:2" x14ac:dyDescent="0.25">
      <c r="A6069">
        <v>6069</v>
      </c>
      <c r="B6069" t="str">
        <f t="shared" si="94"/>
        <v>឵</v>
      </c>
    </row>
    <row r="6070" spans="1:2" x14ac:dyDescent="0.25">
      <c r="A6070">
        <v>6070</v>
      </c>
      <c r="B6070" t="str">
        <f t="shared" si="94"/>
        <v>ា</v>
      </c>
    </row>
    <row r="6071" spans="1:2" x14ac:dyDescent="0.25">
      <c r="A6071">
        <v>6071</v>
      </c>
      <c r="B6071" t="str">
        <f t="shared" si="94"/>
        <v>ិ</v>
      </c>
    </row>
    <row r="6072" spans="1:2" x14ac:dyDescent="0.25">
      <c r="A6072">
        <v>6072</v>
      </c>
      <c r="B6072" t="str">
        <f t="shared" si="94"/>
        <v>ី</v>
      </c>
    </row>
    <row r="6073" spans="1:2" x14ac:dyDescent="0.25">
      <c r="A6073">
        <v>6073</v>
      </c>
      <c r="B6073" t="str">
        <f t="shared" si="94"/>
        <v>ឹ</v>
      </c>
    </row>
    <row r="6074" spans="1:2" x14ac:dyDescent="0.25">
      <c r="A6074">
        <v>6074</v>
      </c>
      <c r="B6074" t="str">
        <f t="shared" si="94"/>
        <v>ឺ</v>
      </c>
    </row>
    <row r="6075" spans="1:2" x14ac:dyDescent="0.25">
      <c r="A6075">
        <v>6075</v>
      </c>
      <c r="B6075" t="str">
        <f t="shared" si="94"/>
        <v>ុ</v>
      </c>
    </row>
    <row r="6076" spans="1:2" x14ac:dyDescent="0.25">
      <c r="A6076">
        <v>6076</v>
      </c>
      <c r="B6076" t="str">
        <f t="shared" si="94"/>
        <v>ូ</v>
      </c>
    </row>
    <row r="6077" spans="1:2" x14ac:dyDescent="0.25">
      <c r="A6077">
        <v>6077</v>
      </c>
      <c r="B6077" t="str">
        <f t="shared" si="94"/>
        <v>ួ</v>
      </c>
    </row>
    <row r="6078" spans="1:2" x14ac:dyDescent="0.25">
      <c r="A6078">
        <v>6078</v>
      </c>
      <c r="B6078" t="str">
        <f t="shared" si="94"/>
        <v>ើ</v>
      </c>
    </row>
    <row r="6079" spans="1:2" x14ac:dyDescent="0.25">
      <c r="A6079">
        <v>6079</v>
      </c>
      <c r="B6079" t="str">
        <f t="shared" si="94"/>
        <v>ឿ</v>
      </c>
    </row>
    <row r="6080" spans="1:2" x14ac:dyDescent="0.25">
      <c r="A6080">
        <v>6080</v>
      </c>
      <c r="B6080" t="str">
        <f t="shared" si="94"/>
        <v>ៀ</v>
      </c>
    </row>
    <row r="6081" spans="1:2" x14ac:dyDescent="0.25">
      <c r="A6081">
        <v>6081</v>
      </c>
      <c r="B6081" t="str">
        <f t="shared" si="94"/>
        <v>េ</v>
      </c>
    </row>
    <row r="6082" spans="1:2" x14ac:dyDescent="0.25">
      <c r="A6082">
        <v>6082</v>
      </c>
      <c r="B6082" t="str">
        <f t="shared" ref="B6082:B6145" si="95">_xlfn.UNICHAR(A6082)</f>
        <v>ែ</v>
      </c>
    </row>
    <row r="6083" spans="1:2" x14ac:dyDescent="0.25">
      <c r="A6083">
        <v>6083</v>
      </c>
      <c r="B6083" t="str">
        <f t="shared" si="95"/>
        <v>ៃ</v>
      </c>
    </row>
    <row r="6084" spans="1:2" x14ac:dyDescent="0.25">
      <c r="A6084">
        <v>6084</v>
      </c>
      <c r="B6084" t="str">
        <f t="shared" si="95"/>
        <v>ោ</v>
      </c>
    </row>
    <row r="6085" spans="1:2" x14ac:dyDescent="0.25">
      <c r="A6085">
        <v>6085</v>
      </c>
      <c r="B6085" t="str">
        <f t="shared" si="95"/>
        <v>ៅ</v>
      </c>
    </row>
    <row r="6086" spans="1:2" x14ac:dyDescent="0.25">
      <c r="A6086">
        <v>6086</v>
      </c>
      <c r="B6086" t="str">
        <f t="shared" si="95"/>
        <v>ំ</v>
      </c>
    </row>
    <row r="6087" spans="1:2" x14ac:dyDescent="0.25">
      <c r="A6087">
        <v>6087</v>
      </c>
      <c r="B6087" t="str">
        <f t="shared" si="95"/>
        <v>ះ</v>
      </c>
    </row>
    <row r="6088" spans="1:2" x14ac:dyDescent="0.25">
      <c r="A6088">
        <v>6088</v>
      </c>
      <c r="B6088" t="str">
        <f t="shared" si="95"/>
        <v>ៈ</v>
      </c>
    </row>
    <row r="6089" spans="1:2" x14ac:dyDescent="0.25">
      <c r="A6089">
        <v>6089</v>
      </c>
      <c r="B6089" t="str">
        <f t="shared" si="95"/>
        <v>៉</v>
      </c>
    </row>
    <row r="6090" spans="1:2" x14ac:dyDescent="0.25">
      <c r="A6090">
        <v>6090</v>
      </c>
      <c r="B6090" t="str">
        <f t="shared" si="95"/>
        <v>៊</v>
      </c>
    </row>
    <row r="6091" spans="1:2" x14ac:dyDescent="0.25">
      <c r="A6091">
        <v>6091</v>
      </c>
      <c r="B6091" t="str">
        <f t="shared" si="95"/>
        <v>់</v>
      </c>
    </row>
    <row r="6092" spans="1:2" x14ac:dyDescent="0.25">
      <c r="A6092">
        <v>6092</v>
      </c>
      <c r="B6092" t="str">
        <f t="shared" si="95"/>
        <v>៌</v>
      </c>
    </row>
    <row r="6093" spans="1:2" x14ac:dyDescent="0.25">
      <c r="A6093">
        <v>6093</v>
      </c>
      <c r="B6093" t="str">
        <f t="shared" si="95"/>
        <v>៍</v>
      </c>
    </row>
    <row r="6094" spans="1:2" x14ac:dyDescent="0.25">
      <c r="A6094">
        <v>6094</v>
      </c>
      <c r="B6094" t="str">
        <f t="shared" si="95"/>
        <v>៎</v>
      </c>
    </row>
    <row r="6095" spans="1:2" x14ac:dyDescent="0.25">
      <c r="A6095">
        <v>6095</v>
      </c>
      <c r="B6095" t="str">
        <f t="shared" si="95"/>
        <v>៏</v>
      </c>
    </row>
    <row r="6096" spans="1:2" x14ac:dyDescent="0.25">
      <c r="A6096">
        <v>6096</v>
      </c>
      <c r="B6096" t="str">
        <f t="shared" si="95"/>
        <v>័</v>
      </c>
    </row>
    <row r="6097" spans="1:2" x14ac:dyDescent="0.25">
      <c r="A6097">
        <v>6097</v>
      </c>
      <c r="B6097" t="str">
        <f t="shared" si="95"/>
        <v>៑</v>
      </c>
    </row>
    <row r="6098" spans="1:2" x14ac:dyDescent="0.25">
      <c r="A6098">
        <v>6098</v>
      </c>
      <c r="B6098" t="str">
        <f t="shared" si="95"/>
        <v>្</v>
      </c>
    </row>
    <row r="6099" spans="1:2" x14ac:dyDescent="0.25">
      <c r="A6099">
        <v>6099</v>
      </c>
      <c r="B6099" t="str">
        <f t="shared" si="95"/>
        <v>៓</v>
      </c>
    </row>
    <row r="6100" spans="1:2" x14ac:dyDescent="0.25">
      <c r="A6100">
        <v>6100</v>
      </c>
      <c r="B6100" t="str">
        <f t="shared" si="95"/>
        <v>។</v>
      </c>
    </row>
    <row r="6101" spans="1:2" x14ac:dyDescent="0.25">
      <c r="A6101">
        <v>6101</v>
      </c>
      <c r="B6101" t="str">
        <f t="shared" si="95"/>
        <v>៕</v>
      </c>
    </row>
    <row r="6102" spans="1:2" x14ac:dyDescent="0.25">
      <c r="A6102">
        <v>6102</v>
      </c>
      <c r="B6102" t="str">
        <f t="shared" si="95"/>
        <v>៖</v>
      </c>
    </row>
    <row r="6103" spans="1:2" x14ac:dyDescent="0.25">
      <c r="A6103">
        <v>6103</v>
      </c>
      <c r="B6103" t="str">
        <f t="shared" si="95"/>
        <v>ៗ</v>
      </c>
    </row>
    <row r="6104" spans="1:2" x14ac:dyDescent="0.25">
      <c r="A6104">
        <v>6104</v>
      </c>
      <c r="B6104" t="str">
        <f t="shared" si="95"/>
        <v>៘</v>
      </c>
    </row>
    <row r="6105" spans="1:2" x14ac:dyDescent="0.25">
      <c r="A6105">
        <v>6105</v>
      </c>
      <c r="B6105" t="str">
        <f t="shared" si="95"/>
        <v>៙</v>
      </c>
    </row>
    <row r="6106" spans="1:2" x14ac:dyDescent="0.25">
      <c r="A6106">
        <v>6106</v>
      </c>
      <c r="B6106" t="str">
        <f t="shared" si="95"/>
        <v>៚</v>
      </c>
    </row>
    <row r="6107" spans="1:2" x14ac:dyDescent="0.25">
      <c r="A6107">
        <v>6107</v>
      </c>
      <c r="B6107" t="str">
        <f t="shared" si="95"/>
        <v>៛</v>
      </c>
    </row>
    <row r="6108" spans="1:2" x14ac:dyDescent="0.25">
      <c r="A6108">
        <v>6108</v>
      </c>
      <c r="B6108" t="str">
        <f t="shared" si="95"/>
        <v>ៜ</v>
      </c>
    </row>
    <row r="6109" spans="1:2" x14ac:dyDescent="0.25">
      <c r="A6109">
        <v>6109</v>
      </c>
      <c r="B6109" t="str">
        <f t="shared" si="95"/>
        <v>៝</v>
      </c>
    </row>
    <row r="6110" spans="1:2" x14ac:dyDescent="0.25">
      <c r="A6110">
        <v>6110</v>
      </c>
      <c r="B6110" t="str">
        <f t="shared" si="95"/>
        <v>៞</v>
      </c>
    </row>
    <row r="6111" spans="1:2" x14ac:dyDescent="0.25">
      <c r="A6111">
        <v>6111</v>
      </c>
      <c r="B6111" t="str">
        <f t="shared" si="95"/>
        <v>៟</v>
      </c>
    </row>
    <row r="6112" spans="1:2" x14ac:dyDescent="0.25">
      <c r="A6112">
        <v>6112</v>
      </c>
      <c r="B6112" t="str">
        <f t="shared" si="95"/>
        <v>០</v>
      </c>
    </row>
    <row r="6113" spans="1:2" x14ac:dyDescent="0.25">
      <c r="A6113">
        <v>6113</v>
      </c>
      <c r="B6113" t="str">
        <f t="shared" si="95"/>
        <v>១</v>
      </c>
    </row>
    <row r="6114" spans="1:2" x14ac:dyDescent="0.25">
      <c r="A6114">
        <v>6114</v>
      </c>
      <c r="B6114" t="str">
        <f t="shared" si="95"/>
        <v>២</v>
      </c>
    </row>
    <row r="6115" spans="1:2" x14ac:dyDescent="0.25">
      <c r="A6115">
        <v>6115</v>
      </c>
      <c r="B6115" t="str">
        <f t="shared" si="95"/>
        <v>៣</v>
      </c>
    </row>
    <row r="6116" spans="1:2" x14ac:dyDescent="0.25">
      <c r="A6116">
        <v>6116</v>
      </c>
      <c r="B6116" t="str">
        <f t="shared" si="95"/>
        <v>៤</v>
      </c>
    </row>
    <row r="6117" spans="1:2" x14ac:dyDescent="0.25">
      <c r="A6117">
        <v>6117</v>
      </c>
      <c r="B6117" t="str">
        <f t="shared" si="95"/>
        <v>៥</v>
      </c>
    </row>
    <row r="6118" spans="1:2" x14ac:dyDescent="0.25">
      <c r="A6118">
        <v>6118</v>
      </c>
      <c r="B6118" t="str">
        <f t="shared" si="95"/>
        <v>៦</v>
      </c>
    </row>
    <row r="6119" spans="1:2" x14ac:dyDescent="0.25">
      <c r="A6119">
        <v>6119</v>
      </c>
      <c r="B6119" t="str">
        <f t="shared" si="95"/>
        <v>៧</v>
      </c>
    </row>
    <row r="6120" spans="1:2" x14ac:dyDescent="0.25">
      <c r="A6120">
        <v>6120</v>
      </c>
      <c r="B6120" t="str">
        <f t="shared" si="95"/>
        <v>៨</v>
      </c>
    </row>
    <row r="6121" spans="1:2" x14ac:dyDescent="0.25">
      <c r="A6121">
        <v>6121</v>
      </c>
      <c r="B6121" t="str">
        <f t="shared" si="95"/>
        <v>៩</v>
      </c>
    </row>
    <row r="6122" spans="1:2" x14ac:dyDescent="0.25">
      <c r="A6122">
        <v>6122</v>
      </c>
      <c r="B6122" t="str">
        <f t="shared" si="95"/>
        <v>៪</v>
      </c>
    </row>
    <row r="6123" spans="1:2" x14ac:dyDescent="0.25">
      <c r="A6123">
        <v>6123</v>
      </c>
      <c r="B6123" t="str">
        <f t="shared" si="95"/>
        <v>៫</v>
      </c>
    </row>
    <row r="6124" spans="1:2" x14ac:dyDescent="0.25">
      <c r="A6124">
        <v>6124</v>
      </c>
      <c r="B6124" t="str">
        <f t="shared" si="95"/>
        <v>៬</v>
      </c>
    </row>
    <row r="6125" spans="1:2" x14ac:dyDescent="0.25">
      <c r="A6125">
        <v>6125</v>
      </c>
      <c r="B6125" t="str">
        <f t="shared" si="95"/>
        <v>៭</v>
      </c>
    </row>
    <row r="6126" spans="1:2" x14ac:dyDescent="0.25">
      <c r="A6126">
        <v>6126</v>
      </c>
      <c r="B6126" t="str">
        <f t="shared" si="95"/>
        <v>៮</v>
      </c>
    </row>
    <row r="6127" spans="1:2" x14ac:dyDescent="0.25">
      <c r="A6127">
        <v>6127</v>
      </c>
      <c r="B6127" t="str">
        <f t="shared" si="95"/>
        <v>៯</v>
      </c>
    </row>
    <row r="6128" spans="1:2" x14ac:dyDescent="0.25">
      <c r="A6128">
        <v>6128</v>
      </c>
      <c r="B6128" t="str">
        <f t="shared" si="95"/>
        <v>៰</v>
      </c>
    </row>
    <row r="6129" spans="1:2" x14ac:dyDescent="0.25">
      <c r="A6129">
        <v>6129</v>
      </c>
      <c r="B6129" t="str">
        <f t="shared" si="95"/>
        <v>៱</v>
      </c>
    </row>
    <row r="6130" spans="1:2" x14ac:dyDescent="0.25">
      <c r="A6130">
        <v>6130</v>
      </c>
      <c r="B6130" t="str">
        <f t="shared" si="95"/>
        <v>៲</v>
      </c>
    </row>
    <row r="6131" spans="1:2" x14ac:dyDescent="0.25">
      <c r="A6131">
        <v>6131</v>
      </c>
      <c r="B6131" t="str">
        <f t="shared" si="95"/>
        <v>៳</v>
      </c>
    </row>
    <row r="6132" spans="1:2" x14ac:dyDescent="0.25">
      <c r="A6132">
        <v>6132</v>
      </c>
      <c r="B6132" t="str">
        <f t="shared" si="95"/>
        <v>៴</v>
      </c>
    </row>
    <row r="6133" spans="1:2" x14ac:dyDescent="0.25">
      <c r="A6133">
        <v>6133</v>
      </c>
      <c r="B6133" t="str">
        <f t="shared" si="95"/>
        <v>៵</v>
      </c>
    </row>
    <row r="6134" spans="1:2" x14ac:dyDescent="0.25">
      <c r="A6134">
        <v>6134</v>
      </c>
      <c r="B6134" t="str">
        <f t="shared" si="95"/>
        <v>៶</v>
      </c>
    </row>
    <row r="6135" spans="1:2" x14ac:dyDescent="0.25">
      <c r="A6135">
        <v>6135</v>
      </c>
      <c r="B6135" t="str">
        <f t="shared" si="95"/>
        <v>៷</v>
      </c>
    </row>
    <row r="6136" spans="1:2" x14ac:dyDescent="0.25">
      <c r="A6136">
        <v>6136</v>
      </c>
      <c r="B6136" t="str">
        <f t="shared" si="95"/>
        <v>៸</v>
      </c>
    </row>
    <row r="6137" spans="1:2" x14ac:dyDescent="0.25">
      <c r="A6137">
        <v>6137</v>
      </c>
      <c r="B6137" t="str">
        <f t="shared" si="95"/>
        <v>៹</v>
      </c>
    </row>
    <row r="6138" spans="1:2" x14ac:dyDescent="0.25">
      <c r="A6138">
        <v>6138</v>
      </c>
      <c r="B6138" t="str">
        <f t="shared" si="95"/>
        <v>៺</v>
      </c>
    </row>
    <row r="6139" spans="1:2" x14ac:dyDescent="0.25">
      <c r="A6139">
        <v>6139</v>
      </c>
      <c r="B6139" t="str">
        <f t="shared" si="95"/>
        <v>៻</v>
      </c>
    </row>
    <row r="6140" spans="1:2" x14ac:dyDescent="0.25">
      <c r="A6140">
        <v>6140</v>
      </c>
      <c r="B6140" t="str">
        <f t="shared" si="95"/>
        <v>៼</v>
      </c>
    </row>
    <row r="6141" spans="1:2" x14ac:dyDescent="0.25">
      <c r="A6141">
        <v>6141</v>
      </c>
      <c r="B6141" t="str">
        <f t="shared" si="95"/>
        <v>៽</v>
      </c>
    </row>
    <row r="6142" spans="1:2" x14ac:dyDescent="0.25">
      <c r="A6142">
        <v>6142</v>
      </c>
      <c r="B6142" t="str">
        <f t="shared" si="95"/>
        <v>៾</v>
      </c>
    </row>
    <row r="6143" spans="1:2" x14ac:dyDescent="0.25">
      <c r="A6143">
        <v>6143</v>
      </c>
      <c r="B6143" t="str">
        <f t="shared" si="95"/>
        <v>៿</v>
      </c>
    </row>
    <row r="6144" spans="1:2" x14ac:dyDescent="0.25">
      <c r="A6144">
        <v>6144</v>
      </c>
      <c r="B6144" t="str">
        <f t="shared" si="95"/>
        <v>᠀</v>
      </c>
    </row>
    <row r="6145" spans="1:2" x14ac:dyDescent="0.25">
      <c r="A6145">
        <v>6145</v>
      </c>
      <c r="B6145" t="str">
        <f t="shared" si="95"/>
        <v>᠁</v>
      </c>
    </row>
    <row r="6146" spans="1:2" x14ac:dyDescent="0.25">
      <c r="A6146">
        <v>6146</v>
      </c>
      <c r="B6146" t="str">
        <f t="shared" ref="B6146:B6209" si="96">_xlfn.UNICHAR(A6146)</f>
        <v>᠂</v>
      </c>
    </row>
    <row r="6147" spans="1:2" x14ac:dyDescent="0.25">
      <c r="A6147">
        <v>6147</v>
      </c>
      <c r="B6147" t="str">
        <f t="shared" si="96"/>
        <v>᠃</v>
      </c>
    </row>
    <row r="6148" spans="1:2" x14ac:dyDescent="0.25">
      <c r="A6148">
        <v>6148</v>
      </c>
      <c r="B6148" t="str">
        <f t="shared" si="96"/>
        <v>᠄</v>
      </c>
    </row>
    <row r="6149" spans="1:2" x14ac:dyDescent="0.25">
      <c r="A6149">
        <v>6149</v>
      </c>
      <c r="B6149" t="str">
        <f t="shared" si="96"/>
        <v>᠅</v>
      </c>
    </row>
    <row r="6150" spans="1:2" x14ac:dyDescent="0.25">
      <c r="A6150">
        <v>6150</v>
      </c>
      <c r="B6150" t="str">
        <f t="shared" si="96"/>
        <v>᠆</v>
      </c>
    </row>
    <row r="6151" spans="1:2" x14ac:dyDescent="0.25">
      <c r="A6151">
        <v>6151</v>
      </c>
      <c r="B6151" t="str">
        <f t="shared" si="96"/>
        <v>᠇</v>
      </c>
    </row>
    <row r="6152" spans="1:2" x14ac:dyDescent="0.25">
      <c r="A6152">
        <v>6152</v>
      </c>
      <c r="B6152" t="str">
        <f t="shared" si="96"/>
        <v>᠈</v>
      </c>
    </row>
    <row r="6153" spans="1:2" x14ac:dyDescent="0.25">
      <c r="A6153">
        <v>6153</v>
      </c>
      <c r="B6153" t="str">
        <f t="shared" si="96"/>
        <v>᠉</v>
      </c>
    </row>
    <row r="6154" spans="1:2" x14ac:dyDescent="0.25">
      <c r="A6154">
        <v>6154</v>
      </c>
      <c r="B6154" t="str">
        <f t="shared" si="96"/>
        <v>᠊</v>
      </c>
    </row>
    <row r="6155" spans="1:2" x14ac:dyDescent="0.25">
      <c r="A6155">
        <v>6155</v>
      </c>
      <c r="B6155" t="str">
        <f t="shared" si="96"/>
        <v>᠋</v>
      </c>
    </row>
    <row r="6156" spans="1:2" x14ac:dyDescent="0.25">
      <c r="A6156">
        <v>6156</v>
      </c>
      <c r="B6156" t="str">
        <f t="shared" si="96"/>
        <v>᠌</v>
      </c>
    </row>
    <row r="6157" spans="1:2" x14ac:dyDescent="0.25">
      <c r="A6157">
        <v>6157</v>
      </c>
      <c r="B6157" t="str">
        <f t="shared" si="96"/>
        <v>᠍</v>
      </c>
    </row>
    <row r="6158" spans="1:2" x14ac:dyDescent="0.25">
      <c r="A6158">
        <v>6158</v>
      </c>
      <c r="B6158" t="str">
        <f t="shared" si="96"/>
        <v>᠎</v>
      </c>
    </row>
    <row r="6159" spans="1:2" x14ac:dyDescent="0.25">
      <c r="A6159">
        <v>6159</v>
      </c>
      <c r="B6159" t="str">
        <f t="shared" si="96"/>
        <v>᠏</v>
      </c>
    </row>
    <row r="6160" spans="1:2" x14ac:dyDescent="0.25">
      <c r="A6160">
        <v>6160</v>
      </c>
      <c r="B6160" t="str">
        <f t="shared" si="96"/>
        <v>᠐</v>
      </c>
    </row>
    <row r="6161" spans="1:2" x14ac:dyDescent="0.25">
      <c r="A6161">
        <v>6161</v>
      </c>
      <c r="B6161" t="str">
        <f t="shared" si="96"/>
        <v>᠑</v>
      </c>
    </row>
    <row r="6162" spans="1:2" x14ac:dyDescent="0.25">
      <c r="A6162">
        <v>6162</v>
      </c>
      <c r="B6162" t="str">
        <f t="shared" si="96"/>
        <v>᠒</v>
      </c>
    </row>
    <row r="6163" spans="1:2" x14ac:dyDescent="0.25">
      <c r="A6163">
        <v>6163</v>
      </c>
      <c r="B6163" t="str">
        <f t="shared" si="96"/>
        <v>᠓</v>
      </c>
    </row>
    <row r="6164" spans="1:2" x14ac:dyDescent="0.25">
      <c r="A6164">
        <v>6164</v>
      </c>
      <c r="B6164" t="str">
        <f t="shared" si="96"/>
        <v>᠔</v>
      </c>
    </row>
    <row r="6165" spans="1:2" x14ac:dyDescent="0.25">
      <c r="A6165">
        <v>6165</v>
      </c>
      <c r="B6165" t="str">
        <f t="shared" si="96"/>
        <v>᠕</v>
      </c>
    </row>
    <row r="6166" spans="1:2" x14ac:dyDescent="0.25">
      <c r="A6166">
        <v>6166</v>
      </c>
      <c r="B6166" t="str">
        <f t="shared" si="96"/>
        <v>᠖</v>
      </c>
    </row>
    <row r="6167" spans="1:2" x14ac:dyDescent="0.25">
      <c r="A6167">
        <v>6167</v>
      </c>
      <c r="B6167" t="str">
        <f t="shared" si="96"/>
        <v>᠗</v>
      </c>
    </row>
    <row r="6168" spans="1:2" x14ac:dyDescent="0.25">
      <c r="A6168">
        <v>6168</v>
      </c>
      <c r="B6168" t="str">
        <f t="shared" si="96"/>
        <v>᠘</v>
      </c>
    </row>
    <row r="6169" spans="1:2" x14ac:dyDescent="0.25">
      <c r="A6169">
        <v>6169</v>
      </c>
      <c r="B6169" t="str">
        <f t="shared" si="96"/>
        <v>᠙</v>
      </c>
    </row>
    <row r="6170" spans="1:2" x14ac:dyDescent="0.25">
      <c r="A6170">
        <v>6170</v>
      </c>
      <c r="B6170" t="str">
        <f t="shared" si="96"/>
        <v>᠚</v>
      </c>
    </row>
    <row r="6171" spans="1:2" x14ac:dyDescent="0.25">
      <c r="A6171">
        <v>6171</v>
      </c>
      <c r="B6171" t="str">
        <f t="shared" si="96"/>
        <v>᠛</v>
      </c>
    </row>
    <row r="6172" spans="1:2" x14ac:dyDescent="0.25">
      <c r="A6172">
        <v>6172</v>
      </c>
      <c r="B6172" t="str">
        <f t="shared" si="96"/>
        <v>᠜</v>
      </c>
    </row>
    <row r="6173" spans="1:2" x14ac:dyDescent="0.25">
      <c r="A6173">
        <v>6173</v>
      </c>
      <c r="B6173" t="str">
        <f t="shared" si="96"/>
        <v>᠝</v>
      </c>
    </row>
    <row r="6174" spans="1:2" x14ac:dyDescent="0.25">
      <c r="A6174">
        <v>6174</v>
      </c>
      <c r="B6174" t="str">
        <f t="shared" si="96"/>
        <v>᠞</v>
      </c>
    </row>
    <row r="6175" spans="1:2" x14ac:dyDescent="0.25">
      <c r="A6175">
        <v>6175</v>
      </c>
      <c r="B6175" t="str">
        <f t="shared" si="96"/>
        <v>᠟</v>
      </c>
    </row>
    <row r="6176" spans="1:2" x14ac:dyDescent="0.25">
      <c r="A6176">
        <v>6176</v>
      </c>
      <c r="B6176" t="str">
        <f t="shared" si="96"/>
        <v>ᠠ</v>
      </c>
    </row>
    <row r="6177" spans="1:2" x14ac:dyDescent="0.25">
      <c r="A6177">
        <v>6177</v>
      </c>
      <c r="B6177" t="str">
        <f t="shared" si="96"/>
        <v>ᠡ</v>
      </c>
    </row>
    <row r="6178" spans="1:2" x14ac:dyDescent="0.25">
      <c r="A6178">
        <v>6178</v>
      </c>
      <c r="B6178" t="str">
        <f t="shared" si="96"/>
        <v>ᠢ</v>
      </c>
    </row>
    <row r="6179" spans="1:2" x14ac:dyDescent="0.25">
      <c r="A6179">
        <v>6179</v>
      </c>
      <c r="B6179" t="str">
        <f t="shared" si="96"/>
        <v>ᠣ</v>
      </c>
    </row>
    <row r="6180" spans="1:2" x14ac:dyDescent="0.25">
      <c r="A6180">
        <v>6180</v>
      </c>
      <c r="B6180" t="str">
        <f t="shared" si="96"/>
        <v>ᠤ</v>
      </c>
    </row>
    <row r="6181" spans="1:2" x14ac:dyDescent="0.25">
      <c r="A6181">
        <v>6181</v>
      </c>
      <c r="B6181" t="str">
        <f t="shared" si="96"/>
        <v>ᠥ</v>
      </c>
    </row>
    <row r="6182" spans="1:2" x14ac:dyDescent="0.25">
      <c r="A6182">
        <v>6182</v>
      </c>
      <c r="B6182" t="str">
        <f t="shared" si="96"/>
        <v>ᠦ</v>
      </c>
    </row>
    <row r="6183" spans="1:2" x14ac:dyDescent="0.25">
      <c r="A6183">
        <v>6183</v>
      </c>
      <c r="B6183" t="str">
        <f t="shared" si="96"/>
        <v>ᠧ</v>
      </c>
    </row>
    <row r="6184" spans="1:2" x14ac:dyDescent="0.25">
      <c r="A6184">
        <v>6184</v>
      </c>
      <c r="B6184" t="str">
        <f t="shared" si="96"/>
        <v>ᠨ</v>
      </c>
    </row>
    <row r="6185" spans="1:2" x14ac:dyDescent="0.25">
      <c r="A6185">
        <v>6185</v>
      </c>
      <c r="B6185" t="str">
        <f t="shared" si="96"/>
        <v>ᠩ</v>
      </c>
    </row>
    <row r="6186" spans="1:2" x14ac:dyDescent="0.25">
      <c r="A6186">
        <v>6186</v>
      </c>
      <c r="B6186" t="str">
        <f t="shared" si="96"/>
        <v>ᠪ</v>
      </c>
    </row>
    <row r="6187" spans="1:2" x14ac:dyDescent="0.25">
      <c r="A6187">
        <v>6187</v>
      </c>
      <c r="B6187" t="str">
        <f t="shared" si="96"/>
        <v>ᠫ</v>
      </c>
    </row>
    <row r="6188" spans="1:2" x14ac:dyDescent="0.25">
      <c r="A6188">
        <v>6188</v>
      </c>
      <c r="B6188" t="str">
        <f t="shared" si="96"/>
        <v>ᠬ</v>
      </c>
    </row>
    <row r="6189" spans="1:2" x14ac:dyDescent="0.25">
      <c r="A6189">
        <v>6189</v>
      </c>
      <c r="B6189" t="str">
        <f t="shared" si="96"/>
        <v>ᠭ</v>
      </c>
    </row>
    <row r="6190" spans="1:2" x14ac:dyDescent="0.25">
      <c r="A6190">
        <v>6190</v>
      </c>
      <c r="B6190" t="str">
        <f t="shared" si="96"/>
        <v>ᠮ</v>
      </c>
    </row>
    <row r="6191" spans="1:2" x14ac:dyDescent="0.25">
      <c r="A6191">
        <v>6191</v>
      </c>
      <c r="B6191" t="str">
        <f t="shared" si="96"/>
        <v>ᠯ</v>
      </c>
    </row>
    <row r="6192" spans="1:2" x14ac:dyDescent="0.25">
      <c r="A6192">
        <v>6192</v>
      </c>
      <c r="B6192" t="str">
        <f t="shared" si="96"/>
        <v>ᠰ</v>
      </c>
    </row>
    <row r="6193" spans="1:2" x14ac:dyDescent="0.25">
      <c r="A6193">
        <v>6193</v>
      </c>
      <c r="B6193" t="str">
        <f t="shared" si="96"/>
        <v>ᠱ</v>
      </c>
    </row>
    <row r="6194" spans="1:2" x14ac:dyDescent="0.25">
      <c r="A6194">
        <v>6194</v>
      </c>
      <c r="B6194" t="str">
        <f t="shared" si="96"/>
        <v>ᠲ</v>
      </c>
    </row>
    <row r="6195" spans="1:2" x14ac:dyDescent="0.25">
      <c r="A6195">
        <v>6195</v>
      </c>
      <c r="B6195" t="str">
        <f t="shared" si="96"/>
        <v>ᠳ</v>
      </c>
    </row>
    <row r="6196" spans="1:2" x14ac:dyDescent="0.25">
      <c r="A6196">
        <v>6196</v>
      </c>
      <c r="B6196" t="str">
        <f t="shared" si="96"/>
        <v>ᠴ</v>
      </c>
    </row>
    <row r="6197" spans="1:2" x14ac:dyDescent="0.25">
      <c r="A6197">
        <v>6197</v>
      </c>
      <c r="B6197" t="str">
        <f t="shared" si="96"/>
        <v>ᠵ</v>
      </c>
    </row>
    <row r="6198" spans="1:2" x14ac:dyDescent="0.25">
      <c r="A6198">
        <v>6198</v>
      </c>
      <c r="B6198" t="str">
        <f t="shared" si="96"/>
        <v>ᠶ</v>
      </c>
    </row>
    <row r="6199" spans="1:2" x14ac:dyDescent="0.25">
      <c r="A6199">
        <v>6199</v>
      </c>
      <c r="B6199" t="str">
        <f t="shared" si="96"/>
        <v>ᠷ</v>
      </c>
    </row>
    <row r="6200" spans="1:2" x14ac:dyDescent="0.25">
      <c r="A6200">
        <v>6200</v>
      </c>
      <c r="B6200" t="str">
        <f t="shared" si="96"/>
        <v>ᠸ</v>
      </c>
    </row>
    <row r="6201" spans="1:2" x14ac:dyDescent="0.25">
      <c r="A6201">
        <v>6201</v>
      </c>
      <c r="B6201" t="str">
        <f t="shared" si="96"/>
        <v>ᠹ</v>
      </c>
    </row>
    <row r="6202" spans="1:2" x14ac:dyDescent="0.25">
      <c r="A6202">
        <v>6202</v>
      </c>
      <c r="B6202" t="str">
        <f t="shared" si="96"/>
        <v>ᠺ</v>
      </c>
    </row>
    <row r="6203" spans="1:2" x14ac:dyDescent="0.25">
      <c r="A6203">
        <v>6203</v>
      </c>
      <c r="B6203" t="str">
        <f t="shared" si="96"/>
        <v>ᠻ</v>
      </c>
    </row>
    <row r="6204" spans="1:2" x14ac:dyDescent="0.25">
      <c r="A6204">
        <v>6204</v>
      </c>
      <c r="B6204" t="str">
        <f t="shared" si="96"/>
        <v>ᠼ</v>
      </c>
    </row>
    <row r="6205" spans="1:2" x14ac:dyDescent="0.25">
      <c r="A6205">
        <v>6205</v>
      </c>
      <c r="B6205" t="str">
        <f t="shared" si="96"/>
        <v>ᠽ</v>
      </c>
    </row>
    <row r="6206" spans="1:2" x14ac:dyDescent="0.25">
      <c r="A6206">
        <v>6206</v>
      </c>
      <c r="B6206" t="str">
        <f t="shared" si="96"/>
        <v>ᠾ</v>
      </c>
    </row>
    <row r="6207" spans="1:2" x14ac:dyDescent="0.25">
      <c r="A6207">
        <v>6207</v>
      </c>
      <c r="B6207" t="str">
        <f t="shared" si="96"/>
        <v>ᠿ</v>
      </c>
    </row>
    <row r="6208" spans="1:2" x14ac:dyDescent="0.25">
      <c r="A6208">
        <v>6208</v>
      </c>
      <c r="B6208" t="str">
        <f t="shared" si="96"/>
        <v>ᡀ</v>
      </c>
    </row>
    <row r="6209" spans="1:2" x14ac:dyDescent="0.25">
      <c r="A6209">
        <v>6209</v>
      </c>
      <c r="B6209" t="str">
        <f t="shared" si="96"/>
        <v>ᡁ</v>
      </c>
    </row>
    <row r="6210" spans="1:2" x14ac:dyDescent="0.25">
      <c r="A6210">
        <v>6210</v>
      </c>
      <c r="B6210" t="str">
        <f t="shared" ref="B6210:B6273" si="97">_xlfn.UNICHAR(A6210)</f>
        <v>ᡂ</v>
      </c>
    </row>
    <row r="6211" spans="1:2" x14ac:dyDescent="0.25">
      <c r="A6211">
        <v>6211</v>
      </c>
      <c r="B6211" t="str">
        <f t="shared" si="97"/>
        <v>ᡃ</v>
      </c>
    </row>
    <row r="6212" spans="1:2" x14ac:dyDescent="0.25">
      <c r="A6212">
        <v>6212</v>
      </c>
      <c r="B6212" t="str">
        <f t="shared" si="97"/>
        <v>ᡄ</v>
      </c>
    </row>
    <row r="6213" spans="1:2" x14ac:dyDescent="0.25">
      <c r="A6213">
        <v>6213</v>
      </c>
      <c r="B6213" t="str">
        <f t="shared" si="97"/>
        <v>ᡅ</v>
      </c>
    </row>
    <row r="6214" spans="1:2" x14ac:dyDescent="0.25">
      <c r="A6214">
        <v>6214</v>
      </c>
      <c r="B6214" t="str">
        <f t="shared" si="97"/>
        <v>ᡆ</v>
      </c>
    </row>
    <row r="6215" spans="1:2" x14ac:dyDescent="0.25">
      <c r="A6215">
        <v>6215</v>
      </c>
      <c r="B6215" t="str">
        <f t="shared" si="97"/>
        <v>ᡇ</v>
      </c>
    </row>
    <row r="6216" spans="1:2" x14ac:dyDescent="0.25">
      <c r="A6216">
        <v>6216</v>
      </c>
      <c r="B6216" t="str">
        <f t="shared" si="97"/>
        <v>ᡈ</v>
      </c>
    </row>
    <row r="6217" spans="1:2" x14ac:dyDescent="0.25">
      <c r="A6217">
        <v>6217</v>
      </c>
      <c r="B6217" t="str">
        <f t="shared" si="97"/>
        <v>ᡉ</v>
      </c>
    </row>
    <row r="6218" spans="1:2" x14ac:dyDescent="0.25">
      <c r="A6218">
        <v>6218</v>
      </c>
      <c r="B6218" t="str">
        <f t="shared" si="97"/>
        <v>ᡊ</v>
      </c>
    </row>
    <row r="6219" spans="1:2" x14ac:dyDescent="0.25">
      <c r="A6219">
        <v>6219</v>
      </c>
      <c r="B6219" t="str">
        <f t="shared" si="97"/>
        <v>ᡋ</v>
      </c>
    </row>
    <row r="6220" spans="1:2" x14ac:dyDescent="0.25">
      <c r="A6220">
        <v>6220</v>
      </c>
      <c r="B6220" t="str">
        <f t="shared" si="97"/>
        <v>ᡌ</v>
      </c>
    </row>
    <row r="6221" spans="1:2" x14ac:dyDescent="0.25">
      <c r="A6221">
        <v>6221</v>
      </c>
      <c r="B6221" t="str">
        <f t="shared" si="97"/>
        <v>ᡍ</v>
      </c>
    </row>
    <row r="6222" spans="1:2" x14ac:dyDescent="0.25">
      <c r="A6222">
        <v>6222</v>
      </c>
      <c r="B6222" t="str">
        <f t="shared" si="97"/>
        <v>ᡎ</v>
      </c>
    </row>
    <row r="6223" spans="1:2" x14ac:dyDescent="0.25">
      <c r="A6223">
        <v>6223</v>
      </c>
      <c r="B6223" t="str">
        <f t="shared" si="97"/>
        <v>ᡏ</v>
      </c>
    </row>
    <row r="6224" spans="1:2" x14ac:dyDescent="0.25">
      <c r="A6224">
        <v>6224</v>
      </c>
      <c r="B6224" t="str">
        <f t="shared" si="97"/>
        <v>ᡐ</v>
      </c>
    </row>
    <row r="6225" spans="1:2" x14ac:dyDescent="0.25">
      <c r="A6225">
        <v>6225</v>
      </c>
      <c r="B6225" t="str">
        <f t="shared" si="97"/>
        <v>ᡑ</v>
      </c>
    </row>
    <row r="6226" spans="1:2" x14ac:dyDescent="0.25">
      <c r="A6226">
        <v>6226</v>
      </c>
      <c r="B6226" t="str">
        <f t="shared" si="97"/>
        <v>ᡒ</v>
      </c>
    </row>
    <row r="6227" spans="1:2" x14ac:dyDescent="0.25">
      <c r="A6227">
        <v>6227</v>
      </c>
      <c r="B6227" t="str">
        <f t="shared" si="97"/>
        <v>ᡓ</v>
      </c>
    </row>
    <row r="6228" spans="1:2" x14ac:dyDescent="0.25">
      <c r="A6228">
        <v>6228</v>
      </c>
      <c r="B6228" t="str">
        <f t="shared" si="97"/>
        <v>ᡔ</v>
      </c>
    </row>
    <row r="6229" spans="1:2" x14ac:dyDescent="0.25">
      <c r="A6229">
        <v>6229</v>
      </c>
      <c r="B6229" t="str">
        <f t="shared" si="97"/>
        <v>ᡕ</v>
      </c>
    </row>
    <row r="6230" spans="1:2" x14ac:dyDescent="0.25">
      <c r="A6230">
        <v>6230</v>
      </c>
      <c r="B6230" t="str">
        <f t="shared" si="97"/>
        <v>ᡖ</v>
      </c>
    </row>
    <row r="6231" spans="1:2" x14ac:dyDescent="0.25">
      <c r="A6231">
        <v>6231</v>
      </c>
      <c r="B6231" t="str">
        <f t="shared" si="97"/>
        <v>ᡗ</v>
      </c>
    </row>
    <row r="6232" spans="1:2" x14ac:dyDescent="0.25">
      <c r="A6232">
        <v>6232</v>
      </c>
      <c r="B6232" t="str">
        <f t="shared" si="97"/>
        <v>ᡘ</v>
      </c>
    </row>
    <row r="6233" spans="1:2" x14ac:dyDescent="0.25">
      <c r="A6233">
        <v>6233</v>
      </c>
      <c r="B6233" t="str">
        <f t="shared" si="97"/>
        <v>ᡙ</v>
      </c>
    </row>
    <row r="6234" spans="1:2" x14ac:dyDescent="0.25">
      <c r="A6234">
        <v>6234</v>
      </c>
      <c r="B6234" t="str">
        <f t="shared" si="97"/>
        <v>ᡚ</v>
      </c>
    </row>
    <row r="6235" spans="1:2" x14ac:dyDescent="0.25">
      <c r="A6235">
        <v>6235</v>
      </c>
      <c r="B6235" t="str">
        <f t="shared" si="97"/>
        <v>ᡛ</v>
      </c>
    </row>
    <row r="6236" spans="1:2" x14ac:dyDescent="0.25">
      <c r="A6236">
        <v>6236</v>
      </c>
      <c r="B6236" t="str">
        <f t="shared" si="97"/>
        <v>ᡜ</v>
      </c>
    </row>
    <row r="6237" spans="1:2" x14ac:dyDescent="0.25">
      <c r="A6237">
        <v>6237</v>
      </c>
      <c r="B6237" t="str">
        <f t="shared" si="97"/>
        <v>ᡝ</v>
      </c>
    </row>
    <row r="6238" spans="1:2" x14ac:dyDescent="0.25">
      <c r="A6238">
        <v>6238</v>
      </c>
      <c r="B6238" t="str">
        <f t="shared" si="97"/>
        <v>ᡞ</v>
      </c>
    </row>
    <row r="6239" spans="1:2" x14ac:dyDescent="0.25">
      <c r="A6239">
        <v>6239</v>
      </c>
      <c r="B6239" t="str">
        <f t="shared" si="97"/>
        <v>ᡟ</v>
      </c>
    </row>
    <row r="6240" spans="1:2" x14ac:dyDescent="0.25">
      <c r="A6240">
        <v>6240</v>
      </c>
      <c r="B6240" t="str">
        <f t="shared" si="97"/>
        <v>ᡠ</v>
      </c>
    </row>
    <row r="6241" spans="1:2" x14ac:dyDescent="0.25">
      <c r="A6241">
        <v>6241</v>
      </c>
      <c r="B6241" t="str">
        <f t="shared" si="97"/>
        <v>ᡡ</v>
      </c>
    </row>
    <row r="6242" spans="1:2" x14ac:dyDescent="0.25">
      <c r="A6242">
        <v>6242</v>
      </c>
      <c r="B6242" t="str">
        <f t="shared" si="97"/>
        <v>ᡢ</v>
      </c>
    </row>
    <row r="6243" spans="1:2" x14ac:dyDescent="0.25">
      <c r="A6243">
        <v>6243</v>
      </c>
      <c r="B6243" t="str">
        <f t="shared" si="97"/>
        <v>ᡣ</v>
      </c>
    </row>
    <row r="6244" spans="1:2" x14ac:dyDescent="0.25">
      <c r="A6244">
        <v>6244</v>
      </c>
      <c r="B6244" t="str">
        <f t="shared" si="97"/>
        <v>ᡤ</v>
      </c>
    </row>
    <row r="6245" spans="1:2" x14ac:dyDescent="0.25">
      <c r="A6245">
        <v>6245</v>
      </c>
      <c r="B6245" t="str">
        <f t="shared" si="97"/>
        <v>ᡥ</v>
      </c>
    </row>
    <row r="6246" spans="1:2" x14ac:dyDescent="0.25">
      <c r="A6246">
        <v>6246</v>
      </c>
      <c r="B6246" t="str">
        <f t="shared" si="97"/>
        <v>ᡦ</v>
      </c>
    </row>
    <row r="6247" spans="1:2" x14ac:dyDescent="0.25">
      <c r="A6247">
        <v>6247</v>
      </c>
      <c r="B6247" t="str">
        <f t="shared" si="97"/>
        <v>ᡧ</v>
      </c>
    </row>
    <row r="6248" spans="1:2" x14ac:dyDescent="0.25">
      <c r="A6248">
        <v>6248</v>
      </c>
      <c r="B6248" t="str">
        <f t="shared" si="97"/>
        <v>ᡨ</v>
      </c>
    </row>
    <row r="6249" spans="1:2" x14ac:dyDescent="0.25">
      <c r="A6249">
        <v>6249</v>
      </c>
      <c r="B6249" t="str">
        <f t="shared" si="97"/>
        <v>ᡩ</v>
      </c>
    </row>
    <row r="6250" spans="1:2" x14ac:dyDescent="0.25">
      <c r="A6250">
        <v>6250</v>
      </c>
      <c r="B6250" t="str">
        <f t="shared" si="97"/>
        <v>ᡪ</v>
      </c>
    </row>
    <row r="6251" spans="1:2" x14ac:dyDescent="0.25">
      <c r="A6251">
        <v>6251</v>
      </c>
      <c r="B6251" t="str">
        <f t="shared" si="97"/>
        <v>ᡫ</v>
      </c>
    </row>
    <row r="6252" spans="1:2" x14ac:dyDescent="0.25">
      <c r="A6252">
        <v>6252</v>
      </c>
      <c r="B6252" t="str">
        <f t="shared" si="97"/>
        <v>ᡬ</v>
      </c>
    </row>
    <row r="6253" spans="1:2" x14ac:dyDescent="0.25">
      <c r="A6253">
        <v>6253</v>
      </c>
      <c r="B6253" t="str">
        <f t="shared" si="97"/>
        <v>ᡭ</v>
      </c>
    </row>
    <row r="6254" spans="1:2" x14ac:dyDescent="0.25">
      <c r="A6254">
        <v>6254</v>
      </c>
      <c r="B6254" t="str">
        <f t="shared" si="97"/>
        <v>ᡮ</v>
      </c>
    </row>
    <row r="6255" spans="1:2" x14ac:dyDescent="0.25">
      <c r="A6255">
        <v>6255</v>
      </c>
      <c r="B6255" t="str">
        <f t="shared" si="97"/>
        <v>ᡯ</v>
      </c>
    </row>
    <row r="6256" spans="1:2" x14ac:dyDescent="0.25">
      <c r="A6256">
        <v>6256</v>
      </c>
      <c r="B6256" t="str">
        <f t="shared" si="97"/>
        <v>ᡰ</v>
      </c>
    </row>
    <row r="6257" spans="1:2" x14ac:dyDescent="0.25">
      <c r="A6257">
        <v>6257</v>
      </c>
      <c r="B6257" t="str">
        <f t="shared" si="97"/>
        <v>ᡱ</v>
      </c>
    </row>
    <row r="6258" spans="1:2" x14ac:dyDescent="0.25">
      <c r="A6258">
        <v>6258</v>
      </c>
      <c r="B6258" t="str">
        <f t="shared" si="97"/>
        <v>ᡲ</v>
      </c>
    </row>
    <row r="6259" spans="1:2" x14ac:dyDescent="0.25">
      <c r="A6259">
        <v>6259</v>
      </c>
      <c r="B6259" t="str">
        <f t="shared" si="97"/>
        <v>ᡳ</v>
      </c>
    </row>
    <row r="6260" spans="1:2" x14ac:dyDescent="0.25">
      <c r="A6260">
        <v>6260</v>
      </c>
      <c r="B6260" t="str">
        <f t="shared" si="97"/>
        <v>ᡴ</v>
      </c>
    </row>
    <row r="6261" spans="1:2" x14ac:dyDescent="0.25">
      <c r="A6261">
        <v>6261</v>
      </c>
      <c r="B6261" t="str">
        <f t="shared" si="97"/>
        <v>ᡵ</v>
      </c>
    </row>
    <row r="6262" spans="1:2" x14ac:dyDescent="0.25">
      <c r="A6262">
        <v>6262</v>
      </c>
      <c r="B6262" t="str">
        <f t="shared" si="97"/>
        <v>ᡶ</v>
      </c>
    </row>
    <row r="6263" spans="1:2" x14ac:dyDescent="0.25">
      <c r="A6263">
        <v>6263</v>
      </c>
      <c r="B6263" t="str">
        <f t="shared" si="97"/>
        <v>ᡷ</v>
      </c>
    </row>
    <row r="6264" spans="1:2" x14ac:dyDescent="0.25">
      <c r="A6264">
        <v>6264</v>
      </c>
      <c r="B6264" t="str">
        <f t="shared" si="97"/>
        <v>ᡸ</v>
      </c>
    </row>
    <row r="6265" spans="1:2" x14ac:dyDescent="0.25">
      <c r="A6265">
        <v>6265</v>
      </c>
      <c r="B6265" t="str">
        <f t="shared" si="97"/>
        <v>᡹</v>
      </c>
    </row>
    <row r="6266" spans="1:2" x14ac:dyDescent="0.25">
      <c r="A6266">
        <v>6266</v>
      </c>
      <c r="B6266" t="str">
        <f t="shared" si="97"/>
        <v>᡺</v>
      </c>
    </row>
    <row r="6267" spans="1:2" x14ac:dyDescent="0.25">
      <c r="A6267">
        <v>6267</v>
      </c>
      <c r="B6267" t="str">
        <f t="shared" si="97"/>
        <v>᡻</v>
      </c>
    </row>
    <row r="6268" spans="1:2" x14ac:dyDescent="0.25">
      <c r="A6268">
        <v>6268</v>
      </c>
      <c r="B6268" t="str">
        <f t="shared" si="97"/>
        <v>᡼</v>
      </c>
    </row>
    <row r="6269" spans="1:2" x14ac:dyDescent="0.25">
      <c r="A6269">
        <v>6269</v>
      </c>
      <c r="B6269" t="str">
        <f t="shared" si="97"/>
        <v>᡽</v>
      </c>
    </row>
    <row r="6270" spans="1:2" x14ac:dyDescent="0.25">
      <c r="A6270">
        <v>6270</v>
      </c>
      <c r="B6270" t="str">
        <f t="shared" si="97"/>
        <v>᡾</v>
      </c>
    </row>
    <row r="6271" spans="1:2" x14ac:dyDescent="0.25">
      <c r="A6271">
        <v>6271</v>
      </c>
      <c r="B6271" t="str">
        <f t="shared" si="97"/>
        <v>᡿</v>
      </c>
    </row>
    <row r="6272" spans="1:2" x14ac:dyDescent="0.25">
      <c r="A6272">
        <v>6272</v>
      </c>
      <c r="B6272" t="str">
        <f t="shared" si="97"/>
        <v>ᢀ</v>
      </c>
    </row>
    <row r="6273" spans="1:2" x14ac:dyDescent="0.25">
      <c r="A6273">
        <v>6273</v>
      </c>
      <c r="B6273" t="str">
        <f t="shared" si="97"/>
        <v>ᢁ</v>
      </c>
    </row>
    <row r="6274" spans="1:2" x14ac:dyDescent="0.25">
      <c r="A6274">
        <v>6274</v>
      </c>
      <c r="B6274" t="str">
        <f t="shared" ref="B6274:B6337" si="98">_xlfn.UNICHAR(A6274)</f>
        <v>ᢂ</v>
      </c>
    </row>
    <row r="6275" spans="1:2" x14ac:dyDescent="0.25">
      <c r="A6275">
        <v>6275</v>
      </c>
      <c r="B6275" t="str">
        <f t="shared" si="98"/>
        <v>ᢃ</v>
      </c>
    </row>
    <row r="6276" spans="1:2" x14ac:dyDescent="0.25">
      <c r="A6276">
        <v>6276</v>
      </c>
      <c r="B6276" t="str">
        <f t="shared" si="98"/>
        <v>ᢄ</v>
      </c>
    </row>
    <row r="6277" spans="1:2" x14ac:dyDescent="0.25">
      <c r="A6277">
        <v>6277</v>
      </c>
      <c r="B6277" t="str">
        <f t="shared" si="98"/>
        <v>ᢅ</v>
      </c>
    </row>
    <row r="6278" spans="1:2" x14ac:dyDescent="0.25">
      <c r="A6278">
        <v>6278</v>
      </c>
      <c r="B6278" t="str">
        <f t="shared" si="98"/>
        <v>ᢆ</v>
      </c>
    </row>
    <row r="6279" spans="1:2" x14ac:dyDescent="0.25">
      <c r="A6279">
        <v>6279</v>
      </c>
      <c r="B6279" t="str">
        <f t="shared" si="98"/>
        <v>ᢇ</v>
      </c>
    </row>
    <row r="6280" spans="1:2" x14ac:dyDescent="0.25">
      <c r="A6280">
        <v>6280</v>
      </c>
      <c r="B6280" t="str">
        <f t="shared" si="98"/>
        <v>ᢈ</v>
      </c>
    </row>
    <row r="6281" spans="1:2" x14ac:dyDescent="0.25">
      <c r="A6281">
        <v>6281</v>
      </c>
      <c r="B6281" t="str">
        <f t="shared" si="98"/>
        <v>ᢉ</v>
      </c>
    </row>
    <row r="6282" spans="1:2" x14ac:dyDescent="0.25">
      <c r="A6282">
        <v>6282</v>
      </c>
      <c r="B6282" t="str">
        <f t="shared" si="98"/>
        <v>ᢊ</v>
      </c>
    </row>
    <row r="6283" spans="1:2" x14ac:dyDescent="0.25">
      <c r="A6283">
        <v>6283</v>
      </c>
      <c r="B6283" t="str">
        <f t="shared" si="98"/>
        <v>ᢋ</v>
      </c>
    </row>
    <row r="6284" spans="1:2" x14ac:dyDescent="0.25">
      <c r="A6284">
        <v>6284</v>
      </c>
      <c r="B6284" t="str">
        <f t="shared" si="98"/>
        <v>ᢌ</v>
      </c>
    </row>
    <row r="6285" spans="1:2" x14ac:dyDescent="0.25">
      <c r="A6285">
        <v>6285</v>
      </c>
      <c r="B6285" t="str">
        <f t="shared" si="98"/>
        <v>ᢍ</v>
      </c>
    </row>
    <row r="6286" spans="1:2" x14ac:dyDescent="0.25">
      <c r="A6286">
        <v>6286</v>
      </c>
      <c r="B6286" t="str">
        <f t="shared" si="98"/>
        <v>ᢎ</v>
      </c>
    </row>
    <row r="6287" spans="1:2" x14ac:dyDescent="0.25">
      <c r="A6287">
        <v>6287</v>
      </c>
      <c r="B6287" t="str">
        <f t="shared" si="98"/>
        <v>ᢏ</v>
      </c>
    </row>
    <row r="6288" spans="1:2" x14ac:dyDescent="0.25">
      <c r="A6288">
        <v>6288</v>
      </c>
      <c r="B6288" t="str">
        <f t="shared" si="98"/>
        <v>ᢐ</v>
      </c>
    </row>
    <row r="6289" spans="1:2" x14ac:dyDescent="0.25">
      <c r="A6289">
        <v>6289</v>
      </c>
      <c r="B6289" t="str">
        <f t="shared" si="98"/>
        <v>ᢑ</v>
      </c>
    </row>
    <row r="6290" spans="1:2" x14ac:dyDescent="0.25">
      <c r="A6290">
        <v>6290</v>
      </c>
      <c r="B6290" t="str">
        <f t="shared" si="98"/>
        <v>ᢒ</v>
      </c>
    </row>
    <row r="6291" spans="1:2" x14ac:dyDescent="0.25">
      <c r="A6291">
        <v>6291</v>
      </c>
      <c r="B6291" t="str">
        <f t="shared" si="98"/>
        <v>ᢓ</v>
      </c>
    </row>
    <row r="6292" spans="1:2" x14ac:dyDescent="0.25">
      <c r="A6292">
        <v>6292</v>
      </c>
      <c r="B6292" t="str">
        <f t="shared" si="98"/>
        <v>ᢔ</v>
      </c>
    </row>
    <row r="6293" spans="1:2" x14ac:dyDescent="0.25">
      <c r="A6293">
        <v>6293</v>
      </c>
      <c r="B6293" t="str">
        <f t="shared" si="98"/>
        <v>ᢕ</v>
      </c>
    </row>
    <row r="6294" spans="1:2" x14ac:dyDescent="0.25">
      <c r="A6294">
        <v>6294</v>
      </c>
      <c r="B6294" t="str">
        <f t="shared" si="98"/>
        <v>ᢖ</v>
      </c>
    </row>
    <row r="6295" spans="1:2" x14ac:dyDescent="0.25">
      <c r="A6295">
        <v>6295</v>
      </c>
      <c r="B6295" t="str">
        <f t="shared" si="98"/>
        <v>ᢗ</v>
      </c>
    </row>
    <row r="6296" spans="1:2" x14ac:dyDescent="0.25">
      <c r="A6296">
        <v>6296</v>
      </c>
      <c r="B6296" t="str">
        <f t="shared" si="98"/>
        <v>ᢘ</v>
      </c>
    </row>
    <row r="6297" spans="1:2" x14ac:dyDescent="0.25">
      <c r="A6297">
        <v>6297</v>
      </c>
      <c r="B6297" t="str">
        <f t="shared" si="98"/>
        <v>ᢙ</v>
      </c>
    </row>
    <row r="6298" spans="1:2" x14ac:dyDescent="0.25">
      <c r="A6298">
        <v>6298</v>
      </c>
      <c r="B6298" t="str">
        <f t="shared" si="98"/>
        <v>ᢚ</v>
      </c>
    </row>
    <row r="6299" spans="1:2" x14ac:dyDescent="0.25">
      <c r="A6299">
        <v>6299</v>
      </c>
      <c r="B6299" t="str">
        <f t="shared" si="98"/>
        <v>ᢛ</v>
      </c>
    </row>
    <row r="6300" spans="1:2" x14ac:dyDescent="0.25">
      <c r="A6300">
        <v>6300</v>
      </c>
      <c r="B6300" t="str">
        <f t="shared" si="98"/>
        <v>ᢜ</v>
      </c>
    </row>
    <row r="6301" spans="1:2" x14ac:dyDescent="0.25">
      <c r="A6301">
        <v>6301</v>
      </c>
      <c r="B6301" t="str">
        <f t="shared" si="98"/>
        <v>ᢝ</v>
      </c>
    </row>
    <row r="6302" spans="1:2" x14ac:dyDescent="0.25">
      <c r="A6302">
        <v>6302</v>
      </c>
      <c r="B6302" t="str">
        <f t="shared" si="98"/>
        <v>ᢞ</v>
      </c>
    </row>
    <row r="6303" spans="1:2" x14ac:dyDescent="0.25">
      <c r="A6303">
        <v>6303</v>
      </c>
      <c r="B6303" t="str">
        <f t="shared" si="98"/>
        <v>ᢟ</v>
      </c>
    </row>
    <row r="6304" spans="1:2" x14ac:dyDescent="0.25">
      <c r="A6304">
        <v>6304</v>
      </c>
      <c r="B6304" t="str">
        <f t="shared" si="98"/>
        <v>ᢠ</v>
      </c>
    </row>
    <row r="6305" spans="1:2" x14ac:dyDescent="0.25">
      <c r="A6305">
        <v>6305</v>
      </c>
      <c r="B6305" t="str">
        <f t="shared" si="98"/>
        <v>ᢡ</v>
      </c>
    </row>
    <row r="6306" spans="1:2" x14ac:dyDescent="0.25">
      <c r="A6306">
        <v>6306</v>
      </c>
      <c r="B6306" t="str">
        <f t="shared" si="98"/>
        <v>ᢢ</v>
      </c>
    </row>
    <row r="6307" spans="1:2" x14ac:dyDescent="0.25">
      <c r="A6307">
        <v>6307</v>
      </c>
      <c r="B6307" t="str">
        <f t="shared" si="98"/>
        <v>ᢣ</v>
      </c>
    </row>
    <row r="6308" spans="1:2" x14ac:dyDescent="0.25">
      <c r="A6308">
        <v>6308</v>
      </c>
      <c r="B6308" t="str">
        <f t="shared" si="98"/>
        <v>ᢤ</v>
      </c>
    </row>
    <row r="6309" spans="1:2" x14ac:dyDescent="0.25">
      <c r="A6309">
        <v>6309</v>
      </c>
      <c r="B6309" t="str">
        <f t="shared" si="98"/>
        <v>ᢥ</v>
      </c>
    </row>
    <row r="6310" spans="1:2" x14ac:dyDescent="0.25">
      <c r="A6310">
        <v>6310</v>
      </c>
      <c r="B6310" t="str">
        <f t="shared" si="98"/>
        <v>ᢦ</v>
      </c>
    </row>
    <row r="6311" spans="1:2" x14ac:dyDescent="0.25">
      <c r="A6311">
        <v>6311</v>
      </c>
      <c r="B6311" t="str">
        <f t="shared" si="98"/>
        <v>ᢧ</v>
      </c>
    </row>
    <row r="6312" spans="1:2" x14ac:dyDescent="0.25">
      <c r="A6312">
        <v>6312</v>
      </c>
      <c r="B6312" t="str">
        <f t="shared" si="98"/>
        <v>ᢨ</v>
      </c>
    </row>
    <row r="6313" spans="1:2" x14ac:dyDescent="0.25">
      <c r="A6313">
        <v>6313</v>
      </c>
      <c r="B6313" t="str">
        <f t="shared" si="98"/>
        <v>ᢩ</v>
      </c>
    </row>
    <row r="6314" spans="1:2" x14ac:dyDescent="0.25">
      <c r="A6314">
        <v>6314</v>
      </c>
      <c r="B6314" t="str">
        <f t="shared" si="98"/>
        <v>ᢪ</v>
      </c>
    </row>
    <row r="6315" spans="1:2" x14ac:dyDescent="0.25">
      <c r="A6315">
        <v>6315</v>
      </c>
      <c r="B6315" t="str">
        <f t="shared" si="98"/>
        <v>᢫</v>
      </c>
    </row>
    <row r="6316" spans="1:2" x14ac:dyDescent="0.25">
      <c r="A6316">
        <v>6316</v>
      </c>
      <c r="B6316" t="str">
        <f t="shared" si="98"/>
        <v>᢬</v>
      </c>
    </row>
    <row r="6317" spans="1:2" x14ac:dyDescent="0.25">
      <c r="A6317">
        <v>6317</v>
      </c>
      <c r="B6317" t="str">
        <f t="shared" si="98"/>
        <v>᢭</v>
      </c>
    </row>
    <row r="6318" spans="1:2" x14ac:dyDescent="0.25">
      <c r="A6318">
        <v>6318</v>
      </c>
      <c r="B6318" t="str">
        <f t="shared" si="98"/>
        <v>᢮</v>
      </c>
    </row>
    <row r="6319" spans="1:2" x14ac:dyDescent="0.25">
      <c r="A6319">
        <v>6319</v>
      </c>
      <c r="B6319" t="str">
        <f t="shared" si="98"/>
        <v>᢯</v>
      </c>
    </row>
    <row r="6320" spans="1:2" x14ac:dyDescent="0.25">
      <c r="A6320">
        <v>6320</v>
      </c>
      <c r="B6320" t="str">
        <f t="shared" si="98"/>
        <v>ᢰ</v>
      </c>
    </row>
    <row r="6321" spans="1:2" x14ac:dyDescent="0.25">
      <c r="A6321">
        <v>6321</v>
      </c>
      <c r="B6321" t="str">
        <f t="shared" si="98"/>
        <v>ᢱ</v>
      </c>
    </row>
    <row r="6322" spans="1:2" x14ac:dyDescent="0.25">
      <c r="A6322">
        <v>6322</v>
      </c>
      <c r="B6322" t="str">
        <f t="shared" si="98"/>
        <v>ᢲ</v>
      </c>
    </row>
    <row r="6323" spans="1:2" x14ac:dyDescent="0.25">
      <c r="A6323">
        <v>6323</v>
      </c>
      <c r="B6323" t="str">
        <f t="shared" si="98"/>
        <v>ᢳ</v>
      </c>
    </row>
    <row r="6324" spans="1:2" x14ac:dyDescent="0.25">
      <c r="A6324">
        <v>6324</v>
      </c>
      <c r="B6324" t="str">
        <f t="shared" si="98"/>
        <v>ᢴ</v>
      </c>
    </row>
    <row r="6325" spans="1:2" x14ac:dyDescent="0.25">
      <c r="A6325">
        <v>6325</v>
      </c>
      <c r="B6325" t="str">
        <f t="shared" si="98"/>
        <v>ᢵ</v>
      </c>
    </row>
    <row r="6326" spans="1:2" x14ac:dyDescent="0.25">
      <c r="A6326">
        <v>6326</v>
      </c>
      <c r="B6326" t="str">
        <f t="shared" si="98"/>
        <v>ᢶ</v>
      </c>
    </row>
    <row r="6327" spans="1:2" x14ac:dyDescent="0.25">
      <c r="A6327">
        <v>6327</v>
      </c>
      <c r="B6327" t="str">
        <f t="shared" si="98"/>
        <v>ᢷ</v>
      </c>
    </row>
    <row r="6328" spans="1:2" x14ac:dyDescent="0.25">
      <c r="A6328">
        <v>6328</v>
      </c>
      <c r="B6328" t="str">
        <f t="shared" si="98"/>
        <v>ᢸ</v>
      </c>
    </row>
    <row r="6329" spans="1:2" x14ac:dyDescent="0.25">
      <c r="A6329">
        <v>6329</v>
      </c>
      <c r="B6329" t="str">
        <f t="shared" si="98"/>
        <v>ᢹ</v>
      </c>
    </row>
    <row r="6330" spans="1:2" x14ac:dyDescent="0.25">
      <c r="A6330">
        <v>6330</v>
      </c>
      <c r="B6330" t="str">
        <f t="shared" si="98"/>
        <v>ᢺ</v>
      </c>
    </row>
    <row r="6331" spans="1:2" x14ac:dyDescent="0.25">
      <c r="A6331">
        <v>6331</v>
      </c>
      <c r="B6331" t="str">
        <f t="shared" si="98"/>
        <v>ᢻ</v>
      </c>
    </row>
    <row r="6332" spans="1:2" x14ac:dyDescent="0.25">
      <c r="A6332">
        <v>6332</v>
      </c>
      <c r="B6332" t="str">
        <f t="shared" si="98"/>
        <v>ᢼ</v>
      </c>
    </row>
    <row r="6333" spans="1:2" x14ac:dyDescent="0.25">
      <c r="A6333">
        <v>6333</v>
      </c>
      <c r="B6333" t="str">
        <f t="shared" si="98"/>
        <v>ᢽ</v>
      </c>
    </row>
    <row r="6334" spans="1:2" x14ac:dyDescent="0.25">
      <c r="A6334">
        <v>6334</v>
      </c>
      <c r="B6334" t="str">
        <f t="shared" si="98"/>
        <v>ᢾ</v>
      </c>
    </row>
    <row r="6335" spans="1:2" x14ac:dyDescent="0.25">
      <c r="A6335">
        <v>6335</v>
      </c>
      <c r="B6335" t="str">
        <f t="shared" si="98"/>
        <v>ᢿ</v>
      </c>
    </row>
    <row r="6336" spans="1:2" x14ac:dyDescent="0.25">
      <c r="A6336">
        <v>6336</v>
      </c>
      <c r="B6336" t="str">
        <f t="shared" si="98"/>
        <v>ᣀ</v>
      </c>
    </row>
    <row r="6337" spans="1:2" x14ac:dyDescent="0.25">
      <c r="A6337">
        <v>6337</v>
      </c>
      <c r="B6337" t="str">
        <f t="shared" si="98"/>
        <v>ᣁ</v>
      </c>
    </row>
    <row r="6338" spans="1:2" x14ac:dyDescent="0.25">
      <c r="A6338">
        <v>6338</v>
      </c>
      <c r="B6338" t="str">
        <f t="shared" ref="B6338:B6401" si="99">_xlfn.UNICHAR(A6338)</f>
        <v>ᣂ</v>
      </c>
    </row>
    <row r="6339" spans="1:2" x14ac:dyDescent="0.25">
      <c r="A6339">
        <v>6339</v>
      </c>
      <c r="B6339" t="str">
        <f t="shared" si="99"/>
        <v>ᣃ</v>
      </c>
    </row>
    <row r="6340" spans="1:2" x14ac:dyDescent="0.25">
      <c r="A6340">
        <v>6340</v>
      </c>
      <c r="B6340" t="str">
        <f t="shared" si="99"/>
        <v>ᣄ</v>
      </c>
    </row>
    <row r="6341" spans="1:2" x14ac:dyDescent="0.25">
      <c r="A6341">
        <v>6341</v>
      </c>
      <c r="B6341" t="str">
        <f t="shared" si="99"/>
        <v>ᣅ</v>
      </c>
    </row>
    <row r="6342" spans="1:2" x14ac:dyDescent="0.25">
      <c r="A6342">
        <v>6342</v>
      </c>
      <c r="B6342" t="str">
        <f t="shared" si="99"/>
        <v>ᣆ</v>
      </c>
    </row>
    <row r="6343" spans="1:2" x14ac:dyDescent="0.25">
      <c r="A6343">
        <v>6343</v>
      </c>
      <c r="B6343" t="str">
        <f t="shared" si="99"/>
        <v>ᣇ</v>
      </c>
    </row>
    <row r="6344" spans="1:2" x14ac:dyDescent="0.25">
      <c r="A6344">
        <v>6344</v>
      </c>
      <c r="B6344" t="str">
        <f t="shared" si="99"/>
        <v>ᣈ</v>
      </c>
    </row>
    <row r="6345" spans="1:2" x14ac:dyDescent="0.25">
      <c r="A6345">
        <v>6345</v>
      </c>
      <c r="B6345" t="str">
        <f t="shared" si="99"/>
        <v>ᣉ</v>
      </c>
    </row>
    <row r="6346" spans="1:2" x14ac:dyDescent="0.25">
      <c r="A6346">
        <v>6346</v>
      </c>
      <c r="B6346" t="str">
        <f t="shared" si="99"/>
        <v>ᣊ</v>
      </c>
    </row>
    <row r="6347" spans="1:2" x14ac:dyDescent="0.25">
      <c r="A6347">
        <v>6347</v>
      </c>
      <c r="B6347" t="str">
        <f t="shared" si="99"/>
        <v>ᣋ</v>
      </c>
    </row>
    <row r="6348" spans="1:2" x14ac:dyDescent="0.25">
      <c r="A6348">
        <v>6348</v>
      </c>
      <c r="B6348" t="str">
        <f t="shared" si="99"/>
        <v>ᣌ</v>
      </c>
    </row>
    <row r="6349" spans="1:2" x14ac:dyDescent="0.25">
      <c r="A6349">
        <v>6349</v>
      </c>
      <c r="B6349" t="str">
        <f t="shared" si="99"/>
        <v>ᣍ</v>
      </c>
    </row>
    <row r="6350" spans="1:2" x14ac:dyDescent="0.25">
      <c r="A6350">
        <v>6350</v>
      </c>
      <c r="B6350" t="str">
        <f t="shared" si="99"/>
        <v>ᣎ</v>
      </c>
    </row>
    <row r="6351" spans="1:2" x14ac:dyDescent="0.25">
      <c r="A6351">
        <v>6351</v>
      </c>
      <c r="B6351" t="str">
        <f t="shared" si="99"/>
        <v>ᣏ</v>
      </c>
    </row>
    <row r="6352" spans="1:2" x14ac:dyDescent="0.25">
      <c r="A6352">
        <v>6352</v>
      </c>
      <c r="B6352" t="str">
        <f t="shared" si="99"/>
        <v>ᣐ</v>
      </c>
    </row>
    <row r="6353" spans="1:2" x14ac:dyDescent="0.25">
      <c r="A6353">
        <v>6353</v>
      </c>
      <c r="B6353" t="str">
        <f t="shared" si="99"/>
        <v>ᣑ</v>
      </c>
    </row>
    <row r="6354" spans="1:2" x14ac:dyDescent="0.25">
      <c r="A6354">
        <v>6354</v>
      </c>
      <c r="B6354" t="str">
        <f t="shared" si="99"/>
        <v>ᣒ</v>
      </c>
    </row>
    <row r="6355" spans="1:2" x14ac:dyDescent="0.25">
      <c r="A6355">
        <v>6355</v>
      </c>
      <c r="B6355" t="str">
        <f t="shared" si="99"/>
        <v>ᣓ</v>
      </c>
    </row>
    <row r="6356" spans="1:2" x14ac:dyDescent="0.25">
      <c r="A6356">
        <v>6356</v>
      </c>
      <c r="B6356" t="str">
        <f t="shared" si="99"/>
        <v>ᣔ</v>
      </c>
    </row>
    <row r="6357" spans="1:2" x14ac:dyDescent="0.25">
      <c r="A6357">
        <v>6357</v>
      </c>
      <c r="B6357" t="str">
        <f t="shared" si="99"/>
        <v>ᣕ</v>
      </c>
    </row>
    <row r="6358" spans="1:2" x14ac:dyDescent="0.25">
      <c r="A6358">
        <v>6358</v>
      </c>
      <c r="B6358" t="str">
        <f t="shared" si="99"/>
        <v>ᣖ</v>
      </c>
    </row>
    <row r="6359" spans="1:2" x14ac:dyDescent="0.25">
      <c r="A6359">
        <v>6359</v>
      </c>
      <c r="B6359" t="str">
        <f t="shared" si="99"/>
        <v>ᣗ</v>
      </c>
    </row>
    <row r="6360" spans="1:2" x14ac:dyDescent="0.25">
      <c r="A6360">
        <v>6360</v>
      </c>
      <c r="B6360" t="str">
        <f t="shared" si="99"/>
        <v>ᣘ</v>
      </c>
    </row>
    <row r="6361" spans="1:2" x14ac:dyDescent="0.25">
      <c r="A6361">
        <v>6361</v>
      </c>
      <c r="B6361" t="str">
        <f t="shared" si="99"/>
        <v>ᣙ</v>
      </c>
    </row>
    <row r="6362" spans="1:2" x14ac:dyDescent="0.25">
      <c r="A6362">
        <v>6362</v>
      </c>
      <c r="B6362" t="str">
        <f t="shared" si="99"/>
        <v>ᣚ</v>
      </c>
    </row>
    <row r="6363" spans="1:2" x14ac:dyDescent="0.25">
      <c r="A6363">
        <v>6363</v>
      </c>
      <c r="B6363" t="str">
        <f t="shared" si="99"/>
        <v>ᣛ</v>
      </c>
    </row>
    <row r="6364" spans="1:2" x14ac:dyDescent="0.25">
      <c r="A6364">
        <v>6364</v>
      </c>
      <c r="B6364" t="str">
        <f t="shared" si="99"/>
        <v>ᣜ</v>
      </c>
    </row>
    <row r="6365" spans="1:2" x14ac:dyDescent="0.25">
      <c r="A6365">
        <v>6365</v>
      </c>
      <c r="B6365" t="str">
        <f t="shared" si="99"/>
        <v>ᣝ</v>
      </c>
    </row>
    <row r="6366" spans="1:2" x14ac:dyDescent="0.25">
      <c r="A6366">
        <v>6366</v>
      </c>
      <c r="B6366" t="str">
        <f t="shared" si="99"/>
        <v>ᣞ</v>
      </c>
    </row>
    <row r="6367" spans="1:2" x14ac:dyDescent="0.25">
      <c r="A6367">
        <v>6367</v>
      </c>
      <c r="B6367" t="str">
        <f t="shared" si="99"/>
        <v>ᣟ</v>
      </c>
    </row>
    <row r="6368" spans="1:2" x14ac:dyDescent="0.25">
      <c r="A6368">
        <v>6368</v>
      </c>
      <c r="B6368" t="str">
        <f t="shared" si="99"/>
        <v>ᣠ</v>
      </c>
    </row>
    <row r="6369" spans="1:2" x14ac:dyDescent="0.25">
      <c r="A6369">
        <v>6369</v>
      </c>
      <c r="B6369" t="str">
        <f t="shared" si="99"/>
        <v>ᣡ</v>
      </c>
    </row>
    <row r="6370" spans="1:2" x14ac:dyDescent="0.25">
      <c r="A6370">
        <v>6370</v>
      </c>
      <c r="B6370" t="str">
        <f t="shared" si="99"/>
        <v>ᣢ</v>
      </c>
    </row>
    <row r="6371" spans="1:2" x14ac:dyDescent="0.25">
      <c r="A6371">
        <v>6371</v>
      </c>
      <c r="B6371" t="str">
        <f t="shared" si="99"/>
        <v>ᣣ</v>
      </c>
    </row>
    <row r="6372" spans="1:2" x14ac:dyDescent="0.25">
      <c r="A6372">
        <v>6372</v>
      </c>
      <c r="B6372" t="str">
        <f t="shared" si="99"/>
        <v>ᣤ</v>
      </c>
    </row>
    <row r="6373" spans="1:2" x14ac:dyDescent="0.25">
      <c r="A6373">
        <v>6373</v>
      </c>
      <c r="B6373" t="str">
        <f t="shared" si="99"/>
        <v>ᣥ</v>
      </c>
    </row>
    <row r="6374" spans="1:2" x14ac:dyDescent="0.25">
      <c r="A6374">
        <v>6374</v>
      </c>
      <c r="B6374" t="str">
        <f t="shared" si="99"/>
        <v>ᣦ</v>
      </c>
    </row>
    <row r="6375" spans="1:2" x14ac:dyDescent="0.25">
      <c r="A6375">
        <v>6375</v>
      </c>
      <c r="B6375" t="str">
        <f t="shared" si="99"/>
        <v>ᣧ</v>
      </c>
    </row>
    <row r="6376" spans="1:2" x14ac:dyDescent="0.25">
      <c r="A6376">
        <v>6376</v>
      </c>
      <c r="B6376" t="str">
        <f t="shared" si="99"/>
        <v>ᣨ</v>
      </c>
    </row>
    <row r="6377" spans="1:2" x14ac:dyDescent="0.25">
      <c r="A6377">
        <v>6377</v>
      </c>
      <c r="B6377" t="str">
        <f t="shared" si="99"/>
        <v>ᣩ</v>
      </c>
    </row>
    <row r="6378" spans="1:2" x14ac:dyDescent="0.25">
      <c r="A6378">
        <v>6378</v>
      </c>
      <c r="B6378" t="str">
        <f t="shared" si="99"/>
        <v>ᣪ</v>
      </c>
    </row>
    <row r="6379" spans="1:2" x14ac:dyDescent="0.25">
      <c r="A6379">
        <v>6379</v>
      </c>
      <c r="B6379" t="str">
        <f t="shared" si="99"/>
        <v>ᣫ</v>
      </c>
    </row>
    <row r="6380" spans="1:2" x14ac:dyDescent="0.25">
      <c r="A6380">
        <v>6380</v>
      </c>
      <c r="B6380" t="str">
        <f t="shared" si="99"/>
        <v>ᣬ</v>
      </c>
    </row>
    <row r="6381" spans="1:2" x14ac:dyDescent="0.25">
      <c r="A6381">
        <v>6381</v>
      </c>
      <c r="B6381" t="str">
        <f t="shared" si="99"/>
        <v>ᣭ</v>
      </c>
    </row>
    <row r="6382" spans="1:2" x14ac:dyDescent="0.25">
      <c r="A6382">
        <v>6382</v>
      </c>
      <c r="B6382" t="str">
        <f t="shared" si="99"/>
        <v>ᣮ</v>
      </c>
    </row>
    <row r="6383" spans="1:2" x14ac:dyDescent="0.25">
      <c r="A6383">
        <v>6383</v>
      </c>
      <c r="B6383" t="str">
        <f t="shared" si="99"/>
        <v>ᣯ</v>
      </c>
    </row>
    <row r="6384" spans="1:2" x14ac:dyDescent="0.25">
      <c r="A6384">
        <v>6384</v>
      </c>
      <c r="B6384" t="str">
        <f t="shared" si="99"/>
        <v>ᣰ</v>
      </c>
    </row>
    <row r="6385" spans="1:2" x14ac:dyDescent="0.25">
      <c r="A6385">
        <v>6385</v>
      </c>
      <c r="B6385" t="str">
        <f t="shared" si="99"/>
        <v>ᣱ</v>
      </c>
    </row>
    <row r="6386" spans="1:2" x14ac:dyDescent="0.25">
      <c r="A6386">
        <v>6386</v>
      </c>
      <c r="B6386" t="str">
        <f t="shared" si="99"/>
        <v>ᣲ</v>
      </c>
    </row>
    <row r="6387" spans="1:2" x14ac:dyDescent="0.25">
      <c r="A6387">
        <v>6387</v>
      </c>
      <c r="B6387" t="str">
        <f t="shared" si="99"/>
        <v>ᣳ</v>
      </c>
    </row>
    <row r="6388" spans="1:2" x14ac:dyDescent="0.25">
      <c r="A6388">
        <v>6388</v>
      </c>
      <c r="B6388" t="str">
        <f t="shared" si="99"/>
        <v>ᣴ</v>
      </c>
    </row>
    <row r="6389" spans="1:2" x14ac:dyDescent="0.25">
      <c r="A6389">
        <v>6389</v>
      </c>
      <c r="B6389" t="str">
        <f t="shared" si="99"/>
        <v>ᣵ</v>
      </c>
    </row>
    <row r="6390" spans="1:2" x14ac:dyDescent="0.25">
      <c r="A6390">
        <v>6390</v>
      </c>
      <c r="B6390" t="str">
        <f t="shared" si="99"/>
        <v>᣶</v>
      </c>
    </row>
    <row r="6391" spans="1:2" x14ac:dyDescent="0.25">
      <c r="A6391">
        <v>6391</v>
      </c>
      <c r="B6391" t="str">
        <f t="shared" si="99"/>
        <v>᣷</v>
      </c>
    </row>
    <row r="6392" spans="1:2" x14ac:dyDescent="0.25">
      <c r="A6392">
        <v>6392</v>
      </c>
      <c r="B6392" t="str">
        <f t="shared" si="99"/>
        <v>᣸</v>
      </c>
    </row>
    <row r="6393" spans="1:2" x14ac:dyDescent="0.25">
      <c r="A6393">
        <v>6393</v>
      </c>
      <c r="B6393" t="str">
        <f t="shared" si="99"/>
        <v>᣹</v>
      </c>
    </row>
    <row r="6394" spans="1:2" x14ac:dyDescent="0.25">
      <c r="A6394">
        <v>6394</v>
      </c>
      <c r="B6394" t="str">
        <f t="shared" si="99"/>
        <v>᣺</v>
      </c>
    </row>
    <row r="6395" spans="1:2" x14ac:dyDescent="0.25">
      <c r="A6395">
        <v>6395</v>
      </c>
      <c r="B6395" t="str">
        <f t="shared" si="99"/>
        <v>᣻</v>
      </c>
    </row>
    <row r="6396" spans="1:2" x14ac:dyDescent="0.25">
      <c r="A6396">
        <v>6396</v>
      </c>
      <c r="B6396" t="str">
        <f t="shared" si="99"/>
        <v>᣼</v>
      </c>
    </row>
    <row r="6397" spans="1:2" x14ac:dyDescent="0.25">
      <c r="A6397">
        <v>6397</v>
      </c>
      <c r="B6397" t="str">
        <f t="shared" si="99"/>
        <v>᣽</v>
      </c>
    </row>
    <row r="6398" spans="1:2" x14ac:dyDescent="0.25">
      <c r="A6398">
        <v>6398</v>
      </c>
      <c r="B6398" t="str">
        <f t="shared" si="99"/>
        <v>᣾</v>
      </c>
    </row>
    <row r="6399" spans="1:2" x14ac:dyDescent="0.25">
      <c r="A6399">
        <v>6399</v>
      </c>
      <c r="B6399" t="str">
        <f t="shared" si="99"/>
        <v>᣿</v>
      </c>
    </row>
    <row r="6400" spans="1:2" x14ac:dyDescent="0.25">
      <c r="A6400">
        <v>6400</v>
      </c>
      <c r="B6400" t="str">
        <f t="shared" si="99"/>
        <v>ᤀ</v>
      </c>
    </row>
    <row r="6401" spans="1:2" x14ac:dyDescent="0.25">
      <c r="A6401">
        <v>6401</v>
      </c>
      <c r="B6401" t="str">
        <f t="shared" si="99"/>
        <v>ᤁ</v>
      </c>
    </row>
    <row r="6402" spans="1:2" x14ac:dyDescent="0.25">
      <c r="A6402">
        <v>6402</v>
      </c>
      <c r="B6402" t="str">
        <f t="shared" ref="B6402:B6465" si="100">_xlfn.UNICHAR(A6402)</f>
        <v>ᤂ</v>
      </c>
    </row>
    <row r="6403" spans="1:2" x14ac:dyDescent="0.25">
      <c r="A6403">
        <v>6403</v>
      </c>
      <c r="B6403" t="str">
        <f t="shared" si="100"/>
        <v>ᤃ</v>
      </c>
    </row>
    <row r="6404" spans="1:2" x14ac:dyDescent="0.25">
      <c r="A6404">
        <v>6404</v>
      </c>
      <c r="B6404" t="str">
        <f t="shared" si="100"/>
        <v>ᤄ</v>
      </c>
    </row>
    <row r="6405" spans="1:2" x14ac:dyDescent="0.25">
      <c r="A6405">
        <v>6405</v>
      </c>
      <c r="B6405" t="str">
        <f t="shared" si="100"/>
        <v>ᤅ</v>
      </c>
    </row>
    <row r="6406" spans="1:2" x14ac:dyDescent="0.25">
      <c r="A6406">
        <v>6406</v>
      </c>
      <c r="B6406" t="str">
        <f t="shared" si="100"/>
        <v>ᤆ</v>
      </c>
    </row>
    <row r="6407" spans="1:2" x14ac:dyDescent="0.25">
      <c r="A6407">
        <v>6407</v>
      </c>
      <c r="B6407" t="str">
        <f t="shared" si="100"/>
        <v>ᤇ</v>
      </c>
    </row>
    <row r="6408" spans="1:2" x14ac:dyDescent="0.25">
      <c r="A6408">
        <v>6408</v>
      </c>
      <c r="B6408" t="str">
        <f t="shared" si="100"/>
        <v>ᤈ</v>
      </c>
    </row>
    <row r="6409" spans="1:2" x14ac:dyDescent="0.25">
      <c r="A6409">
        <v>6409</v>
      </c>
      <c r="B6409" t="str">
        <f t="shared" si="100"/>
        <v>ᤉ</v>
      </c>
    </row>
    <row r="6410" spans="1:2" x14ac:dyDescent="0.25">
      <c r="A6410">
        <v>6410</v>
      </c>
      <c r="B6410" t="str">
        <f t="shared" si="100"/>
        <v>ᤊ</v>
      </c>
    </row>
    <row r="6411" spans="1:2" x14ac:dyDescent="0.25">
      <c r="A6411">
        <v>6411</v>
      </c>
      <c r="B6411" t="str">
        <f t="shared" si="100"/>
        <v>ᤋ</v>
      </c>
    </row>
    <row r="6412" spans="1:2" x14ac:dyDescent="0.25">
      <c r="A6412">
        <v>6412</v>
      </c>
      <c r="B6412" t="str">
        <f t="shared" si="100"/>
        <v>ᤌ</v>
      </c>
    </row>
    <row r="6413" spans="1:2" x14ac:dyDescent="0.25">
      <c r="A6413">
        <v>6413</v>
      </c>
      <c r="B6413" t="str">
        <f t="shared" si="100"/>
        <v>ᤍ</v>
      </c>
    </row>
    <row r="6414" spans="1:2" x14ac:dyDescent="0.25">
      <c r="A6414">
        <v>6414</v>
      </c>
      <c r="B6414" t="str">
        <f t="shared" si="100"/>
        <v>ᤎ</v>
      </c>
    </row>
    <row r="6415" spans="1:2" x14ac:dyDescent="0.25">
      <c r="A6415">
        <v>6415</v>
      </c>
      <c r="B6415" t="str">
        <f t="shared" si="100"/>
        <v>ᤏ</v>
      </c>
    </row>
    <row r="6416" spans="1:2" x14ac:dyDescent="0.25">
      <c r="A6416">
        <v>6416</v>
      </c>
      <c r="B6416" t="str">
        <f t="shared" si="100"/>
        <v>ᤐ</v>
      </c>
    </row>
    <row r="6417" spans="1:2" x14ac:dyDescent="0.25">
      <c r="A6417">
        <v>6417</v>
      </c>
      <c r="B6417" t="str">
        <f t="shared" si="100"/>
        <v>ᤑ</v>
      </c>
    </row>
    <row r="6418" spans="1:2" x14ac:dyDescent="0.25">
      <c r="A6418">
        <v>6418</v>
      </c>
      <c r="B6418" t="str">
        <f t="shared" si="100"/>
        <v>ᤒ</v>
      </c>
    </row>
    <row r="6419" spans="1:2" x14ac:dyDescent="0.25">
      <c r="A6419">
        <v>6419</v>
      </c>
      <c r="B6419" t="str">
        <f t="shared" si="100"/>
        <v>ᤓ</v>
      </c>
    </row>
    <row r="6420" spans="1:2" x14ac:dyDescent="0.25">
      <c r="A6420">
        <v>6420</v>
      </c>
      <c r="B6420" t="str">
        <f t="shared" si="100"/>
        <v>ᤔ</v>
      </c>
    </row>
    <row r="6421" spans="1:2" x14ac:dyDescent="0.25">
      <c r="A6421">
        <v>6421</v>
      </c>
      <c r="B6421" t="str">
        <f t="shared" si="100"/>
        <v>ᤕ</v>
      </c>
    </row>
    <row r="6422" spans="1:2" x14ac:dyDescent="0.25">
      <c r="A6422">
        <v>6422</v>
      </c>
      <c r="B6422" t="str">
        <f t="shared" si="100"/>
        <v>ᤖ</v>
      </c>
    </row>
    <row r="6423" spans="1:2" x14ac:dyDescent="0.25">
      <c r="A6423">
        <v>6423</v>
      </c>
      <c r="B6423" t="str">
        <f t="shared" si="100"/>
        <v>ᤗ</v>
      </c>
    </row>
    <row r="6424" spans="1:2" x14ac:dyDescent="0.25">
      <c r="A6424">
        <v>6424</v>
      </c>
      <c r="B6424" t="str">
        <f t="shared" si="100"/>
        <v>ᤘ</v>
      </c>
    </row>
    <row r="6425" spans="1:2" x14ac:dyDescent="0.25">
      <c r="A6425">
        <v>6425</v>
      </c>
      <c r="B6425" t="str">
        <f t="shared" si="100"/>
        <v>ᤙ</v>
      </c>
    </row>
    <row r="6426" spans="1:2" x14ac:dyDescent="0.25">
      <c r="A6426">
        <v>6426</v>
      </c>
      <c r="B6426" t="str">
        <f t="shared" si="100"/>
        <v>ᤚ</v>
      </c>
    </row>
    <row r="6427" spans="1:2" x14ac:dyDescent="0.25">
      <c r="A6427">
        <v>6427</v>
      </c>
      <c r="B6427" t="str">
        <f t="shared" si="100"/>
        <v>ᤛ</v>
      </c>
    </row>
    <row r="6428" spans="1:2" x14ac:dyDescent="0.25">
      <c r="A6428">
        <v>6428</v>
      </c>
      <c r="B6428" t="str">
        <f t="shared" si="100"/>
        <v>ᤜ</v>
      </c>
    </row>
    <row r="6429" spans="1:2" x14ac:dyDescent="0.25">
      <c r="A6429">
        <v>6429</v>
      </c>
      <c r="B6429" t="str">
        <f t="shared" si="100"/>
        <v>ᤝ</v>
      </c>
    </row>
    <row r="6430" spans="1:2" x14ac:dyDescent="0.25">
      <c r="A6430">
        <v>6430</v>
      </c>
      <c r="B6430" t="str">
        <f t="shared" si="100"/>
        <v>ᤞ</v>
      </c>
    </row>
    <row r="6431" spans="1:2" x14ac:dyDescent="0.25">
      <c r="A6431">
        <v>6431</v>
      </c>
      <c r="B6431" t="str">
        <f t="shared" si="100"/>
        <v>᤟</v>
      </c>
    </row>
    <row r="6432" spans="1:2" x14ac:dyDescent="0.25">
      <c r="A6432">
        <v>6432</v>
      </c>
      <c r="B6432" t="str">
        <f t="shared" si="100"/>
        <v>ᤠ</v>
      </c>
    </row>
    <row r="6433" spans="1:2" x14ac:dyDescent="0.25">
      <c r="A6433">
        <v>6433</v>
      </c>
      <c r="B6433" t="str">
        <f t="shared" si="100"/>
        <v>ᤡ</v>
      </c>
    </row>
    <row r="6434" spans="1:2" x14ac:dyDescent="0.25">
      <c r="A6434">
        <v>6434</v>
      </c>
      <c r="B6434" t="str">
        <f t="shared" si="100"/>
        <v>ᤢ</v>
      </c>
    </row>
    <row r="6435" spans="1:2" x14ac:dyDescent="0.25">
      <c r="A6435">
        <v>6435</v>
      </c>
      <c r="B6435" t="str">
        <f t="shared" si="100"/>
        <v>ᤣ</v>
      </c>
    </row>
    <row r="6436" spans="1:2" x14ac:dyDescent="0.25">
      <c r="A6436">
        <v>6436</v>
      </c>
      <c r="B6436" t="str">
        <f t="shared" si="100"/>
        <v>ᤤ</v>
      </c>
    </row>
    <row r="6437" spans="1:2" x14ac:dyDescent="0.25">
      <c r="A6437">
        <v>6437</v>
      </c>
      <c r="B6437" t="str">
        <f t="shared" si="100"/>
        <v>ᤥ</v>
      </c>
    </row>
    <row r="6438" spans="1:2" x14ac:dyDescent="0.25">
      <c r="A6438">
        <v>6438</v>
      </c>
      <c r="B6438" t="str">
        <f t="shared" si="100"/>
        <v>ᤦ</v>
      </c>
    </row>
    <row r="6439" spans="1:2" x14ac:dyDescent="0.25">
      <c r="A6439">
        <v>6439</v>
      </c>
      <c r="B6439" t="str">
        <f t="shared" si="100"/>
        <v>ᤧ</v>
      </c>
    </row>
    <row r="6440" spans="1:2" x14ac:dyDescent="0.25">
      <c r="A6440">
        <v>6440</v>
      </c>
      <c r="B6440" t="str">
        <f t="shared" si="100"/>
        <v>ᤨ</v>
      </c>
    </row>
    <row r="6441" spans="1:2" x14ac:dyDescent="0.25">
      <c r="A6441">
        <v>6441</v>
      </c>
      <c r="B6441" t="str">
        <f t="shared" si="100"/>
        <v>ᤩ</v>
      </c>
    </row>
    <row r="6442" spans="1:2" x14ac:dyDescent="0.25">
      <c r="A6442">
        <v>6442</v>
      </c>
      <c r="B6442" t="str">
        <f t="shared" si="100"/>
        <v>ᤪ</v>
      </c>
    </row>
    <row r="6443" spans="1:2" x14ac:dyDescent="0.25">
      <c r="A6443">
        <v>6443</v>
      </c>
      <c r="B6443" t="str">
        <f t="shared" si="100"/>
        <v>ᤫ</v>
      </c>
    </row>
    <row r="6444" spans="1:2" x14ac:dyDescent="0.25">
      <c r="A6444">
        <v>6444</v>
      </c>
      <c r="B6444" t="str">
        <f t="shared" si="100"/>
        <v>᤬</v>
      </c>
    </row>
    <row r="6445" spans="1:2" x14ac:dyDescent="0.25">
      <c r="A6445">
        <v>6445</v>
      </c>
      <c r="B6445" t="str">
        <f t="shared" si="100"/>
        <v>᤭</v>
      </c>
    </row>
    <row r="6446" spans="1:2" x14ac:dyDescent="0.25">
      <c r="A6446">
        <v>6446</v>
      </c>
      <c r="B6446" t="str">
        <f t="shared" si="100"/>
        <v>᤮</v>
      </c>
    </row>
    <row r="6447" spans="1:2" x14ac:dyDescent="0.25">
      <c r="A6447">
        <v>6447</v>
      </c>
      <c r="B6447" t="str">
        <f t="shared" si="100"/>
        <v>᤯</v>
      </c>
    </row>
    <row r="6448" spans="1:2" x14ac:dyDescent="0.25">
      <c r="A6448">
        <v>6448</v>
      </c>
      <c r="B6448" t="str">
        <f t="shared" si="100"/>
        <v>ᤰ</v>
      </c>
    </row>
    <row r="6449" spans="1:2" x14ac:dyDescent="0.25">
      <c r="A6449">
        <v>6449</v>
      </c>
      <c r="B6449" t="str">
        <f t="shared" si="100"/>
        <v>ᤱ</v>
      </c>
    </row>
    <row r="6450" spans="1:2" x14ac:dyDescent="0.25">
      <c r="A6450">
        <v>6450</v>
      </c>
      <c r="B6450" t="str">
        <f t="shared" si="100"/>
        <v>ᤲ</v>
      </c>
    </row>
    <row r="6451" spans="1:2" x14ac:dyDescent="0.25">
      <c r="A6451">
        <v>6451</v>
      </c>
      <c r="B6451" t="str">
        <f t="shared" si="100"/>
        <v>ᤳ</v>
      </c>
    </row>
    <row r="6452" spans="1:2" x14ac:dyDescent="0.25">
      <c r="A6452">
        <v>6452</v>
      </c>
      <c r="B6452" t="str">
        <f t="shared" si="100"/>
        <v>ᤴ</v>
      </c>
    </row>
    <row r="6453" spans="1:2" x14ac:dyDescent="0.25">
      <c r="A6453">
        <v>6453</v>
      </c>
      <c r="B6453" t="str">
        <f t="shared" si="100"/>
        <v>ᤵ</v>
      </c>
    </row>
    <row r="6454" spans="1:2" x14ac:dyDescent="0.25">
      <c r="A6454">
        <v>6454</v>
      </c>
      <c r="B6454" t="str">
        <f t="shared" si="100"/>
        <v>ᤶ</v>
      </c>
    </row>
    <row r="6455" spans="1:2" x14ac:dyDescent="0.25">
      <c r="A6455">
        <v>6455</v>
      </c>
      <c r="B6455" t="str">
        <f t="shared" si="100"/>
        <v>ᤷ</v>
      </c>
    </row>
    <row r="6456" spans="1:2" x14ac:dyDescent="0.25">
      <c r="A6456">
        <v>6456</v>
      </c>
      <c r="B6456" t="str">
        <f t="shared" si="100"/>
        <v>ᤸ</v>
      </c>
    </row>
    <row r="6457" spans="1:2" x14ac:dyDescent="0.25">
      <c r="A6457">
        <v>6457</v>
      </c>
      <c r="B6457" t="str">
        <f t="shared" si="100"/>
        <v>᤹</v>
      </c>
    </row>
    <row r="6458" spans="1:2" x14ac:dyDescent="0.25">
      <c r="A6458">
        <v>6458</v>
      </c>
      <c r="B6458" t="str">
        <f t="shared" si="100"/>
        <v>᤺</v>
      </c>
    </row>
    <row r="6459" spans="1:2" x14ac:dyDescent="0.25">
      <c r="A6459">
        <v>6459</v>
      </c>
      <c r="B6459" t="str">
        <f t="shared" si="100"/>
        <v>᤻</v>
      </c>
    </row>
    <row r="6460" spans="1:2" x14ac:dyDescent="0.25">
      <c r="A6460">
        <v>6460</v>
      </c>
      <c r="B6460" t="str">
        <f t="shared" si="100"/>
        <v>᤼</v>
      </c>
    </row>
    <row r="6461" spans="1:2" x14ac:dyDescent="0.25">
      <c r="A6461">
        <v>6461</v>
      </c>
      <c r="B6461" t="str">
        <f t="shared" si="100"/>
        <v>᤽</v>
      </c>
    </row>
    <row r="6462" spans="1:2" x14ac:dyDescent="0.25">
      <c r="A6462">
        <v>6462</v>
      </c>
      <c r="B6462" t="str">
        <f t="shared" si="100"/>
        <v>᤾</v>
      </c>
    </row>
    <row r="6463" spans="1:2" x14ac:dyDescent="0.25">
      <c r="A6463">
        <v>6463</v>
      </c>
      <c r="B6463" t="str">
        <f t="shared" si="100"/>
        <v>᤿</v>
      </c>
    </row>
    <row r="6464" spans="1:2" x14ac:dyDescent="0.25">
      <c r="A6464">
        <v>6464</v>
      </c>
      <c r="B6464" t="str">
        <f t="shared" si="100"/>
        <v>᥀</v>
      </c>
    </row>
    <row r="6465" spans="1:2" x14ac:dyDescent="0.25">
      <c r="A6465">
        <v>6465</v>
      </c>
      <c r="B6465" t="str">
        <f t="shared" si="100"/>
        <v>᥁</v>
      </c>
    </row>
    <row r="6466" spans="1:2" x14ac:dyDescent="0.25">
      <c r="A6466">
        <v>6466</v>
      </c>
      <c r="B6466" t="str">
        <f t="shared" ref="B6466:B6529" si="101">_xlfn.UNICHAR(A6466)</f>
        <v>᥂</v>
      </c>
    </row>
    <row r="6467" spans="1:2" x14ac:dyDescent="0.25">
      <c r="A6467">
        <v>6467</v>
      </c>
      <c r="B6467" t="str">
        <f t="shared" si="101"/>
        <v>᥃</v>
      </c>
    </row>
    <row r="6468" spans="1:2" x14ac:dyDescent="0.25">
      <c r="A6468">
        <v>6468</v>
      </c>
      <c r="B6468" t="str">
        <f t="shared" si="101"/>
        <v>᥄</v>
      </c>
    </row>
    <row r="6469" spans="1:2" x14ac:dyDescent="0.25">
      <c r="A6469">
        <v>6469</v>
      </c>
      <c r="B6469" t="str">
        <f t="shared" si="101"/>
        <v>᥅</v>
      </c>
    </row>
    <row r="6470" spans="1:2" x14ac:dyDescent="0.25">
      <c r="A6470">
        <v>6470</v>
      </c>
      <c r="B6470" t="str">
        <f t="shared" si="101"/>
        <v>᥆</v>
      </c>
    </row>
    <row r="6471" spans="1:2" x14ac:dyDescent="0.25">
      <c r="A6471">
        <v>6471</v>
      </c>
      <c r="B6471" t="str">
        <f t="shared" si="101"/>
        <v>᥇</v>
      </c>
    </row>
    <row r="6472" spans="1:2" x14ac:dyDescent="0.25">
      <c r="A6472">
        <v>6472</v>
      </c>
      <c r="B6472" t="str">
        <f t="shared" si="101"/>
        <v>᥈</v>
      </c>
    </row>
    <row r="6473" spans="1:2" x14ac:dyDescent="0.25">
      <c r="A6473">
        <v>6473</v>
      </c>
      <c r="B6473" t="str">
        <f t="shared" si="101"/>
        <v>᥉</v>
      </c>
    </row>
    <row r="6474" spans="1:2" x14ac:dyDescent="0.25">
      <c r="A6474">
        <v>6474</v>
      </c>
      <c r="B6474" t="str">
        <f t="shared" si="101"/>
        <v>᥊</v>
      </c>
    </row>
    <row r="6475" spans="1:2" x14ac:dyDescent="0.25">
      <c r="A6475">
        <v>6475</v>
      </c>
      <c r="B6475" t="str">
        <f t="shared" si="101"/>
        <v>᥋</v>
      </c>
    </row>
    <row r="6476" spans="1:2" x14ac:dyDescent="0.25">
      <c r="A6476">
        <v>6476</v>
      </c>
      <c r="B6476" t="str">
        <f t="shared" si="101"/>
        <v>᥌</v>
      </c>
    </row>
    <row r="6477" spans="1:2" x14ac:dyDescent="0.25">
      <c r="A6477">
        <v>6477</v>
      </c>
      <c r="B6477" t="str">
        <f t="shared" si="101"/>
        <v>᥍</v>
      </c>
    </row>
    <row r="6478" spans="1:2" x14ac:dyDescent="0.25">
      <c r="A6478">
        <v>6478</v>
      </c>
      <c r="B6478" t="str">
        <f t="shared" si="101"/>
        <v>᥎</v>
      </c>
    </row>
    <row r="6479" spans="1:2" x14ac:dyDescent="0.25">
      <c r="A6479">
        <v>6479</v>
      </c>
      <c r="B6479" t="str">
        <f t="shared" si="101"/>
        <v>᥏</v>
      </c>
    </row>
    <row r="6480" spans="1:2" x14ac:dyDescent="0.25">
      <c r="A6480">
        <v>6480</v>
      </c>
      <c r="B6480" t="str">
        <f t="shared" si="101"/>
        <v>ᥐ</v>
      </c>
    </row>
    <row r="6481" spans="1:2" x14ac:dyDescent="0.25">
      <c r="A6481">
        <v>6481</v>
      </c>
      <c r="B6481" t="str">
        <f t="shared" si="101"/>
        <v>ᥑ</v>
      </c>
    </row>
    <row r="6482" spans="1:2" x14ac:dyDescent="0.25">
      <c r="A6482">
        <v>6482</v>
      </c>
      <c r="B6482" t="str">
        <f t="shared" si="101"/>
        <v>ᥒ</v>
      </c>
    </row>
    <row r="6483" spans="1:2" x14ac:dyDescent="0.25">
      <c r="A6483">
        <v>6483</v>
      </c>
      <c r="B6483" t="str">
        <f t="shared" si="101"/>
        <v>ᥓ</v>
      </c>
    </row>
    <row r="6484" spans="1:2" x14ac:dyDescent="0.25">
      <c r="A6484">
        <v>6484</v>
      </c>
      <c r="B6484" t="str">
        <f t="shared" si="101"/>
        <v>ᥔ</v>
      </c>
    </row>
    <row r="6485" spans="1:2" x14ac:dyDescent="0.25">
      <c r="A6485">
        <v>6485</v>
      </c>
      <c r="B6485" t="str">
        <f t="shared" si="101"/>
        <v>ᥕ</v>
      </c>
    </row>
    <row r="6486" spans="1:2" x14ac:dyDescent="0.25">
      <c r="A6486">
        <v>6486</v>
      </c>
      <c r="B6486" t="str">
        <f t="shared" si="101"/>
        <v>ᥖ</v>
      </c>
    </row>
    <row r="6487" spans="1:2" x14ac:dyDescent="0.25">
      <c r="A6487">
        <v>6487</v>
      </c>
      <c r="B6487" t="str">
        <f t="shared" si="101"/>
        <v>ᥗ</v>
      </c>
    </row>
    <row r="6488" spans="1:2" x14ac:dyDescent="0.25">
      <c r="A6488">
        <v>6488</v>
      </c>
      <c r="B6488" t="str">
        <f t="shared" si="101"/>
        <v>ᥘ</v>
      </c>
    </row>
    <row r="6489" spans="1:2" x14ac:dyDescent="0.25">
      <c r="A6489">
        <v>6489</v>
      </c>
      <c r="B6489" t="str">
        <f t="shared" si="101"/>
        <v>ᥙ</v>
      </c>
    </row>
    <row r="6490" spans="1:2" x14ac:dyDescent="0.25">
      <c r="A6490">
        <v>6490</v>
      </c>
      <c r="B6490" t="str">
        <f t="shared" si="101"/>
        <v>ᥚ</v>
      </c>
    </row>
    <row r="6491" spans="1:2" x14ac:dyDescent="0.25">
      <c r="A6491">
        <v>6491</v>
      </c>
      <c r="B6491" t="str">
        <f t="shared" si="101"/>
        <v>ᥛ</v>
      </c>
    </row>
    <row r="6492" spans="1:2" x14ac:dyDescent="0.25">
      <c r="A6492">
        <v>6492</v>
      </c>
      <c r="B6492" t="str">
        <f t="shared" si="101"/>
        <v>ᥜ</v>
      </c>
    </row>
    <row r="6493" spans="1:2" x14ac:dyDescent="0.25">
      <c r="A6493">
        <v>6493</v>
      </c>
      <c r="B6493" t="str">
        <f t="shared" si="101"/>
        <v>ᥝ</v>
      </c>
    </row>
    <row r="6494" spans="1:2" x14ac:dyDescent="0.25">
      <c r="A6494">
        <v>6494</v>
      </c>
      <c r="B6494" t="str">
        <f t="shared" si="101"/>
        <v>ᥞ</v>
      </c>
    </row>
    <row r="6495" spans="1:2" x14ac:dyDescent="0.25">
      <c r="A6495">
        <v>6495</v>
      </c>
      <c r="B6495" t="str">
        <f t="shared" si="101"/>
        <v>ᥟ</v>
      </c>
    </row>
    <row r="6496" spans="1:2" x14ac:dyDescent="0.25">
      <c r="A6496">
        <v>6496</v>
      </c>
      <c r="B6496" t="str">
        <f t="shared" si="101"/>
        <v>ᥠ</v>
      </c>
    </row>
    <row r="6497" spans="1:2" x14ac:dyDescent="0.25">
      <c r="A6497">
        <v>6497</v>
      </c>
      <c r="B6497" t="str">
        <f t="shared" si="101"/>
        <v>ᥡ</v>
      </c>
    </row>
    <row r="6498" spans="1:2" x14ac:dyDescent="0.25">
      <c r="A6498">
        <v>6498</v>
      </c>
      <c r="B6498" t="str">
        <f t="shared" si="101"/>
        <v>ᥢ</v>
      </c>
    </row>
    <row r="6499" spans="1:2" x14ac:dyDescent="0.25">
      <c r="A6499">
        <v>6499</v>
      </c>
      <c r="B6499" t="str">
        <f t="shared" si="101"/>
        <v>ᥣ</v>
      </c>
    </row>
    <row r="6500" spans="1:2" x14ac:dyDescent="0.25">
      <c r="A6500">
        <v>6500</v>
      </c>
      <c r="B6500" t="str">
        <f t="shared" si="101"/>
        <v>ᥤ</v>
      </c>
    </row>
    <row r="6501" spans="1:2" x14ac:dyDescent="0.25">
      <c r="A6501">
        <v>6501</v>
      </c>
      <c r="B6501" t="str">
        <f t="shared" si="101"/>
        <v>ᥥ</v>
      </c>
    </row>
    <row r="6502" spans="1:2" x14ac:dyDescent="0.25">
      <c r="A6502">
        <v>6502</v>
      </c>
      <c r="B6502" t="str">
        <f t="shared" si="101"/>
        <v>ᥦ</v>
      </c>
    </row>
    <row r="6503" spans="1:2" x14ac:dyDescent="0.25">
      <c r="A6503">
        <v>6503</v>
      </c>
      <c r="B6503" t="str">
        <f t="shared" si="101"/>
        <v>ᥧ</v>
      </c>
    </row>
    <row r="6504" spans="1:2" x14ac:dyDescent="0.25">
      <c r="A6504">
        <v>6504</v>
      </c>
      <c r="B6504" t="str">
        <f t="shared" si="101"/>
        <v>ᥨ</v>
      </c>
    </row>
    <row r="6505" spans="1:2" x14ac:dyDescent="0.25">
      <c r="A6505">
        <v>6505</v>
      </c>
      <c r="B6505" t="str">
        <f t="shared" si="101"/>
        <v>ᥩ</v>
      </c>
    </row>
    <row r="6506" spans="1:2" x14ac:dyDescent="0.25">
      <c r="A6506">
        <v>6506</v>
      </c>
      <c r="B6506" t="str">
        <f t="shared" si="101"/>
        <v>ᥪ</v>
      </c>
    </row>
    <row r="6507" spans="1:2" x14ac:dyDescent="0.25">
      <c r="A6507">
        <v>6507</v>
      </c>
      <c r="B6507" t="str">
        <f t="shared" si="101"/>
        <v>ᥫ</v>
      </c>
    </row>
    <row r="6508" spans="1:2" x14ac:dyDescent="0.25">
      <c r="A6508">
        <v>6508</v>
      </c>
      <c r="B6508" t="str">
        <f t="shared" si="101"/>
        <v>ᥬ</v>
      </c>
    </row>
    <row r="6509" spans="1:2" x14ac:dyDescent="0.25">
      <c r="A6509">
        <v>6509</v>
      </c>
      <c r="B6509" t="str">
        <f t="shared" si="101"/>
        <v>ᥭ</v>
      </c>
    </row>
    <row r="6510" spans="1:2" x14ac:dyDescent="0.25">
      <c r="A6510">
        <v>6510</v>
      </c>
      <c r="B6510" t="str">
        <f t="shared" si="101"/>
        <v>᥮</v>
      </c>
    </row>
    <row r="6511" spans="1:2" x14ac:dyDescent="0.25">
      <c r="A6511">
        <v>6511</v>
      </c>
      <c r="B6511" t="str">
        <f t="shared" si="101"/>
        <v>᥯</v>
      </c>
    </row>
    <row r="6512" spans="1:2" x14ac:dyDescent="0.25">
      <c r="A6512">
        <v>6512</v>
      </c>
      <c r="B6512" t="str">
        <f t="shared" si="101"/>
        <v>ᥰ</v>
      </c>
    </row>
    <row r="6513" spans="1:2" x14ac:dyDescent="0.25">
      <c r="A6513">
        <v>6513</v>
      </c>
      <c r="B6513" t="str">
        <f t="shared" si="101"/>
        <v>ᥱ</v>
      </c>
    </row>
    <row r="6514" spans="1:2" x14ac:dyDescent="0.25">
      <c r="A6514">
        <v>6514</v>
      </c>
      <c r="B6514" t="str">
        <f t="shared" si="101"/>
        <v>ᥲ</v>
      </c>
    </row>
    <row r="6515" spans="1:2" x14ac:dyDescent="0.25">
      <c r="A6515">
        <v>6515</v>
      </c>
      <c r="B6515" t="str">
        <f t="shared" si="101"/>
        <v>ᥳ</v>
      </c>
    </row>
    <row r="6516" spans="1:2" x14ac:dyDescent="0.25">
      <c r="A6516">
        <v>6516</v>
      </c>
      <c r="B6516" t="str">
        <f t="shared" si="101"/>
        <v>ᥴ</v>
      </c>
    </row>
    <row r="6517" spans="1:2" x14ac:dyDescent="0.25">
      <c r="A6517">
        <v>6517</v>
      </c>
      <c r="B6517" t="str">
        <f t="shared" si="101"/>
        <v>᥵</v>
      </c>
    </row>
    <row r="6518" spans="1:2" x14ac:dyDescent="0.25">
      <c r="A6518">
        <v>6518</v>
      </c>
      <c r="B6518" t="str">
        <f t="shared" si="101"/>
        <v>᥶</v>
      </c>
    </row>
    <row r="6519" spans="1:2" x14ac:dyDescent="0.25">
      <c r="A6519">
        <v>6519</v>
      </c>
      <c r="B6519" t="str">
        <f t="shared" si="101"/>
        <v>᥷</v>
      </c>
    </row>
    <row r="6520" spans="1:2" x14ac:dyDescent="0.25">
      <c r="A6520">
        <v>6520</v>
      </c>
      <c r="B6520" t="str">
        <f t="shared" si="101"/>
        <v>᥸</v>
      </c>
    </row>
    <row r="6521" spans="1:2" x14ac:dyDescent="0.25">
      <c r="A6521">
        <v>6521</v>
      </c>
      <c r="B6521" t="str">
        <f t="shared" si="101"/>
        <v>᥹</v>
      </c>
    </row>
    <row r="6522" spans="1:2" x14ac:dyDescent="0.25">
      <c r="A6522">
        <v>6522</v>
      </c>
      <c r="B6522" t="str">
        <f t="shared" si="101"/>
        <v>᥺</v>
      </c>
    </row>
    <row r="6523" spans="1:2" x14ac:dyDescent="0.25">
      <c r="A6523">
        <v>6523</v>
      </c>
      <c r="B6523" t="str">
        <f t="shared" si="101"/>
        <v>᥻</v>
      </c>
    </row>
    <row r="6524" spans="1:2" x14ac:dyDescent="0.25">
      <c r="A6524">
        <v>6524</v>
      </c>
      <c r="B6524" t="str">
        <f t="shared" si="101"/>
        <v>᥼</v>
      </c>
    </row>
    <row r="6525" spans="1:2" x14ac:dyDescent="0.25">
      <c r="A6525">
        <v>6525</v>
      </c>
      <c r="B6525" t="str">
        <f t="shared" si="101"/>
        <v>᥽</v>
      </c>
    </row>
    <row r="6526" spans="1:2" x14ac:dyDescent="0.25">
      <c r="A6526">
        <v>6526</v>
      </c>
      <c r="B6526" t="str">
        <f t="shared" si="101"/>
        <v>᥾</v>
      </c>
    </row>
    <row r="6527" spans="1:2" x14ac:dyDescent="0.25">
      <c r="A6527">
        <v>6527</v>
      </c>
      <c r="B6527" t="str">
        <f t="shared" si="101"/>
        <v>᥿</v>
      </c>
    </row>
    <row r="6528" spans="1:2" x14ac:dyDescent="0.25">
      <c r="A6528">
        <v>6528</v>
      </c>
      <c r="B6528" t="str">
        <f t="shared" si="101"/>
        <v>ᦀ</v>
      </c>
    </row>
    <row r="6529" spans="1:2" x14ac:dyDescent="0.25">
      <c r="A6529">
        <v>6529</v>
      </c>
      <c r="B6529" t="str">
        <f t="shared" si="101"/>
        <v>ᦁ</v>
      </c>
    </row>
    <row r="6530" spans="1:2" x14ac:dyDescent="0.25">
      <c r="A6530">
        <v>6530</v>
      </c>
      <c r="B6530" t="str">
        <f t="shared" ref="B6530:B6593" si="102">_xlfn.UNICHAR(A6530)</f>
        <v>ᦂ</v>
      </c>
    </row>
    <row r="6531" spans="1:2" x14ac:dyDescent="0.25">
      <c r="A6531">
        <v>6531</v>
      </c>
      <c r="B6531" t="str">
        <f t="shared" si="102"/>
        <v>ᦃ</v>
      </c>
    </row>
    <row r="6532" spans="1:2" x14ac:dyDescent="0.25">
      <c r="A6532">
        <v>6532</v>
      </c>
      <c r="B6532" t="str">
        <f t="shared" si="102"/>
        <v>ᦄ</v>
      </c>
    </row>
    <row r="6533" spans="1:2" x14ac:dyDescent="0.25">
      <c r="A6533">
        <v>6533</v>
      </c>
      <c r="B6533" t="str">
        <f t="shared" si="102"/>
        <v>ᦅ</v>
      </c>
    </row>
    <row r="6534" spans="1:2" x14ac:dyDescent="0.25">
      <c r="A6534">
        <v>6534</v>
      </c>
      <c r="B6534" t="str">
        <f t="shared" si="102"/>
        <v>ᦆ</v>
      </c>
    </row>
    <row r="6535" spans="1:2" x14ac:dyDescent="0.25">
      <c r="A6535">
        <v>6535</v>
      </c>
      <c r="B6535" t="str">
        <f t="shared" si="102"/>
        <v>ᦇ</v>
      </c>
    </row>
    <row r="6536" spans="1:2" x14ac:dyDescent="0.25">
      <c r="A6536">
        <v>6536</v>
      </c>
      <c r="B6536" t="str">
        <f t="shared" si="102"/>
        <v>ᦈ</v>
      </c>
    </row>
    <row r="6537" spans="1:2" x14ac:dyDescent="0.25">
      <c r="A6537">
        <v>6537</v>
      </c>
      <c r="B6537" t="str">
        <f t="shared" si="102"/>
        <v>ᦉ</v>
      </c>
    </row>
    <row r="6538" spans="1:2" x14ac:dyDescent="0.25">
      <c r="A6538">
        <v>6538</v>
      </c>
      <c r="B6538" t="str">
        <f t="shared" si="102"/>
        <v>ᦊ</v>
      </c>
    </row>
    <row r="6539" spans="1:2" x14ac:dyDescent="0.25">
      <c r="A6539">
        <v>6539</v>
      </c>
      <c r="B6539" t="str">
        <f t="shared" si="102"/>
        <v>ᦋ</v>
      </c>
    </row>
    <row r="6540" spans="1:2" x14ac:dyDescent="0.25">
      <c r="A6540">
        <v>6540</v>
      </c>
      <c r="B6540" t="str">
        <f t="shared" si="102"/>
        <v>ᦌ</v>
      </c>
    </row>
    <row r="6541" spans="1:2" x14ac:dyDescent="0.25">
      <c r="A6541">
        <v>6541</v>
      </c>
      <c r="B6541" t="str">
        <f t="shared" si="102"/>
        <v>ᦍ</v>
      </c>
    </row>
    <row r="6542" spans="1:2" x14ac:dyDescent="0.25">
      <c r="A6542">
        <v>6542</v>
      </c>
      <c r="B6542" t="str">
        <f t="shared" si="102"/>
        <v>ᦎ</v>
      </c>
    </row>
    <row r="6543" spans="1:2" x14ac:dyDescent="0.25">
      <c r="A6543">
        <v>6543</v>
      </c>
      <c r="B6543" t="str">
        <f t="shared" si="102"/>
        <v>ᦏ</v>
      </c>
    </row>
    <row r="6544" spans="1:2" x14ac:dyDescent="0.25">
      <c r="A6544">
        <v>6544</v>
      </c>
      <c r="B6544" t="str">
        <f t="shared" si="102"/>
        <v>ᦐ</v>
      </c>
    </row>
    <row r="6545" spans="1:2" x14ac:dyDescent="0.25">
      <c r="A6545">
        <v>6545</v>
      </c>
      <c r="B6545" t="str">
        <f t="shared" si="102"/>
        <v>ᦑ</v>
      </c>
    </row>
    <row r="6546" spans="1:2" x14ac:dyDescent="0.25">
      <c r="A6546">
        <v>6546</v>
      </c>
      <c r="B6546" t="str">
        <f t="shared" si="102"/>
        <v>ᦒ</v>
      </c>
    </row>
    <row r="6547" spans="1:2" x14ac:dyDescent="0.25">
      <c r="A6547">
        <v>6547</v>
      </c>
      <c r="B6547" t="str">
        <f t="shared" si="102"/>
        <v>ᦓ</v>
      </c>
    </row>
    <row r="6548" spans="1:2" x14ac:dyDescent="0.25">
      <c r="A6548">
        <v>6548</v>
      </c>
      <c r="B6548" t="str">
        <f t="shared" si="102"/>
        <v>ᦔ</v>
      </c>
    </row>
    <row r="6549" spans="1:2" x14ac:dyDescent="0.25">
      <c r="A6549">
        <v>6549</v>
      </c>
      <c r="B6549" t="str">
        <f t="shared" si="102"/>
        <v>ᦕ</v>
      </c>
    </row>
    <row r="6550" spans="1:2" x14ac:dyDescent="0.25">
      <c r="A6550">
        <v>6550</v>
      </c>
      <c r="B6550" t="str">
        <f t="shared" si="102"/>
        <v>ᦖ</v>
      </c>
    </row>
    <row r="6551" spans="1:2" x14ac:dyDescent="0.25">
      <c r="A6551">
        <v>6551</v>
      </c>
      <c r="B6551" t="str">
        <f t="shared" si="102"/>
        <v>ᦗ</v>
      </c>
    </row>
    <row r="6552" spans="1:2" x14ac:dyDescent="0.25">
      <c r="A6552">
        <v>6552</v>
      </c>
      <c r="B6552" t="str">
        <f t="shared" si="102"/>
        <v>ᦘ</v>
      </c>
    </row>
    <row r="6553" spans="1:2" x14ac:dyDescent="0.25">
      <c r="A6553">
        <v>6553</v>
      </c>
      <c r="B6553" t="str">
        <f t="shared" si="102"/>
        <v>ᦙ</v>
      </c>
    </row>
    <row r="6554" spans="1:2" x14ac:dyDescent="0.25">
      <c r="A6554">
        <v>6554</v>
      </c>
      <c r="B6554" t="str">
        <f t="shared" si="102"/>
        <v>ᦚ</v>
      </c>
    </row>
    <row r="6555" spans="1:2" x14ac:dyDescent="0.25">
      <c r="A6555">
        <v>6555</v>
      </c>
      <c r="B6555" t="str">
        <f t="shared" si="102"/>
        <v>ᦛ</v>
      </c>
    </row>
    <row r="6556" spans="1:2" x14ac:dyDescent="0.25">
      <c r="A6556">
        <v>6556</v>
      </c>
      <c r="B6556" t="str">
        <f t="shared" si="102"/>
        <v>ᦜ</v>
      </c>
    </row>
    <row r="6557" spans="1:2" x14ac:dyDescent="0.25">
      <c r="A6557">
        <v>6557</v>
      </c>
      <c r="B6557" t="str">
        <f t="shared" si="102"/>
        <v>ᦝ</v>
      </c>
    </row>
    <row r="6558" spans="1:2" x14ac:dyDescent="0.25">
      <c r="A6558">
        <v>6558</v>
      </c>
      <c r="B6558" t="str">
        <f t="shared" si="102"/>
        <v>ᦞ</v>
      </c>
    </row>
    <row r="6559" spans="1:2" x14ac:dyDescent="0.25">
      <c r="A6559">
        <v>6559</v>
      </c>
      <c r="B6559" t="str">
        <f t="shared" si="102"/>
        <v>ᦟ</v>
      </c>
    </row>
    <row r="6560" spans="1:2" x14ac:dyDescent="0.25">
      <c r="A6560">
        <v>6560</v>
      </c>
      <c r="B6560" t="str">
        <f t="shared" si="102"/>
        <v>ᦠ</v>
      </c>
    </row>
    <row r="6561" spans="1:2" x14ac:dyDescent="0.25">
      <c r="A6561">
        <v>6561</v>
      </c>
      <c r="B6561" t="str">
        <f t="shared" si="102"/>
        <v>ᦡ</v>
      </c>
    </row>
    <row r="6562" spans="1:2" x14ac:dyDescent="0.25">
      <c r="A6562">
        <v>6562</v>
      </c>
      <c r="B6562" t="str">
        <f t="shared" si="102"/>
        <v>ᦢ</v>
      </c>
    </row>
    <row r="6563" spans="1:2" x14ac:dyDescent="0.25">
      <c r="A6563">
        <v>6563</v>
      </c>
      <c r="B6563" t="str">
        <f t="shared" si="102"/>
        <v>ᦣ</v>
      </c>
    </row>
    <row r="6564" spans="1:2" x14ac:dyDescent="0.25">
      <c r="A6564">
        <v>6564</v>
      </c>
      <c r="B6564" t="str">
        <f t="shared" si="102"/>
        <v>ᦤ</v>
      </c>
    </row>
    <row r="6565" spans="1:2" x14ac:dyDescent="0.25">
      <c r="A6565">
        <v>6565</v>
      </c>
      <c r="B6565" t="str">
        <f t="shared" si="102"/>
        <v>ᦥ</v>
      </c>
    </row>
    <row r="6566" spans="1:2" x14ac:dyDescent="0.25">
      <c r="A6566">
        <v>6566</v>
      </c>
      <c r="B6566" t="str">
        <f t="shared" si="102"/>
        <v>ᦦ</v>
      </c>
    </row>
    <row r="6567" spans="1:2" x14ac:dyDescent="0.25">
      <c r="A6567">
        <v>6567</v>
      </c>
      <c r="B6567" t="str">
        <f t="shared" si="102"/>
        <v>ᦧ</v>
      </c>
    </row>
    <row r="6568" spans="1:2" x14ac:dyDescent="0.25">
      <c r="A6568">
        <v>6568</v>
      </c>
      <c r="B6568" t="str">
        <f t="shared" si="102"/>
        <v>ᦨ</v>
      </c>
    </row>
    <row r="6569" spans="1:2" x14ac:dyDescent="0.25">
      <c r="A6569">
        <v>6569</v>
      </c>
      <c r="B6569" t="str">
        <f t="shared" si="102"/>
        <v>ᦩ</v>
      </c>
    </row>
    <row r="6570" spans="1:2" x14ac:dyDescent="0.25">
      <c r="A6570">
        <v>6570</v>
      </c>
      <c r="B6570" t="str">
        <f t="shared" si="102"/>
        <v>ᦪ</v>
      </c>
    </row>
    <row r="6571" spans="1:2" x14ac:dyDescent="0.25">
      <c r="A6571">
        <v>6571</v>
      </c>
      <c r="B6571" t="str">
        <f t="shared" si="102"/>
        <v>ᦫ</v>
      </c>
    </row>
    <row r="6572" spans="1:2" x14ac:dyDescent="0.25">
      <c r="A6572">
        <v>6572</v>
      </c>
      <c r="B6572" t="str">
        <f t="shared" si="102"/>
        <v>᦬</v>
      </c>
    </row>
    <row r="6573" spans="1:2" x14ac:dyDescent="0.25">
      <c r="A6573">
        <v>6573</v>
      </c>
      <c r="B6573" t="str">
        <f t="shared" si="102"/>
        <v>᦭</v>
      </c>
    </row>
    <row r="6574" spans="1:2" x14ac:dyDescent="0.25">
      <c r="A6574">
        <v>6574</v>
      </c>
      <c r="B6574" t="str">
        <f t="shared" si="102"/>
        <v>᦮</v>
      </c>
    </row>
    <row r="6575" spans="1:2" x14ac:dyDescent="0.25">
      <c r="A6575">
        <v>6575</v>
      </c>
      <c r="B6575" t="str">
        <f t="shared" si="102"/>
        <v>᦯</v>
      </c>
    </row>
    <row r="6576" spans="1:2" x14ac:dyDescent="0.25">
      <c r="A6576">
        <v>6576</v>
      </c>
      <c r="B6576" t="str">
        <f t="shared" si="102"/>
        <v>ᦰ</v>
      </c>
    </row>
    <row r="6577" spans="1:2" x14ac:dyDescent="0.25">
      <c r="A6577">
        <v>6577</v>
      </c>
      <c r="B6577" t="str">
        <f t="shared" si="102"/>
        <v>ᦱ</v>
      </c>
    </row>
    <row r="6578" spans="1:2" x14ac:dyDescent="0.25">
      <c r="A6578">
        <v>6578</v>
      </c>
      <c r="B6578" t="str">
        <f t="shared" si="102"/>
        <v>ᦲ</v>
      </c>
    </row>
    <row r="6579" spans="1:2" x14ac:dyDescent="0.25">
      <c r="A6579">
        <v>6579</v>
      </c>
      <c r="B6579" t="str">
        <f t="shared" si="102"/>
        <v>ᦳ</v>
      </c>
    </row>
    <row r="6580" spans="1:2" x14ac:dyDescent="0.25">
      <c r="A6580">
        <v>6580</v>
      </c>
      <c r="B6580" t="str">
        <f t="shared" si="102"/>
        <v>ᦴ</v>
      </c>
    </row>
    <row r="6581" spans="1:2" x14ac:dyDescent="0.25">
      <c r="A6581">
        <v>6581</v>
      </c>
      <c r="B6581" t="str">
        <f t="shared" si="102"/>
        <v>ᦵ</v>
      </c>
    </row>
    <row r="6582" spans="1:2" x14ac:dyDescent="0.25">
      <c r="A6582">
        <v>6582</v>
      </c>
      <c r="B6582" t="str">
        <f t="shared" si="102"/>
        <v>ᦶ</v>
      </c>
    </row>
    <row r="6583" spans="1:2" x14ac:dyDescent="0.25">
      <c r="A6583">
        <v>6583</v>
      </c>
      <c r="B6583" t="str">
        <f t="shared" si="102"/>
        <v>ᦷ</v>
      </c>
    </row>
    <row r="6584" spans="1:2" x14ac:dyDescent="0.25">
      <c r="A6584">
        <v>6584</v>
      </c>
      <c r="B6584" t="str">
        <f t="shared" si="102"/>
        <v>ᦸ</v>
      </c>
    </row>
    <row r="6585" spans="1:2" x14ac:dyDescent="0.25">
      <c r="A6585">
        <v>6585</v>
      </c>
      <c r="B6585" t="str">
        <f t="shared" si="102"/>
        <v>ᦹ</v>
      </c>
    </row>
    <row r="6586" spans="1:2" x14ac:dyDescent="0.25">
      <c r="A6586">
        <v>6586</v>
      </c>
      <c r="B6586" t="str">
        <f t="shared" si="102"/>
        <v>ᦺ</v>
      </c>
    </row>
    <row r="6587" spans="1:2" x14ac:dyDescent="0.25">
      <c r="A6587">
        <v>6587</v>
      </c>
      <c r="B6587" t="str">
        <f t="shared" si="102"/>
        <v>ᦻ</v>
      </c>
    </row>
    <row r="6588" spans="1:2" x14ac:dyDescent="0.25">
      <c r="A6588">
        <v>6588</v>
      </c>
      <c r="B6588" t="str">
        <f t="shared" si="102"/>
        <v>ᦼ</v>
      </c>
    </row>
    <row r="6589" spans="1:2" x14ac:dyDescent="0.25">
      <c r="A6589">
        <v>6589</v>
      </c>
      <c r="B6589" t="str">
        <f t="shared" si="102"/>
        <v>ᦽ</v>
      </c>
    </row>
    <row r="6590" spans="1:2" x14ac:dyDescent="0.25">
      <c r="A6590">
        <v>6590</v>
      </c>
      <c r="B6590" t="str">
        <f t="shared" si="102"/>
        <v>ᦾ</v>
      </c>
    </row>
    <row r="6591" spans="1:2" x14ac:dyDescent="0.25">
      <c r="A6591">
        <v>6591</v>
      </c>
      <c r="B6591" t="str">
        <f t="shared" si="102"/>
        <v>ᦿ</v>
      </c>
    </row>
    <row r="6592" spans="1:2" x14ac:dyDescent="0.25">
      <c r="A6592">
        <v>6592</v>
      </c>
      <c r="B6592" t="str">
        <f t="shared" si="102"/>
        <v>ᧀ</v>
      </c>
    </row>
    <row r="6593" spans="1:2" x14ac:dyDescent="0.25">
      <c r="A6593">
        <v>6593</v>
      </c>
      <c r="B6593" t="str">
        <f t="shared" si="102"/>
        <v>ᧁ</v>
      </c>
    </row>
    <row r="6594" spans="1:2" x14ac:dyDescent="0.25">
      <c r="A6594">
        <v>6594</v>
      </c>
      <c r="B6594" t="str">
        <f t="shared" ref="B6594:B6657" si="103">_xlfn.UNICHAR(A6594)</f>
        <v>ᧂ</v>
      </c>
    </row>
    <row r="6595" spans="1:2" x14ac:dyDescent="0.25">
      <c r="A6595">
        <v>6595</v>
      </c>
      <c r="B6595" t="str">
        <f t="shared" si="103"/>
        <v>ᧃ</v>
      </c>
    </row>
    <row r="6596" spans="1:2" x14ac:dyDescent="0.25">
      <c r="A6596">
        <v>6596</v>
      </c>
      <c r="B6596" t="str">
        <f t="shared" si="103"/>
        <v>ᧄ</v>
      </c>
    </row>
    <row r="6597" spans="1:2" x14ac:dyDescent="0.25">
      <c r="A6597">
        <v>6597</v>
      </c>
      <c r="B6597" t="str">
        <f t="shared" si="103"/>
        <v>ᧅ</v>
      </c>
    </row>
    <row r="6598" spans="1:2" x14ac:dyDescent="0.25">
      <c r="A6598">
        <v>6598</v>
      </c>
      <c r="B6598" t="str">
        <f t="shared" si="103"/>
        <v>ᧆ</v>
      </c>
    </row>
    <row r="6599" spans="1:2" x14ac:dyDescent="0.25">
      <c r="A6599">
        <v>6599</v>
      </c>
      <c r="B6599" t="str">
        <f t="shared" si="103"/>
        <v>ᧇ</v>
      </c>
    </row>
    <row r="6600" spans="1:2" x14ac:dyDescent="0.25">
      <c r="A6600">
        <v>6600</v>
      </c>
      <c r="B6600" t="str">
        <f t="shared" si="103"/>
        <v>ᧈ</v>
      </c>
    </row>
    <row r="6601" spans="1:2" x14ac:dyDescent="0.25">
      <c r="A6601">
        <v>6601</v>
      </c>
      <c r="B6601" t="str">
        <f t="shared" si="103"/>
        <v>ᧉ</v>
      </c>
    </row>
    <row r="6602" spans="1:2" x14ac:dyDescent="0.25">
      <c r="A6602">
        <v>6602</v>
      </c>
      <c r="B6602" t="str">
        <f t="shared" si="103"/>
        <v>᧊</v>
      </c>
    </row>
    <row r="6603" spans="1:2" x14ac:dyDescent="0.25">
      <c r="A6603">
        <v>6603</v>
      </c>
      <c r="B6603" t="str">
        <f t="shared" si="103"/>
        <v>᧋</v>
      </c>
    </row>
    <row r="6604" spans="1:2" x14ac:dyDescent="0.25">
      <c r="A6604">
        <v>6604</v>
      </c>
      <c r="B6604" t="str">
        <f t="shared" si="103"/>
        <v>᧌</v>
      </c>
    </row>
    <row r="6605" spans="1:2" x14ac:dyDescent="0.25">
      <c r="A6605">
        <v>6605</v>
      </c>
      <c r="B6605" t="str">
        <f t="shared" si="103"/>
        <v>᧍</v>
      </c>
    </row>
    <row r="6606" spans="1:2" x14ac:dyDescent="0.25">
      <c r="A6606">
        <v>6606</v>
      </c>
      <c r="B6606" t="str">
        <f t="shared" si="103"/>
        <v>᧎</v>
      </c>
    </row>
    <row r="6607" spans="1:2" x14ac:dyDescent="0.25">
      <c r="A6607">
        <v>6607</v>
      </c>
      <c r="B6607" t="str">
        <f t="shared" si="103"/>
        <v>᧏</v>
      </c>
    </row>
    <row r="6608" spans="1:2" x14ac:dyDescent="0.25">
      <c r="A6608">
        <v>6608</v>
      </c>
      <c r="B6608" t="str">
        <f t="shared" si="103"/>
        <v>᧐</v>
      </c>
    </row>
    <row r="6609" spans="1:2" x14ac:dyDescent="0.25">
      <c r="A6609">
        <v>6609</v>
      </c>
      <c r="B6609" t="str">
        <f t="shared" si="103"/>
        <v>᧑</v>
      </c>
    </row>
    <row r="6610" spans="1:2" x14ac:dyDescent="0.25">
      <c r="A6610">
        <v>6610</v>
      </c>
      <c r="B6610" t="str">
        <f t="shared" si="103"/>
        <v>᧒</v>
      </c>
    </row>
    <row r="6611" spans="1:2" x14ac:dyDescent="0.25">
      <c r="A6611">
        <v>6611</v>
      </c>
      <c r="B6611" t="str">
        <f t="shared" si="103"/>
        <v>᧓</v>
      </c>
    </row>
    <row r="6612" spans="1:2" x14ac:dyDescent="0.25">
      <c r="A6612">
        <v>6612</v>
      </c>
      <c r="B6612" t="str">
        <f t="shared" si="103"/>
        <v>᧔</v>
      </c>
    </row>
    <row r="6613" spans="1:2" x14ac:dyDescent="0.25">
      <c r="A6613">
        <v>6613</v>
      </c>
      <c r="B6613" t="str">
        <f t="shared" si="103"/>
        <v>᧕</v>
      </c>
    </row>
    <row r="6614" spans="1:2" x14ac:dyDescent="0.25">
      <c r="A6614">
        <v>6614</v>
      </c>
      <c r="B6614" t="str">
        <f t="shared" si="103"/>
        <v>᧖</v>
      </c>
    </row>
    <row r="6615" spans="1:2" x14ac:dyDescent="0.25">
      <c r="A6615">
        <v>6615</v>
      </c>
      <c r="B6615" t="str">
        <f t="shared" si="103"/>
        <v>᧗</v>
      </c>
    </row>
    <row r="6616" spans="1:2" x14ac:dyDescent="0.25">
      <c r="A6616">
        <v>6616</v>
      </c>
      <c r="B6616" t="str">
        <f t="shared" si="103"/>
        <v>᧘</v>
      </c>
    </row>
    <row r="6617" spans="1:2" x14ac:dyDescent="0.25">
      <c r="A6617">
        <v>6617</v>
      </c>
      <c r="B6617" t="str">
        <f t="shared" si="103"/>
        <v>᧙</v>
      </c>
    </row>
    <row r="6618" spans="1:2" x14ac:dyDescent="0.25">
      <c r="A6618">
        <v>6618</v>
      </c>
      <c r="B6618" t="str">
        <f t="shared" si="103"/>
        <v>᧚</v>
      </c>
    </row>
    <row r="6619" spans="1:2" x14ac:dyDescent="0.25">
      <c r="A6619">
        <v>6619</v>
      </c>
      <c r="B6619" t="str">
        <f t="shared" si="103"/>
        <v>᧛</v>
      </c>
    </row>
    <row r="6620" spans="1:2" x14ac:dyDescent="0.25">
      <c r="A6620">
        <v>6620</v>
      </c>
      <c r="B6620" t="str">
        <f t="shared" si="103"/>
        <v>᧜</v>
      </c>
    </row>
    <row r="6621" spans="1:2" x14ac:dyDescent="0.25">
      <c r="A6621">
        <v>6621</v>
      </c>
      <c r="B6621" t="str">
        <f t="shared" si="103"/>
        <v>᧝</v>
      </c>
    </row>
    <row r="6622" spans="1:2" x14ac:dyDescent="0.25">
      <c r="A6622">
        <v>6622</v>
      </c>
      <c r="B6622" t="str">
        <f t="shared" si="103"/>
        <v>᧞</v>
      </c>
    </row>
    <row r="6623" spans="1:2" x14ac:dyDescent="0.25">
      <c r="A6623">
        <v>6623</v>
      </c>
      <c r="B6623" t="str">
        <f t="shared" si="103"/>
        <v>᧟</v>
      </c>
    </row>
    <row r="6624" spans="1:2" x14ac:dyDescent="0.25">
      <c r="A6624">
        <v>6624</v>
      </c>
      <c r="B6624" t="str">
        <f t="shared" si="103"/>
        <v>᧠</v>
      </c>
    </row>
    <row r="6625" spans="1:2" x14ac:dyDescent="0.25">
      <c r="A6625">
        <v>6625</v>
      </c>
      <c r="B6625" t="str">
        <f t="shared" si="103"/>
        <v>᧡</v>
      </c>
    </row>
    <row r="6626" spans="1:2" x14ac:dyDescent="0.25">
      <c r="A6626">
        <v>6626</v>
      </c>
      <c r="B6626" t="str">
        <f t="shared" si="103"/>
        <v>᧢</v>
      </c>
    </row>
    <row r="6627" spans="1:2" x14ac:dyDescent="0.25">
      <c r="A6627">
        <v>6627</v>
      </c>
      <c r="B6627" t="str">
        <f t="shared" si="103"/>
        <v>᧣</v>
      </c>
    </row>
    <row r="6628" spans="1:2" x14ac:dyDescent="0.25">
      <c r="A6628">
        <v>6628</v>
      </c>
      <c r="B6628" t="str">
        <f t="shared" si="103"/>
        <v>᧤</v>
      </c>
    </row>
    <row r="6629" spans="1:2" x14ac:dyDescent="0.25">
      <c r="A6629">
        <v>6629</v>
      </c>
      <c r="B6629" t="str">
        <f t="shared" si="103"/>
        <v>᧥</v>
      </c>
    </row>
    <row r="6630" spans="1:2" x14ac:dyDescent="0.25">
      <c r="A6630">
        <v>6630</v>
      </c>
      <c r="B6630" t="str">
        <f t="shared" si="103"/>
        <v>᧦</v>
      </c>
    </row>
    <row r="6631" spans="1:2" x14ac:dyDescent="0.25">
      <c r="A6631">
        <v>6631</v>
      </c>
      <c r="B6631" t="str">
        <f t="shared" si="103"/>
        <v>᧧</v>
      </c>
    </row>
    <row r="6632" spans="1:2" x14ac:dyDescent="0.25">
      <c r="A6632">
        <v>6632</v>
      </c>
      <c r="B6632" t="str">
        <f t="shared" si="103"/>
        <v>᧨</v>
      </c>
    </row>
    <row r="6633" spans="1:2" x14ac:dyDescent="0.25">
      <c r="A6633">
        <v>6633</v>
      </c>
      <c r="B6633" t="str">
        <f t="shared" si="103"/>
        <v>᧩</v>
      </c>
    </row>
    <row r="6634" spans="1:2" x14ac:dyDescent="0.25">
      <c r="A6634">
        <v>6634</v>
      </c>
      <c r="B6634" t="str">
        <f t="shared" si="103"/>
        <v>᧪</v>
      </c>
    </row>
    <row r="6635" spans="1:2" x14ac:dyDescent="0.25">
      <c r="A6635">
        <v>6635</v>
      </c>
      <c r="B6635" t="str">
        <f t="shared" si="103"/>
        <v>᧫</v>
      </c>
    </row>
    <row r="6636" spans="1:2" x14ac:dyDescent="0.25">
      <c r="A6636">
        <v>6636</v>
      </c>
      <c r="B6636" t="str">
        <f t="shared" si="103"/>
        <v>᧬</v>
      </c>
    </row>
    <row r="6637" spans="1:2" x14ac:dyDescent="0.25">
      <c r="A6637">
        <v>6637</v>
      </c>
      <c r="B6637" t="str">
        <f t="shared" si="103"/>
        <v>᧭</v>
      </c>
    </row>
    <row r="6638" spans="1:2" x14ac:dyDescent="0.25">
      <c r="A6638">
        <v>6638</v>
      </c>
      <c r="B6638" t="str">
        <f t="shared" si="103"/>
        <v>᧮</v>
      </c>
    </row>
    <row r="6639" spans="1:2" x14ac:dyDescent="0.25">
      <c r="A6639">
        <v>6639</v>
      </c>
      <c r="B6639" t="str">
        <f t="shared" si="103"/>
        <v>᧯</v>
      </c>
    </row>
    <row r="6640" spans="1:2" x14ac:dyDescent="0.25">
      <c r="A6640">
        <v>6640</v>
      </c>
      <c r="B6640" t="str">
        <f t="shared" si="103"/>
        <v>᧰</v>
      </c>
    </row>
    <row r="6641" spans="1:2" x14ac:dyDescent="0.25">
      <c r="A6641">
        <v>6641</v>
      </c>
      <c r="B6641" t="str">
        <f t="shared" si="103"/>
        <v>᧱</v>
      </c>
    </row>
    <row r="6642" spans="1:2" x14ac:dyDescent="0.25">
      <c r="A6642">
        <v>6642</v>
      </c>
      <c r="B6642" t="str">
        <f t="shared" si="103"/>
        <v>᧲</v>
      </c>
    </row>
    <row r="6643" spans="1:2" x14ac:dyDescent="0.25">
      <c r="A6643">
        <v>6643</v>
      </c>
      <c r="B6643" t="str">
        <f t="shared" si="103"/>
        <v>᧳</v>
      </c>
    </row>
    <row r="6644" spans="1:2" x14ac:dyDescent="0.25">
      <c r="A6644">
        <v>6644</v>
      </c>
      <c r="B6644" t="str">
        <f t="shared" si="103"/>
        <v>᧴</v>
      </c>
    </row>
    <row r="6645" spans="1:2" x14ac:dyDescent="0.25">
      <c r="A6645">
        <v>6645</v>
      </c>
      <c r="B6645" t="str">
        <f t="shared" si="103"/>
        <v>᧵</v>
      </c>
    </row>
    <row r="6646" spans="1:2" x14ac:dyDescent="0.25">
      <c r="A6646">
        <v>6646</v>
      </c>
      <c r="B6646" t="str">
        <f t="shared" si="103"/>
        <v>᧶</v>
      </c>
    </row>
    <row r="6647" spans="1:2" x14ac:dyDescent="0.25">
      <c r="A6647">
        <v>6647</v>
      </c>
      <c r="B6647" t="str">
        <f t="shared" si="103"/>
        <v>᧷</v>
      </c>
    </row>
    <row r="6648" spans="1:2" x14ac:dyDescent="0.25">
      <c r="A6648">
        <v>6648</v>
      </c>
      <c r="B6648" t="str">
        <f t="shared" si="103"/>
        <v>᧸</v>
      </c>
    </row>
    <row r="6649" spans="1:2" x14ac:dyDescent="0.25">
      <c r="A6649">
        <v>6649</v>
      </c>
      <c r="B6649" t="str">
        <f t="shared" si="103"/>
        <v>᧹</v>
      </c>
    </row>
    <row r="6650" spans="1:2" x14ac:dyDescent="0.25">
      <c r="A6650">
        <v>6650</v>
      </c>
      <c r="B6650" t="str">
        <f t="shared" si="103"/>
        <v>᧺</v>
      </c>
    </row>
    <row r="6651" spans="1:2" x14ac:dyDescent="0.25">
      <c r="A6651">
        <v>6651</v>
      </c>
      <c r="B6651" t="str">
        <f t="shared" si="103"/>
        <v>᧻</v>
      </c>
    </row>
    <row r="6652" spans="1:2" x14ac:dyDescent="0.25">
      <c r="A6652">
        <v>6652</v>
      </c>
      <c r="B6652" t="str">
        <f t="shared" si="103"/>
        <v>᧼</v>
      </c>
    </row>
    <row r="6653" spans="1:2" x14ac:dyDescent="0.25">
      <c r="A6653">
        <v>6653</v>
      </c>
      <c r="B6653" t="str">
        <f t="shared" si="103"/>
        <v>᧽</v>
      </c>
    </row>
    <row r="6654" spans="1:2" x14ac:dyDescent="0.25">
      <c r="A6654">
        <v>6654</v>
      </c>
      <c r="B6654" t="str">
        <f t="shared" si="103"/>
        <v>᧾</v>
      </c>
    </row>
    <row r="6655" spans="1:2" x14ac:dyDescent="0.25">
      <c r="A6655">
        <v>6655</v>
      </c>
      <c r="B6655" t="str">
        <f t="shared" si="103"/>
        <v>᧿</v>
      </c>
    </row>
    <row r="6656" spans="1:2" x14ac:dyDescent="0.25">
      <c r="A6656">
        <v>6656</v>
      </c>
      <c r="B6656" t="str">
        <f t="shared" si="103"/>
        <v>ᨀ</v>
      </c>
    </row>
    <row r="6657" spans="1:2" x14ac:dyDescent="0.25">
      <c r="A6657">
        <v>6657</v>
      </c>
      <c r="B6657" t="str">
        <f t="shared" si="103"/>
        <v>ᨁ</v>
      </c>
    </row>
    <row r="6658" spans="1:2" x14ac:dyDescent="0.25">
      <c r="A6658">
        <v>6658</v>
      </c>
      <c r="B6658" t="str">
        <f t="shared" ref="B6658:B6721" si="104">_xlfn.UNICHAR(A6658)</f>
        <v>ᨂ</v>
      </c>
    </row>
    <row r="6659" spans="1:2" x14ac:dyDescent="0.25">
      <c r="A6659">
        <v>6659</v>
      </c>
      <c r="B6659" t="str">
        <f t="shared" si="104"/>
        <v>ᨃ</v>
      </c>
    </row>
    <row r="6660" spans="1:2" x14ac:dyDescent="0.25">
      <c r="A6660">
        <v>6660</v>
      </c>
      <c r="B6660" t="str">
        <f t="shared" si="104"/>
        <v>ᨄ</v>
      </c>
    </row>
    <row r="6661" spans="1:2" x14ac:dyDescent="0.25">
      <c r="A6661">
        <v>6661</v>
      </c>
      <c r="B6661" t="str">
        <f t="shared" si="104"/>
        <v>ᨅ</v>
      </c>
    </row>
    <row r="6662" spans="1:2" x14ac:dyDescent="0.25">
      <c r="A6662">
        <v>6662</v>
      </c>
      <c r="B6662" t="str">
        <f t="shared" si="104"/>
        <v>ᨆ</v>
      </c>
    </row>
    <row r="6663" spans="1:2" x14ac:dyDescent="0.25">
      <c r="A6663">
        <v>6663</v>
      </c>
      <c r="B6663" t="str">
        <f t="shared" si="104"/>
        <v>ᨇ</v>
      </c>
    </row>
    <row r="6664" spans="1:2" x14ac:dyDescent="0.25">
      <c r="A6664">
        <v>6664</v>
      </c>
      <c r="B6664" t="str">
        <f t="shared" si="104"/>
        <v>ᨈ</v>
      </c>
    </row>
    <row r="6665" spans="1:2" x14ac:dyDescent="0.25">
      <c r="A6665">
        <v>6665</v>
      </c>
      <c r="B6665" t="str">
        <f t="shared" si="104"/>
        <v>ᨉ</v>
      </c>
    </row>
    <row r="6666" spans="1:2" x14ac:dyDescent="0.25">
      <c r="A6666">
        <v>6666</v>
      </c>
      <c r="B6666" t="str">
        <f t="shared" si="104"/>
        <v>ᨊ</v>
      </c>
    </row>
    <row r="6667" spans="1:2" x14ac:dyDescent="0.25">
      <c r="A6667">
        <v>6667</v>
      </c>
      <c r="B6667" t="str">
        <f t="shared" si="104"/>
        <v>ᨋ</v>
      </c>
    </row>
    <row r="6668" spans="1:2" x14ac:dyDescent="0.25">
      <c r="A6668">
        <v>6668</v>
      </c>
      <c r="B6668" t="str">
        <f t="shared" si="104"/>
        <v>ᨌ</v>
      </c>
    </row>
    <row r="6669" spans="1:2" x14ac:dyDescent="0.25">
      <c r="A6669">
        <v>6669</v>
      </c>
      <c r="B6669" t="str">
        <f t="shared" si="104"/>
        <v>ᨍ</v>
      </c>
    </row>
    <row r="6670" spans="1:2" x14ac:dyDescent="0.25">
      <c r="A6670">
        <v>6670</v>
      </c>
      <c r="B6670" t="str">
        <f t="shared" si="104"/>
        <v>ᨎ</v>
      </c>
    </row>
    <row r="6671" spans="1:2" x14ac:dyDescent="0.25">
      <c r="A6671">
        <v>6671</v>
      </c>
      <c r="B6671" t="str">
        <f t="shared" si="104"/>
        <v>ᨏ</v>
      </c>
    </row>
    <row r="6672" spans="1:2" x14ac:dyDescent="0.25">
      <c r="A6672">
        <v>6672</v>
      </c>
      <c r="B6672" t="str">
        <f t="shared" si="104"/>
        <v>ᨐ</v>
      </c>
    </row>
    <row r="6673" spans="1:2" x14ac:dyDescent="0.25">
      <c r="A6673">
        <v>6673</v>
      </c>
      <c r="B6673" t="str">
        <f t="shared" si="104"/>
        <v>ᨑ</v>
      </c>
    </row>
    <row r="6674" spans="1:2" x14ac:dyDescent="0.25">
      <c r="A6674">
        <v>6674</v>
      </c>
      <c r="B6674" t="str">
        <f t="shared" si="104"/>
        <v>ᨒ</v>
      </c>
    </row>
    <row r="6675" spans="1:2" x14ac:dyDescent="0.25">
      <c r="A6675">
        <v>6675</v>
      </c>
      <c r="B6675" t="str">
        <f t="shared" si="104"/>
        <v>ᨓ</v>
      </c>
    </row>
    <row r="6676" spans="1:2" x14ac:dyDescent="0.25">
      <c r="A6676">
        <v>6676</v>
      </c>
      <c r="B6676" t="str">
        <f t="shared" si="104"/>
        <v>ᨔ</v>
      </c>
    </row>
    <row r="6677" spans="1:2" x14ac:dyDescent="0.25">
      <c r="A6677">
        <v>6677</v>
      </c>
      <c r="B6677" t="str">
        <f t="shared" si="104"/>
        <v>ᨕ</v>
      </c>
    </row>
    <row r="6678" spans="1:2" x14ac:dyDescent="0.25">
      <c r="A6678">
        <v>6678</v>
      </c>
      <c r="B6678" t="str">
        <f t="shared" si="104"/>
        <v>ᨖ</v>
      </c>
    </row>
    <row r="6679" spans="1:2" x14ac:dyDescent="0.25">
      <c r="A6679">
        <v>6679</v>
      </c>
      <c r="B6679" t="str">
        <f t="shared" si="104"/>
        <v>ᨗ</v>
      </c>
    </row>
    <row r="6680" spans="1:2" x14ac:dyDescent="0.25">
      <c r="A6680">
        <v>6680</v>
      </c>
      <c r="B6680" t="str">
        <f t="shared" si="104"/>
        <v>ᨘ</v>
      </c>
    </row>
    <row r="6681" spans="1:2" x14ac:dyDescent="0.25">
      <c r="A6681">
        <v>6681</v>
      </c>
      <c r="B6681" t="str">
        <f t="shared" si="104"/>
        <v>ᨙ</v>
      </c>
    </row>
    <row r="6682" spans="1:2" x14ac:dyDescent="0.25">
      <c r="A6682">
        <v>6682</v>
      </c>
      <c r="B6682" t="str">
        <f t="shared" si="104"/>
        <v>ᨚ</v>
      </c>
    </row>
    <row r="6683" spans="1:2" x14ac:dyDescent="0.25">
      <c r="A6683">
        <v>6683</v>
      </c>
      <c r="B6683" t="str">
        <f t="shared" si="104"/>
        <v>ᨛ</v>
      </c>
    </row>
    <row r="6684" spans="1:2" x14ac:dyDescent="0.25">
      <c r="A6684">
        <v>6684</v>
      </c>
      <c r="B6684" t="str">
        <f t="shared" si="104"/>
        <v>᨜</v>
      </c>
    </row>
    <row r="6685" spans="1:2" x14ac:dyDescent="0.25">
      <c r="A6685">
        <v>6685</v>
      </c>
      <c r="B6685" t="str">
        <f t="shared" si="104"/>
        <v>᨝</v>
      </c>
    </row>
    <row r="6686" spans="1:2" x14ac:dyDescent="0.25">
      <c r="A6686">
        <v>6686</v>
      </c>
      <c r="B6686" t="str">
        <f t="shared" si="104"/>
        <v>᨞</v>
      </c>
    </row>
    <row r="6687" spans="1:2" x14ac:dyDescent="0.25">
      <c r="A6687">
        <v>6687</v>
      </c>
      <c r="B6687" t="str">
        <f t="shared" si="104"/>
        <v>᨟</v>
      </c>
    </row>
    <row r="6688" spans="1:2" x14ac:dyDescent="0.25">
      <c r="A6688">
        <v>6688</v>
      </c>
      <c r="B6688" t="str">
        <f t="shared" si="104"/>
        <v>ᨠ</v>
      </c>
    </row>
    <row r="6689" spans="1:2" x14ac:dyDescent="0.25">
      <c r="A6689">
        <v>6689</v>
      </c>
      <c r="B6689" t="str">
        <f t="shared" si="104"/>
        <v>ᨡ</v>
      </c>
    </row>
    <row r="6690" spans="1:2" x14ac:dyDescent="0.25">
      <c r="A6690">
        <v>6690</v>
      </c>
      <c r="B6690" t="str">
        <f t="shared" si="104"/>
        <v>ᨢ</v>
      </c>
    </row>
    <row r="6691" spans="1:2" x14ac:dyDescent="0.25">
      <c r="A6691">
        <v>6691</v>
      </c>
      <c r="B6691" t="str">
        <f t="shared" si="104"/>
        <v>ᨣ</v>
      </c>
    </row>
    <row r="6692" spans="1:2" x14ac:dyDescent="0.25">
      <c r="A6692">
        <v>6692</v>
      </c>
      <c r="B6692" t="str">
        <f t="shared" si="104"/>
        <v>ᨤ</v>
      </c>
    </row>
    <row r="6693" spans="1:2" x14ac:dyDescent="0.25">
      <c r="A6693">
        <v>6693</v>
      </c>
      <c r="B6693" t="str">
        <f t="shared" si="104"/>
        <v>ᨥ</v>
      </c>
    </row>
    <row r="6694" spans="1:2" x14ac:dyDescent="0.25">
      <c r="A6694">
        <v>6694</v>
      </c>
      <c r="B6694" t="str">
        <f t="shared" si="104"/>
        <v>ᨦ</v>
      </c>
    </row>
    <row r="6695" spans="1:2" x14ac:dyDescent="0.25">
      <c r="A6695">
        <v>6695</v>
      </c>
      <c r="B6695" t="str">
        <f t="shared" si="104"/>
        <v>ᨧ</v>
      </c>
    </row>
    <row r="6696" spans="1:2" x14ac:dyDescent="0.25">
      <c r="A6696">
        <v>6696</v>
      </c>
      <c r="B6696" t="str">
        <f t="shared" si="104"/>
        <v>ᨨ</v>
      </c>
    </row>
    <row r="6697" spans="1:2" x14ac:dyDescent="0.25">
      <c r="A6697">
        <v>6697</v>
      </c>
      <c r="B6697" t="str">
        <f t="shared" si="104"/>
        <v>ᨩ</v>
      </c>
    </row>
    <row r="6698" spans="1:2" x14ac:dyDescent="0.25">
      <c r="A6698">
        <v>6698</v>
      </c>
      <c r="B6698" t="str">
        <f t="shared" si="104"/>
        <v>ᨪ</v>
      </c>
    </row>
    <row r="6699" spans="1:2" x14ac:dyDescent="0.25">
      <c r="A6699">
        <v>6699</v>
      </c>
      <c r="B6699" t="str">
        <f t="shared" si="104"/>
        <v>ᨫ</v>
      </c>
    </row>
    <row r="6700" spans="1:2" x14ac:dyDescent="0.25">
      <c r="A6700">
        <v>6700</v>
      </c>
      <c r="B6700" t="str">
        <f t="shared" si="104"/>
        <v>ᨬ</v>
      </c>
    </row>
    <row r="6701" spans="1:2" x14ac:dyDescent="0.25">
      <c r="A6701">
        <v>6701</v>
      </c>
      <c r="B6701" t="str">
        <f t="shared" si="104"/>
        <v>ᨭ</v>
      </c>
    </row>
    <row r="6702" spans="1:2" x14ac:dyDescent="0.25">
      <c r="A6702">
        <v>6702</v>
      </c>
      <c r="B6702" t="str">
        <f t="shared" si="104"/>
        <v>ᨮ</v>
      </c>
    </row>
    <row r="6703" spans="1:2" x14ac:dyDescent="0.25">
      <c r="A6703">
        <v>6703</v>
      </c>
      <c r="B6703" t="str">
        <f t="shared" si="104"/>
        <v>ᨯ</v>
      </c>
    </row>
    <row r="6704" spans="1:2" x14ac:dyDescent="0.25">
      <c r="A6704">
        <v>6704</v>
      </c>
      <c r="B6704" t="str">
        <f t="shared" si="104"/>
        <v>ᨰ</v>
      </c>
    </row>
    <row r="6705" spans="1:2" x14ac:dyDescent="0.25">
      <c r="A6705">
        <v>6705</v>
      </c>
      <c r="B6705" t="str">
        <f t="shared" si="104"/>
        <v>ᨱ</v>
      </c>
    </row>
    <row r="6706" spans="1:2" x14ac:dyDescent="0.25">
      <c r="A6706">
        <v>6706</v>
      </c>
      <c r="B6706" t="str">
        <f t="shared" si="104"/>
        <v>ᨲ</v>
      </c>
    </row>
    <row r="6707" spans="1:2" x14ac:dyDescent="0.25">
      <c r="A6707">
        <v>6707</v>
      </c>
      <c r="B6707" t="str">
        <f t="shared" si="104"/>
        <v>ᨳ</v>
      </c>
    </row>
    <row r="6708" spans="1:2" x14ac:dyDescent="0.25">
      <c r="A6708">
        <v>6708</v>
      </c>
      <c r="B6708" t="str">
        <f t="shared" si="104"/>
        <v>ᨴ</v>
      </c>
    </row>
    <row r="6709" spans="1:2" x14ac:dyDescent="0.25">
      <c r="A6709">
        <v>6709</v>
      </c>
      <c r="B6709" t="str">
        <f t="shared" si="104"/>
        <v>ᨵ</v>
      </c>
    </row>
    <row r="6710" spans="1:2" x14ac:dyDescent="0.25">
      <c r="A6710">
        <v>6710</v>
      </c>
      <c r="B6710" t="str">
        <f t="shared" si="104"/>
        <v>ᨶ</v>
      </c>
    </row>
    <row r="6711" spans="1:2" x14ac:dyDescent="0.25">
      <c r="A6711">
        <v>6711</v>
      </c>
      <c r="B6711" t="str">
        <f t="shared" si="104"/>
        <v>ᨷ</v>
      </c>
    </row>
    <row r="6712" spans="1:2" x14ac:dyDescent="0.25">
      <c r="A6712">
        <v>6712</v>
      </c>
      <c r="B6712" t="str">
        <f t="shared" si="104"/>
        <v>ᨸ</v>
      </c>
    </row>
    <row r="6713" spans="1:2" x14ac:dyDescent="0.25">
      <c r="A6713">
        <v>6713</v>
      </c>
      <c r="B6713" t="str">
        <f t="shared" si="104"/>
        <v>ᨹ</v>
      </c>
    </row>
    <row r="6714" spans="1:2" x14ac:dyDescent="0.25">
      <c r="A6714">
        <v>6714</v>
      </c>
      <c r="B6714" t="str">
        <f t="shared" si="104"/>
        <v>ᨺ</v>
      </c>
    </row>
    <row r="6715" spans="1:2" x14ac:dyDescent="0.25">
      <c r="A6715">
        <v>6715</v>
      </c>
      <c r="B6715" t="str">
        <f t="shared" si="104"/>
        <v>ᨻ</v>
      </c>
    </row>
    <row r="6716" spans="1:2" x14ac:dyDescent="0.25">
      <c r="A6716">
        <v>6716</v>
      </c>
      <c r="B6716" t="str">
        <f t="shared" si="104"/>
        <v>ᨼ</v>
      </c>
    </row>
    <row r="6717" spans="1:2" x14ac:dyDescent="0.25">
      <c r="A6717">
        <v>6717</v>
      </c>
      <c r="B6717" t="str">
        <f t="shared" si="104"/>
        <v>ᨽ</v>
      </c>
    </row>
    <row r="6718" spans="1:2" x14ac:dyDescent="0.25">
      <c r="A6718">
        <v>6718</v>
      </c>
      <c r="B6718" t="str">
        <f t="shared" si="104"/>
        <v>ᨾ</v>
      </c>
    </row>
    <row r="6719" spans="1:2" x14ac:dyDescent="0.25">
      <c r="A6719">
        <v>6719</v>
      </c>
      <c r="B6719" t="str">
        <f t="shared" si="104"/>
        <v>ᨿ</v>
      </c>
    </row>
    <row r="6720" spans="1:2" x14ac:dyDescent="0.25">
      <c r="A6720">
        <v>6720</v>
      </c>
      <c r="B6720" t="str">
        <f t="shared" si="104"/>
        <v>ᩀ</v>
      </c>
    </row>
    <row r="6721" spans="1:2" x14ac:dyDescent="0.25">
      <c r="A6721">
        <v>6721</v>
      </c>
      <c r="B6721" t="str">
        <f t="shared" si="104"/>
        <v>ᩁ</v>
      </c>
    </row>
    <row r="6722" spans="1:2" x14ac:dyDescent="0.25">
      <c r="A6722">
        <v>6722</v>
      </c>
      <c r="B6722" t="str">
        <f t="shared" ref="B6722:B6785" si="105">_xlfn.UNICHAR(A6722)</f>
        <v>ᩂ</v>
      </c>
    </row>
    <row r="6723" spans="1:2" x14ac:dyDescent="0.25">
      <c r="A6723">
        <v>6723</v>
      </c>
      <c r="B6723" t="str">
        <f t="shared" si="105"/>
        <v>ᩃ</v>
      </c>
    </row>
    <row r="6724" spans="1:2" x14ac:dyDescent="0.25">
      <c r="A6724">
        <v>6724</v>
      </c>
      <c r="B6724" t="str">
        <f t="shared" si="105"/>
        <v>ᩄ</v>
      </c>
    </row>
    <row r="6725" spans="1:2" x14ac:dyDescent="0.25">
      <c r="A6725">
        <v>6725</v>
      </c>
      <c r="B6725" t="str">
        <f t="shared" si="105"/>
        <v>ᩅ</v>
      </c>
    </row>
    <row r="6726" spans="1:2" x14ac:dyDescent="0.25">
      <c r="A6726">
        <v>6726</v>
      </c>
      <c r="B6726" t="str">
        <f t="shared" si="105"/>
        <v>ᩆ</v>
      </c>
    </row>
    <row r="6727" spans="1:2" x14ac:dyDescent="0.25">
      <c r="A6727">
        <v>6727</v>
      </c>
      <c r="B6727" t="str">
        <f t="shared" si="105"/>
        <v>ᩇ</v>
      </c>
    </row>
    <row r="6728" spans="1:2" x14ac:dyDescent="0.25">
      <c r="A6728">
        <v>6728</v>
      </c>
      <c r="B6728" t="str">
        <f t="shared" si="105"/>
        <v>ᩈ</v>
      </c>
    </row>
    <row r="6729" spans="1:2" x14ac:dyDescent="0.25">
      <c r="A6729">
        <v>6729</v>
      </c>
      <c r="B6729" t="str">
        <f t="shared" si="105"/>
        <v>ᩉ</v>
      </c>
    </row>
    <row r="6730" spans="1:2" x14ac:dyDescent="0.25">
      <c r="A6730">
        <v>6730</v>
      </c>
      <c r="B6730" t="str">
        <f t="shared" si="105"/>
        <v>ᩊ</v>
      </c>
    </row>
    <row r="6731" spans="1:2" x14ac:dyDescent="0.25">
      <c r="A6731">
        <v>6731</v>
      </c>
      <c r="B6731" t="str">
        <f t="shared" si="105"/>
        <v>ᩋ</v>
      </c>
    </row>
    <row r="6732" spans="1:2" x14ac:dyDescent="0.25">
      <c r="A6732">
        <v>6732</v>
      </c>
      <c r="B6732" t="str">
        <f t="shared" si="105"/>
        <v>ᩌ</v>
      </c>
    </row>
    <row r="6733" spans="1:2" x14ac:dyDescent="0.25">
      <c r="A6733">
        <v>6733</v>
      </c>
      <c r="B6733" t="str">
        <f t="shared" si="105"/>
        <v>ᩍ</v>
      </c>
    </row>
    <row r="6734" spans="1:2" x14ac:dyDescent="0.25">
      <c r="A6734">
        <v>6734</v>
      </c>
      <c r="B6734" t="str">
        <f t="shared" si="105"/>
        <v>ᩎ</v>
      </c>
    </row>
    <row r="6735" spans="1:2" x14ac:dyDescent="0.25">
      <c r="A6735">
        <v>6735</v>
      </c>
      <c r="B6735" t="str">
        <f t="shared" si="105"/>
        <v>ᩏ</v>
      </c>
    </row>
    <row r="6736" spans="1:2" x14ac:dyDescent="0.25">
      <c r="A6736">
        <v>6736</v>
      </c>
      <c r="B6736" t="str">
        <f t="shared" si="105"/>
        <v>ᩐ</v>
      </c>
    </row>
    <row r="6737" spans="1:2" x14ac:dyDescent="0.25">
      <c r="A6737">
        <v>6737</v>
      </c>
      <c r="B6737" t="str">
        <f t="shared" si="105"/>
        <v>ᩑ</v>
      </c>
    </row>
    <row r="6738" spans="1:2" x14ac:dyDescent="0.25">
      <c r="A6738">
        <v>6738</v>
      </c>
      <c r="B6738" t="str">
        <f t="shared" si="105"/>
        <v>ᩒ</v>
      </c>
    </row>
    <row r="6739" spans="1:2" x14ac:dyDescent="0.25">
      <c r="A6739">
        <v>6739</v>
      </c>
      <c r="B6739" t="str">
        <f t="shared" si="105"/>
        <v>ᩓ</v>
      </c>
    </row>
    <row r="6740" spans="1:2" x14ac:dyDescent="0.25">
      <c r="A6740">
        <v>6740</v>
      </c>
      <c r="B6740" t="str">
        <f t="shared" si="105"/>
        <v>ᩔ</v>
      </c>
    </row>
    <row r="6741" spans="1:2" x14ac:dyDescent="0.25">
      <c r="A6741">
        <v>6741</v>
      </c>
      <c r="B6741" t="str">
        <f t="shared" si="105"/>
        <v>ᩕ</v>
      </c>
    </row>
    <row r="6742" spans="1:2" x14ac:dyDescent="0.25">
      <c r="A6742">
        <v>6742</v>
      </c>
      <c r="B6742" t="str">
        <f t="shared" si="105"/>
        <v>ᩖ</v>
      </c>
    </row>
    <row r="6743" spans="1:2" x14ac:dyDescent="0.25">
      <c r="A6743">
        <v>6743</v>
      </c>
      <c r="B6743" t="str">
        <f t="shared" si="105"/>
        <v>ᩗ</v>
      </c>
    </row>
    <row r="6744" spans="1:2" x14ac:dyDescent="0.25">
      <c r="A6744">
        <v>6744</v>
      </c>
      <c r="B6744" t="str">
        <f t="shared" si="105"/>
        <v>ᩘ</v>
      </c>
    </row>
    <row r="6745" spans="1:2" x14ac:dyDescent="0.25">
      <c r="A6745">
        <v>6745</v>
      </c>
      <c r="B6745" t="str">
        <f t="shared" si="105"/>
        <v>ᩙ</v>
      </c>
    </row>
    <row r="6746" spans="1:2" x14ac:dyDescent="0.25">
      <c r="A6746">
        <v>6746</v>
      </c>
      <c r="B6746" t="str">
        <f t="shared" si="105"/>
        <v>ᩚ</v>
      </c>
    </row>
    <row r="6747" spans="1:2" x14ac:dyDescent="0.25">
      <c r="A6747">
        <v>6747</v>
      </c>
      <c r="B6747" t="str">
        <f t="shared" si="105"/>
        <v>ᩛ</v>
      </c>
    </row>
    <row r="6748" spans="1:2" x14ac:dyDescent="0.25">
      <c r="A6748">
        <v>6748</v>
      </c>
      <c r="B6748" t="str">
        <f t="shared" si="105"/>
        <v>ᩜ</v>
      </c>
    </row>
    <row r="6749" spans="1:2" x14ac:dyDescent="0.25">
      <c r="A6749">
        <v>6749</v>
      </c>
      <c r="B6749" t="str">
        <f t="shared" si="105"/>
        <v>ᩝ</v>
      </c>
    </row>
    <row r="6750" spans="1:2" x14ac:dyDescent="0.25">
      <c r="A6750">
        <v>6750</v>
      </c>
      <c r="B6750" t="str">
        <f t="shared" si="105"/>
        <v>ᩞ</v>
      </c>
    </row>
    <row r="6751" spans="1:2" x14ac:dyDescent="0.25">
      <c r="A6751">
        <v>6751</v>
      </c>
      <c r="B6751" t="str">
        <f t="shared" si="105"/>
        <v>᩟</v>
      </c>
    </row>
    <row r="6752" spans="1:2" x14ac:dyDescent="0.25">
      <c r="A6752">
        <v>6752</v>
      </c>
      <c r="B6752" t="str">
        <f t="shared" si="105"/>
        <v>᩠</v>
      </c>
    </row>
    <row r="6753" spans="1:2" x14ac:dyDescent="0.25">
      <c r="A6753">
        <v>6753</v>
      </c>
      <c r="B6753" t="str">
        <f t="shared" si="105"/>
        <v>ᩡ</v>
      </c>
    </row>
    <row r="6754" spans="1:2" x14ac:dyDescent="0.25">
      <c r="A6754">
        <v>6754</v>
      </c>
      <c r="B6754" t="str">
        <f t="shared" si="105"/>
        <v>ᩢ</v>
      </c>
    </row>
    <row r="6755" spans="1:2" x14ac:dyDescent="0.25">
      <c r="A6755">
        <v>6755</v>
      </c>
      <c r="B6755" t="str">
        <f t="shared" si="105"/>
        <v>ᩣ</v>
      </c>
    </row>
    <row r="6756" spans="1:2" x14ac:dyDescent="0.25">
      <c r="A6756">
        <v>6756</v>
      </c>
      <c r="B6756" t="str">
        <f t="shared" si="105"/>
        <v>ᩤ</v>
      </c>
    </row>
    <row r="6757" spans="1:2" x14ac:dyDescent="0.25">
      <c r="A6757">
        <v>6757</v>
      </c>
      <c r="B6757" t="str">
        <f t="shared" si="105"/>
        <v>ᩥ</v>
      </c>
    </row>
    <row r="6758" spans="1:2" x14ac:dyDescent="0.25">
      <c r="A6758">
        <v>6758</v>
      </c>
      <c r="B6758" t="str">
        <f t="shared" si="105"/>
        <v>ᩦ</v>
      </c>
    </row>
    <row r="6759" spans="1:2" x14ac:dyDescent="0.25">
      <c r="A6759">
        <v>6759</v>
      </c>
      <c r="B6759" t="str">
        <f t="shared" si="105"/>
        <v>ᩧ</v>
      </c>
    </row>
    <row r="6760" spans="1:2" x14ac:dyDescent="0.25">
      <c r="A6760">
        <v>6760</v>
      </c>
      <c r="B6760" t="str">
        <f t="shared" si="105"/>
        <v>ᩨ</v>
      </c>
    </row>
    <row r="6761" spans="1:2" x14ac:dyDescent="0.25">
      <c r="A6761">
        <v>6761</v>
      </c>
      <c r="B6761" t="str">
        <f t="shared" si="105"/>
        <v>ᩩ</v>
      </c>
    </row>
    <row r="6762" spans="1:2" x14ac:dyDescent="0.25">
      <c r="A6762">
        <v>6762</v>
      </c>
      <c r="B6762" t="str">
        <f t="shared" si="105"/>
        <v>ᩪ</v>
      </c>
    </row>
    <row r="6763" spans="1:2" x14ac:dyDescent="0.25">
      <c r="A6763">
        <v>6763</v>
      </c>
      <c r="B6763" t="str">
        <f t="shared" si="105"/>
        <v>ᩫ</v>
      </c>
    </row>
    <row r="6764" spans="1:2" x14ac:dyDescent="0.25">
      <c r="A6764">
        <v>6764</v>
      </c>
      <c r="B6764" t="str">
        <f t="shared" si="105"/>
        <v>ᩬ</v>
      </c>
    </row>
    <row r="6765" spans="1:2" x14ac:dyDescent="0.25">
      <c r="A6765">
        <v>6765</v>
      </c>
      <c r="B6765" t="str">
        <f t="shared" si="105"/>
        <v>ᩭ</v>
      </c>
    </row>
    <row r="6766" spans="1:2" x14ac:dyDescent="0.25">
      <c r="A6766">
        <v>6766</v>
      </c>
      <c r="B6766" t="str">
        <f t="shared" si="105"/>
        <v>ᩮ</v>
      </c>
    </row>
    <row r="6767" spans="1:2" x14ac:dyDescent="0.25">
      <c r="A6767">
        <v>6767</v>
      </c>
      <c r="B6767" t="str">
        <f t="shared" si="105"/>
        <v>ᩯ</v>
      </c>
    </row>
    <row r="6768" spans="1:2" x14ac:dyDescent="0.25">
      <c r="A6768">
        <v>6768</v>
      </c>
      <c r="B6768" t="str">
        <f t="shared" si="105"/>
        <v>ᩰ</v>
      </c>
    </row>
    <row r="6769" spans="1:2" x14ac:dyDescent="0.25">
      <c r="A6769">
        <v>6769</v>
      </c>
      <c r="B6769" t="str">
        <f t="shared" si="105"/>
        <v>ᩱ</v>
      </c>
    </row>
    <row r="6770" spans="1:2" x14ac:dyDescent="0.25">
      <c r="A6770">
        <v>6770</v>
      </c>
      <c r="B6770" t="str">
        <f t="shared" si="105"/>
        <v>ᩲ</v>
      </c>
    </row>
    <row r="6771" spans="1:2" x14ac:dyDescent="0.25">
      <c r="A6771">
        <v>6771</v>
      </c>
      <c r="B6771" t="str">
        <f t="shared" si="105"/>
        <v>ᩳ</v>
      </c>
    </row>
    <row r="6772" spans="1:2" x14ac:dyDescent="0.25">
      <c r="A6772">
        <v>6772</v>
      </c>
      <c r="B6772" t="str">
        <f t="shared" si="105"/>
        <v>ᩴ</v>
      </c>
    </row>
    <row r="6773" spans="1:2" x14ac:dyDescent="0.25">
      <c r="A6773">
        <v>6773</v>
      </c>
      <c r="B6773" t="str">
        <f t="shared" si="105"/>
        <v>᩵</v>
      </c>
    </row>
    <row r="6774" spans="1:2" x14ac:dyDescent="0.25">
      <c r="A6774">
        <v>6774</v>
      </c>
      <c r="B6774" t="str">
        <f t="shared" si="105"/>
        <v>᩶</v>
      </c>
    </row>
    <row r="6775" spans="1:2" x14ac:dyDescent="0.25">
      <c r="A6775">
        <v>6775</v>
      </c>
      <c r="B6775" t="str">
        <f t="shared" si="105"/>
        <v>᩷</v>
      </c>
    </row>
    <row r="6776" spans="1:2" x14ac:dyDescent="0.25">
      <c r="A6776">
        <v>6776</v>
      </c>
      <c r="B6776" t="str">
        <f t="shared" si="105"/>
        <v>᩸</v>
      </c>
    </row>
    <row r="6777" spans="1:2" x14ac:dyDescent="0.25">
      <c r="A6777">
        <v>6777</v>
      </c>
      <c r="B6777" t="str">
        <f t="shared" si="105"/>
        <v>᩹</v>
      </c>
    </row>
    <row r="6778" spans="1:2" x14ac:dyDescent="0.25">
      <c r="A6778">
        <v>6778</v>
      </c>
      <c r="B6778" t="str">
        <f t="shared" si="105"/>
        <v>᩺</v>
      </c>
    </row>
    <row r="6779" spans="1:2" x14ac:dyDescent="0.25">
      <c r="A6779">
        <v>6779</v>
      </c>
      <c r="B6779" t="str">
        <f t="shared" si="105"/>
        <v>᩻</v>
      </c>
    </row>
    <row r="6780" spans="1:2" x14ac:dyDescent="0.25">
      <c r="A6780">
        <v>6780</v>
      </c>
      <c r="B6780" t="str">
        <f t="shared" si="105"/>
        <v>᩼</v>
      </c>
    </row>
    <row r="6781" spans="1:2" x14ac:dyDescent="0.25">
      <c r="A6781">
        <v>6781</v>
      </c>
      <c r="B6781" t="str">
        <f t="shared" si="105"/>
        <v>᩽</v>
      </c>
    </row>
    <row r="6782" spans="1:2" x14ac:dyDescent="0.25">
      <c r="A6782">
        <v>6782</v>
      </c>
      <c r="B6782" t="str">
        <f t="shared" si="105"/>
        <v>᩾</v>
      </c>
    </row>
    <row r="6783" spans="1:2" x14ac:dyDescent="0.25">
      <c r="A6783">
        <v>6783</v>
      </c>
      <c r="B6783" t="str">
        <f t="shared" si="105"/>
        <v>᩿</v>
      </c>
    </row>
    <row r="6784" spans="1:2" x14ac:dyDescent="0.25">
      <c r="A6784">
        <v>6784</v>
      </c>
      <c r="B6784" t="str">
        <f t="shared" si="105"/>
        <v>᪀</v>
      </c>
    </row>
    <row r="6785" spans="1:2" x14ac:dyDescent="0.25">
      <c r="A6785">
        <v>6785</v>
      </c>
      <c r="B6785" t="str">
        <f t="shared" si="105"/>
        <v>᪁</v>
      </c>
    </row>
    <row r="6786" spans="1:2" x14ac:dyDescent="0.25">
      <c r="A6786">
        <v>6786</v>
      </c>
      <c r="B6786" t="str">
        <f t="shared" ref="B6786:B6849" si="106">_xlfn.UNICHAR(A6786)</f>
        <v>᪂</v>
      </c>
    </row>
    <row r="6787" spans="1:2" x14ac:dyDescent="0.25">
      <c r="A6787">
        <v>6787</v>
      </c>
      <c r="B6787" t="str">
        <f t="shared" si="106"/>
        <v>᪃</v>
      </c>
    </row>
    <row r="6788" spans="1:2" x14ac:dyDescent="0.25">
      <c r="A6788">
        <v>6788</v>
      </c>
      <c r="B6788" t="str">
        <f t="shared" si="106"/>
        <v>᪄</v>
      </c>
    </row>
    <row r="6789" spans="1:2" x14ac:dyDescent="0.25">
      <c r="A6789">
        <v>6789</v>
      </c>
      <c r="B6789" t="str">
        <f t="shared" si="106"/>
        <v>᪅</v>
      </c>
    </row>
    <row r="6790" spans="1:2" x14ac:dyDescent="0.25">
      <c r="A6790">
        <v>6790</v>
      </c>
      <c r="B6790" t="str">
        <f t="shared" si="106"/>
        <v>᪆</v>
      </c>
    </row>
    <row r="6791" spans="1:2" x14ac:dyDescent="0.25">
      <c r="A6791">
        <v>6791</v>
      </c>
      <c r="B6791" t="str">
        <f t="shared" si="106"/>
        <v>᪇</v>
      </c>
    </row>
    <row r="6792" spans="1:2" x14ac:dyDescent="0.25">
      <c r="A6792">
        <v>6792</v>
      </c>
      <c r="B6792" t="str">
        <f t="shared" si="106"/>
        <v>᪈</v>
      </c>
    </row>
    <row r="6793" spans="1:2" x14ac:dyDescent="0.25">
      <c r="A6793">
        <v>6793</v>
      </c>
      <c r="B6793" t="str">
        <f t="shared" si="106"/>
        <v>᪉</v>
      </c>
    </row>
    <row r="6794" spans="1:2" x14ac:dyDescent="0.25">
      <c r="A6794">
        <v>6794</v>
      </c>
      <c r="B6794" t="str">
        <f t="shared" si="106"/>
        <v>᪊</v>
      </c>
    </row>
    <row r="6795" spans="1:2" x14ac:dyDescent="0.25">
      <c r="A6795">
        <v>6795</v>
      </c>
      <c r="B6795" t="str">
        <f t="shared" si="106"/>
        <v>᪋</v>
      </c>
    </row>
    <row r="6796" spans="1:2" x14ac:dyDescent="0.25">
      <c r="A6796">
        <v>6796</v>
      </c>
      <c r="B6796" t="str">
        <f t="shared" si="106"/>
        <v>᪌</v>
      </c>
    </row>
    <row r="6797" spans="1:2" x14ac:dyDescent="0.25">
      <c r="A6797">
        <v>6797</v>
      </c>
      <c r="B6797" t="str">
        <f t="shared" si="106"/>
        <v>᪍</v>
      </c>
    </row>
    <row r="6798" spans="1:2" x14ac:dyDescent="0.25">
      <c r="A6798">
        <v>6798</v>
      </c>
      <c r="B6798" t="str">
        <f t="shared" si="106"/>
        <v>᪎</v>
      </c>
    </row>
    <row r="6799" spans="1:2" x14ac:dyDescent="0.25">
      <c r="A6799">
        <v>6799</v>
      </c>
      <c r="B6799" t="str">
        <f t="shared" si="106"/>
        <v>᪏</v>
      </c>
    </row>
    <row r="6800" spans="1:2" x14ac:dyDescent="0.25">
      <c r="A6800">
        <v>6800</v>
      </c>
      <c r="B6800" t="str">
        <f t="shared" si="106"/>
        <v>᪐</v>
      </c>
    </row>
    <row r="6801" spans="1:2" x14ac:dyDescent="0.25">
      <c r="A6801">
        <v>6801</v>
      </c>
      <c r="B6801" t="str">
        <f t="shared" si="106"/>
        <v>᪑</v>
      </c>
    </row>
    <row r="6802" spans="1:2" x14ac:dyDescent="0.25">
      <c r="A6802">
        <v>6802</v>
      </c>
      <c r="B6802" t="str">
        <f t="shared" si="106"/>
        <v>᪒</v>
      </c>
    </row>
    <row r="6803" spans="1:2" x14ac:dyDescent="0.25">
      <c r="A6803">
        <v>6803</v>
      </c>
      <c r="B6803" t="str">
        <f t="shared" si="106"/>
        <v>᪓</v>
      </c>
    </row>
    <row r="6804" spans="1:2" x14ac:dyDescent="0.25">
      <c r="A6804">
        <v>6804</v>
      </c>
      <c r="B6804" t="str">
        <f t="shared" si="106"/>
        <v>᪔</v>
      </c>
    </row>
    <row r="6805" spans="1:2" x14ac:dyDescent="0.25">
      <c r="A6805">
        <v>6805</v>
      </c>
      <c r="B6805" t="str">
        <f t="shared" si="106"/>
        <v>᪕</v>
      </c>
    </row>
    <row r="6806" spans="1:2" x14ac:dyDescent="0.25">
      <c r="A6806">
        <v>6806</v>
      </c>
      <c r="B6806" t="str">
        <f t="shared" si="106"/>
        <v>᪖</v>
      </c>
    </row>
    <row r="6807" spans="1:2" x14ac:dyDescent="0.25">
      <c r="A6807">
        <v>6807</v>
      </c>
      <c r="B6807" t="str">
        <f t="shared" si="106"/>
        <v>᪗</v>
      </c>
    </row>
    <row r="6808" spans="1:2" x14ac:dyDescent="0.25">
      <c r="A6808">
        <v>6808</v>
      </c>
      <c r="B6808" t="str">
        <f t="shared" si="106"/>
        <v>᪘</v>
      </c>
    </row>
    <row r="6809" spans="1:2" x14ac:dyDescent="0.25">
      <c r="A6809">
        <v>6809</v>
      </c>
      <c r="B6809" t="str">
        <f t="shared" si="106"/>
        <v>᪙</v>
      </c>
    </row>
    <row r="6810" spans="1:2" x14ac:dyDescent="0.25">
      <c r="A6810">
        <v>6810</v>
      </c>
      <c r="B6810" t="str">
        <f t="shared" si="106"/>
        <v>᪚</v>
      </c>
    </row>
    <row r="6811" spans="1:2" x14ac:dyDescent="0.25">
      <c r="A6811">
        <v>6811</v>
      </c>
      <c r="B6811" t="str">
        <f t="shared" si="106"/>
        <v>᪛</v>
      </c>
    </row>
    <row r="6812" spans="1:2" x14ac:dyDescent="0.25">
      <c r="A6812">
        <v>6812</v>
      </c>
      <c r="B6812" t="str">
        <f t="shared" si="106"/>
        <v>᪜</v>
      </c>
    </row>
    <row r="6813" spans="1:2" x14ac:dyDescent="0.25">
      <c r="A6813">
        <v>6813</v>
      </c>
      <c r="B6813" t="str">
        <f t="shared" si="106"/>
        <v>᪝</v>
      </c>
    </row>
    <row r="6814" spans="1:2" x14ac:dyDescent="0.25">
      <c r="A6814">
        <v>6814</v>
      </c>
      <c r="B6814" t="str">
        <f t="shared" si="106"/>
        <v>᪞</v>
      </c>
    </row>
    <row r="6815" spans="1:2" x14ac:dyDescent="0.25">
      <c r="A6815">
        <v>6815</v>
      </c>
      <c r="B6815" t="str">
        <f t="shared" si="106"/>
        <v>᪟</v>
      </c>
    </row>
    <row r="6816" spans="1:2" x14ac:dyDescent="0.25">
      <c r="A6816">
        <v>6816</v>
      </c>
      <c r="B6816" t="str">
        <f t="shared" si="106"/>
        <v>᪠</v>
      </c>
    </row>
    <row r="6817" spans="1:2" x14ac:dyDescent="0.25">
      <c r="A6817">
        <v>6817</v>
      </c>
      <c r="B6817" t="str">
        <f t="shared" si="106"/>
        <v>᪡</v>
      </c>
    </row>
    <row r="6818" spans="1:2" x14ac:dyDescent="0.25">
      <c r="A6818">
        <v>6818</v>
      </c>
      <c r="B6818" t="str">
        <f t="shared" si="106"/>
        <v>᪢</v>
      </c>
    </row>
    <row r="6819" spans="1:2" x14ac:dyDescent="0.25">
      <c r="A6819">
        <v>6819</v>
      </c>
      <c r="B6819" t="str">
        <f t="shared" si="106"/>
        <v>᪣</v>
      </c>
    </row>
    <row r="6820" spans="1:2" x14ac:dyDescent="0.25">
      <c r="A6820">
        <v>6820</v>
      </c>
      <c r="B6820" t="str">
        <f t="shared" si="106"/>
        <v>᪤</v>
      </c>
    </row>
    <row r="6821" spans="1:2" x14ac:dyDescent="0.25">
      <c r="A6821">
        <v>6821</v>
      </c>
      <c r="B6821" t="str">
        <f t="shared" si="106"/>
        <v>᪥</v>
      </c>
    </row>
    <row r="6822" spans="1:2" x14ac:dyDescent="0.25">
      <c r="A6822">
        <v>6822</v>
      </c>
      <c r="B6822" t="str">
        <f t="shared" si="106"/>
        <v>᪦</v>
      </c>
    </row>
    <row r="6823" spans="1:2" x14ac:dyDescent="0.25">
      <c r="A6823">
        <v>6823</v>
      </c>
      <c r="B6823" t="str">
        <f t="shared" si="106"/>
        <v>ᪧ</v>
      </c>
    </row>
    <row r="6824" spans="1:2" x14ac:dyDescent="0.25">
      <c r="A6824">
        <v>6824</v>
      </c>
      <c r="B6824" t="str">
        <f t="shared" si="106"/>
        <v>᪨</v>
      </c>
    </row>
    <row r="6825" spans="1:2" x14ac:dyDescent="0.25">
      <c r="A6825">
        <v>6825</v>
      </c>
      <c r="B6825" t="str">
        <f t="shared" si="106"/>
        <v>᪩</v>
      </c>
    </row>
    <row r="6826" spans="1:2" x14ac:dyDescent="0.25">
      <c r="A6826">
        <v>6826</v>
      </c>
      <c r="B6826" t="str">
        <f t="shared" si="106"/>
        <v>᪪</v>
      </c>
    </row>
    <row r="6827" spans="1:2" x14ac:dyDescent="0.25">
      <c r="A6827">
        <v>6827</v>
      </c>
      <c r="B6827" t="str">
        <f t="shared" si="106"/>
        <v>᪫</v>
      </c>
    </row>
    <row r="6828" spans="1:2" x14ac:dyDescent="0.25">
      <c r="A6828">
        <v>6828</v>
      </c>
      <c r="B6828" t="str">
        <f t="shared" si="106"/>
        <v>᪬</v>
      </c>
    </row>
    <row r="6829" spans="1:2" x14ac:dyDescent="0.25">
      <c r="A6829">
        <v>6829</v>
      </c>
      <c r="B6829" t="str">
        <f t="shared" si="106"/>
        <v>᪭</v>
      </c>
    </row>
    <row r="6830" spans="1:2" x14ac:dyDescent="0.25">
      <c r="A6830">
        <v>6830</v>
      </c>
      <c r="B6830" t="str">
        <f t="shared" si="106"/>
        <v>᪮</v>
      </c>
    </row>
    <row r="6831" spans="1:2" x14ac:dyDescent="0.25">
      <c r="A6831">
        <v>6831</v>
      </c>
      <c r="B6831" t="str">
        <f t="shared" si="106"/>
        <v>᪯</v>
      </c>
    </row>
    <row r="6832" spans="1:2" x14ac:dyDescent="0.25">
      <c r="A6832">
        <v>6832</v>
      </c>
      <c r="B6832" t="str">
        <f t="shared" si="106"/>
        <v>᪰</v>
      </c>
    </row>
    <row r="6833" spans="1:2" x14ac:dyDescent="0.25">
      <c r="A6833">
        <v>6833</v>
      </c>
      <c r="B6833" t="str">
        <f t="shared" si="106"/>
        <v>᪱</v>
      </c>
    </row>
    <row r="6834" spans="1:2" x14ac:dyDescent="0.25">
      <c r="A6834">
        <v>6834</v>
      </c>
      <c r="B6834" t="str">
        <f t="shared" si="106"/>
        <v>᪲</v>
      </c>
    </row>
    <row r="6835" spans="1:2" x14ac:dyDescent="0.25">
      <c r="A6835">
        <v>6835</v>
      </c>
      <c r="B6835" t="str">
        <f t="shared" si="106"/>
        <v>᪳</v>
      </c>
    </row>
    <row r="6836" spans="1:2" x14ac:dyDescent="0.25">
      <c r="A6836">
        <v>6836</v>
      </c>
      <c r="B6836" t="str">
        <f t="shared" si="106"/>
        <v>᪴</v>
      </c>
    </row>
    <row r="6837" spans="1:2" x14ac:dyDescent="0.25">
      <c r="A6837">
        <v>6837</v>
      </c>
      <c r="B6837" t="str">
        <f t="shared" si="106"/>
        <v>᪵</v>
      </c>
    </row>
    <row r="6838" spans="1:2" x14ac:dyDescent="0.25">
      <c r="A6838">
        <v>6838</v>
      </c>
      <c r="B6838" t="str">
        <f t="shared" si="106"/>
        <v>᪶</v>
      </c>
    </row>
    <row r="6839" spans="1:2" x14ac:dyDescent="0.25">
      <c r="A6839">
        <v>6839</v>
      </c>
      <c r="B6839" t="str">
        <f t="shared" si="106"/>
        <v>᪷</v>
      </c>
    </row>
    <row r="6840" spans="1:2" x14ac:dyDescent="0.25">
      <c r="A6840">
        <v>6840</v>
      </c>
      <c r="B6840" t="str">
        <f t="shared" si="106"/>
        <v>᪸</v>
      </c>
    </row>
    <row r="6841" spans="1:2" x14ac:dyDescent="0.25">
      <c r="A6841">
        <v>6841</v>
      </c>
      <c r="B6841" t="str">
        <f t="shared" si="106"/>
        <v>᪹</v>
      </c>
    </row>
    <row r="6842" spans="1:2" x14ac:dyDescent="0.25">
      <c r="A6842">
        <v>6842</v>
      </c>
      <c r="B6842" t="str">
        <f t="shared" si="106"/>
        <v>᪺</v>
      </c>
    </row>
    <row r="6843" spans="1:2" x14ac:dyDescent="0.25">
      <c r="A6843">
        <v>6843</v>
      </c>
      <c r="B6843" t="str">
        <f t="shared" si="106"/>
        <v>᪻</v>
      </c>
    </row>
    <row r="6844" spans="1:2" x14ac:dyDescent="0.25">
      <c r="A6844">
        <v>6844</v>
      </c>
      <c r="B6844" t="str">
        <f t="shared" si="106"/>
        <v>᪼</v>
      </c>
    </row>
    <row r="6845" spans="1:2" x14ac:dyDescent="0.25">
      <c r="A6845">
        <v>6845</v>
      </c>
      <c r="B6845" t="str">
        <f t="shared" si="106"/>
        <v>᪽</v>
      </c>
    </row>
    <row r="6846" spans="1:2" x14ac:dyDescent="0.25">
      <c r="A6846">
        <v>6846</v>
      </c>
      <c r="B6846" t="str">
        <f t="shared" si="106"/>
        <v>᪾</v>
      </c>
    </row>
    <row r="6847" spans="1:2" x14ac:dyDescent="0.25">
      <c r="A6847">
        <v>6847</v>
      </c>
      <c r="B6847" t="str">
        <f t="shared" si="106"/>
        <v>ᪿ</v>
      </c>
    </row>
    <row r="6848" spans="1:2" x14ac:dyDescent="0.25">
      <c r="A6848">
        <v>6848</v>
      </c>
      <c r="B6848" t="str">
        <f t="shared" si="106"/>
        <v>ᫀ</v>
      </c>
    </row>
    <row r="6849" spans="1:2" x14ac:dyDescent="0.25">
      <c r="A6849">
        <v>6849</v>
      </c>
      <c r="B6849" t="str">
        <f t="shared" si="106"/>
        <v>᫁</v>
      </c>
    </row>
    <row r="6850" spans="1:2" x14ac:dyDescent="0.25">
      <c r="A6850">
        <v>6850</v>
      </c>
      <c r="B6850" t="str">
        <f t="shared" ref="B6850:B6913" si="107">_xlfn.UNICHAR(A6850)</f>
        <v>᫂</v>
      </c>
    </row>
    <row r="6851" spans="1:2" x14ac:dyDescent="0.25">
      <c r="A6851">
        <v>6851</v>
      </c>
      <c r="B6851" t="str">
        <f t="shared" si="107"/>
        <v>᫃</v>
      </c>
    </row>
    <row r="6852" spans="1:2" x14ac:dyDescent="0.25">
      <c r="A6852">
        <v>6852</v>
      </c>
      <c r="B6852" t="str">
        <f t="shared" si="107"/>
        <v>᫄</v>
      </c>
    </row>
    <row r="6853" spans="1:2" x14ac:dyDescent="0.25">
      <c r="A6853">
        <v>6853</v>
      </c>
      <c r="B6853" t="str">
        <f t="shared" si="107"/>
        <v>᫅</v>
      </c>
    </row>
    <row r="6854" spans="1:2" x14ac:dyDescent="0.25">
      <c r="A6854">
        <v>6854</v>
      </c>
      <c r="B6854" t="str">
        <f t="shared" si="107"/>
        <v>᫆</v>
      </c>
    </row>
    <row r="6855" spans="1:2" x14ac:dyDescent="0.25">
      <c r="A6855">
        <v>6855</v>
      </c>
      <c r="B6855" t="str">
        <f t="shared" si="107"/>
        <v>᫇</v>
      </c>
    </row>
    <row r="6856" spans="1:2" x14ac:dyDescent="0.25">
      <c r="A6856">
        <v>6856</v>
      </c>
      <c r="B6856" t="str">
        <f t="shared" si="107"/>
        <v>᫈</v>
      </c>
    </row>
    <row r="6857" spans="1:2" x14ac:dyDescent="0.25">
      <c r="A6857">
        <v>6857</v>
      </c>
      <c r="B6857" t="str">
        <f t="shared" si="107"/>
        <v>᫉</v>
      </c>
    </row>
    <row r="6858" spans="1:2" x14ac:dyDescent="0.25">
      <c r="A6858">
        <v>6858</v>
      </c>
      <c r="B6858" t="str">
        <f t="shared" si="107"/>
        <v>᫊</v>
      </c>
    </row>
    <row r="6859" spans="1:2" x14ac:dyDescent="0.25">
      <c r="A6859">
        <v>6859</v>
      </c>
      <c r="B6859" t="str">
        <f t="shared" si="107"/>
        <v>᫋</v>
      </c>
    </row>
    <row r="6860" spans="1:2" x14ac:dyDescent="0.25">
      <c r="A6860">
        <v>6860</v>
      </c>
      <c r="B6860" t="str">
        <f t="shared" si="107"/>
        <v>ᫌ</v>
      </c>
    </row>
    <row r="6861" spans="1:2" x14ac:dyDescent="0.25">
      <c r="A6861">
        <v>6861</v>
      </c>
      <c r="B6861" t="str">
        <f t="shared" si="107"/>
        <v>ᫍ</v>
      </c>
    </row>
    <row r="6862" spans="1:2" x14ac:dyDescent="0.25">
      <c r="A6862">
        <v>6862</v>
      </c>
      <c r="B6862" t="str">
        <f t="shared" si="107"/>
        <v>ᫎ</v>
      </c>
    </row>
    <row r="6863" spans="1:2" x14ac:dyDescent="0.25">
      <c r="A6863">
        <v>6863</v>
      </c>
      <c r="B6863" t="str">
        <f t="shared" si="107"/>
        <v>᫏</v>
      </c>
    </row>
    <row r="6864" spans="1:2" x14ac:dyDescent="0.25">
      <c r="A6864">
        <v>6864</v>
      </c>
      <c r="B6864" t="str">
        <f t="shared" si="107"/>
        <v>᫐</v>
      </c>
    </row>
    <row r="6865" spans="1:2" x14ac:dyDescent="0.25">
      <c r="A6865">
        <v>6865</v>
      </c>
      <c r="B6865" t="str">
        <f t="shared" si="107"/>
        <v>᫑</v>
      </c>
    </row>
    <row r="6866" spans="1:2" x14ac:dyDescent="0.25">
      <c r="A6866">
        <v>6866</v>
      </c>
      <c r="B6866" t="str">
        <f t="shared" si="107"/>
        <v>᫒</v>
      </c>
    </row>
    <row r="6867" spans="1:2" x14ac:dyDescent="0.25">
      <c r="A6867">
        <v>6867</v>
      </c>
      <c r="B6867" t="str">
        <f t="shared" si="107"/>
        <v>᫓</v>
      </c>
    </row>
    <row r="6868" spans="1:2" x14ac:dyDescent="0.25">
      <c r="A6868">
        <v>6868</v>
      </c>
      <c r="B6868" t="str">
        <f t="shared" si="107"/>
        <v>᫔</v>
      </c>
    </row>
    <row r="6869" spans="1:2" x14ac:dyDescent="0.25">
      <c r="A6869">
        <v>6869</v>
      </c>
      <c r="B6869" t="str">
        <f t="shared" si="107"/>
        <v>᫕</v>
      </c>
    </row>
    <row r="6870" spans="1:2" x14ac:dyDescent="0.25">
      <c r="A6870">
        <v>6870</v>
      </c>
      <c r="B6870" t="str">
        <f t="shared" si="107"/>
        <v>᫖</v>
      </c>
    </row>
    <row r="6871" spans="1:2" x14ac:dyDescent="0.25">
      <c r="A6871">
        <v>6871</v>
      </c>
      <c r="B6871" t="str">
        <f t="shared" si="107"/>
        <v>᫗</v>
      </c>
    </row>
    <row r="6872" spans="1:2" x14ac:dyDescent="0.25">
      <c r="A6872">
        <v>6872</v>
      </c>
      <c r="B6872" t="str">
        <f t="shared" si="107"/>
        <v>᫘</v>
      </c>
    </row>
    <row r="6873" spans="1:2" x14ac:dyDescent="0.25">
      <c r="A6873">
        <v>6873</v>
      </c>
      <c r="B6873" t="str">
        <f t="shared" si="107"/>
        <v>᫙</v>
      </c>
    </row>
    <row r="6874" spans="1:2" x14ac:dyDescent="0.25">
      <c r="A6874">
        <v>6874</v>
      </c>
      <c r="B6874" t="str">
        <f t="shared" si="107"/>
        <v>᫚</v>
      </c>
    </row>
    <row r="6875" spans="1:2" x14ac:dyDescent="0.25">
      <c r="A6875">
        <v>6875</v>
      </c>
      <c r="B6875" t="str">
        <f t="shared" si="107"/>
        <v>᫛</v>
      </c>
    </row>
    <row r="6876" spans="1:2" x14ac:dyDescent="0.25">
      <c r="A6876">
        <v>6876</v>
      </c>
      <c r="B6876" t="str">
        <f t="shared" si="107"/>
        <v>᫜</v>
      </c>
    </row>
    <row r="6877" spans="1:2" x14ac:dyDescent="0.25">
      <c r="A6877">
        <v>6877</v>
      </c>
      <c r="B6877" t="str">
        <f t="shared" si="107"/>
        <v>᫝</v>
      </c>
    </row>
    <row r="6878" spans="1:2" x14ac:dyDescent="0.25">
      <c r="A6878">
        <v>6878</v>
      </c>
      <c r="B6878" t="str">
        <f t="shared" si="107"/>
        <v>᫞</v>
      </c>
    </row>
    <row r="6879" spans="1:2" x14ac:dyDescent="0.25">
      <c r="A6879">
        <v>6879</v>
      </c>
      <c r="B6879" t="str">
        <f t="shared" si="107"/>
        <v>᫟</v>
      </c>
    </row>
    <row r="6880" spans="1:2" x14ac:dyDescent="0.25">
      <c r="A6880">
        <v>6880</v>
      </c>
      <c r="B6880" t="str">
        <f t="shared" si="107"/>
        <v>᫠</v>
      </c>
    </row>
    <row r="6881" spans="1:2" x14ac:dyDescent="0.25">
      <c r="A6881">
        <v>6881</v>
      </c>
      <c r="B6881" t="str">
        <f t="shared" si="107"/>
        <v>᫡</v>
      </c>
    </row>
    <row r="6882" spans="1:2" x14ac:dyDescent="0.25">
      <c r="A6882">
        <v>6882</v>
      </c>
      <c r="B6882" t="str">
        <f t="shared" si="107"/>
        <v>᫢</v>
      </c>
    </row>
    <row r="6883" spans="1:2" x14ac:dyDescent="0.25">
      <c r="A6883">
        <v>6883</v>
      </c>
      <c r="B6883" t="str">
        <f t="shared" si="107"/>
        <v>᫣</v>
      </c>
    </row>
    <row r="6884" spans="1:2" x14ac:dyDescent="0.25">
      <c r="A6884">
        <v>6884</v>
      </c>
      <c r="B6884" t="str">
        <f t="shared" si="107"/>
        <v>᫤</v>
      </c>
    </row>
    <row r="6885" spans="1:2" x14ac:dyDescent="0.25">
      <c r="A6885">
        <v>6885</v>
      </c>
      <c r="B6885" t="str">
        <f t="shared" si="107"/>
        <v>᫥</v>
      </c>
    </row>
    <row r="6886" spans="1:2" x14ac:dyDescent="0.25">
      <c r="A6886">
        <v>6886</v>
      </c>
      <c r="B6886" t="str">
        <f t="shared" si="107"/>
        <v>᫦</v>
      </c>
    </row>
    <row r="6887" spans="1:2" x14ac:dyDescent="0.25">
      <c r="A6887">
        <v>6887</v>
      </c>
      <c r="B6887" t="str">
        <f t="shared" si="107"/>
        <v>᫧</v>
      </c>
    </row>
    <row r="6888" spans="1:2" x14ac:dyDescent="0.25">
      <c r="A6888">
        <v>6888</v>
      </c>
      <c r="B6888" t="str">
        <f t="shared" si="107"/>
        <v>᫨</v>
      </c>
    </row>
    <row r="6889" spans="1:2" x14ac:dyDescent="0.25">
      <c r="A6889">
        <v>6889</v>
      </c>
      <c r="B6889" t="str">
        <f t="shared" si="107"/>
        <v>᫩</v>
      </c>
    </row>
    <row r="6890" spans="1:2" x14ac:dyDescent="0.25">
      <c r="A6890">
        <v>6890</v>
      </c>
      <c r="B6890" t="str">
        <f t="shared" si="107"/>
        <v>᫪</v>
      </c>
    </row>
    <row r="6891" spans="1:2" x14ac:dyDescent="0.25">
      <c r="A6891">
        <v>6891</v>
      </c>
      <c r="B6891" t="str">
        <f t="shared" si="107"/>
        <v>᫫</v>
      </c>
    </row>
    <row r="6892" spans="1:2" x14ac:dyDescent="0.25">
      <c r="A6892">
        <v>6892</v>
      </c>
      <c r="B6892" t="str">
        <f t="shared" si="107"/>
        <v>᫬</v>
      </c>
    </row>
    <row r="6893" spans="1:2" x14ac:dyDescent="0.25">
      <c r="A6893">
        <v>6893</v>
      </c>
      <c r="B6893" t="str">
        <f t="shared" si="107"/>
        <v>᫭</v>
      </c>
    </row>
    <row r="6894" spans="1:2" x14ac:dyDescent="0.25">
      <c r="A6894">
        <v>6894</v>
      </c>
      <c r="B6894" t="str">
        <f t="shared" si="107"/>
        <v>᫮</v>
      </c>
    </row>
    <row r="6895" spans="1:2" x14ac:dyDescent="0.25">
      <c r="A6895">
        <v>6895</v>
      </c>
      <c r="B6895" t="str">
        <f t="shared" si="107"/>
        <v>᫯</v>
      </c>
    </row>
    <row r="6896" spans="1:2" x14ac:dyDescent="0.25">
      <c r="A6896">
        <v>6896</v>
      </c>
      <c r="B6896" t="str">
        <f t="shared" si="107"/>
        <v>᫰</v>
      </c>
    </row>
    <row r="6897" spans="1:2" x14ac:dyDescent="0.25">
      <c r="A6897">
        <v>6897</v>
      </c>
      <c r="B6897" t="str">
        <f t="shared" si="107"/>
        <v>᫱</v>
      </c>
    </row>
    <row r="6898" spans="1:2" x14ac:dyDescent="0.25">
      <c r="A6898">
        <v>6898</v>
      </c>
      <c r="B6898" t="str">
        <f t="shared" si="107"/>
        <v>᫲</v>
      </c>
    </row>
    <row r="6899" spans="1:2" x14ac:dyDescent="0.25">
      <c r="A6899">
        <v>6899</v>
      </c>
      <c r="B6899" t="str">
        <f t="shared" si="107"/>
        <v>᫳</v>
      </c>
    </row>
    <row r="6900" spans="1:2" x14ac:dyDescent="0.25">
      <c r="A6900">
        <v>6900</v>
      </c>
      <c r="B6900" t="str">
        <f t="shared" si="107"/>
        <v>᫴</v>
      </c>
    </row>
    <row r="6901" spans="1:2" x14ac:dyDescent="0.25">
      <c r="A6901">
        <v>6901</v>
      </c>
      <c r="B6901" t="str">
        <f t="shared" si="107"/>
        <v>᫵</v>
      </c>
    </row>
    <row r="6902" spans="1:2" x14ac:dyDescent="0.25">
      <c r="A6902">
        <v>6902</v>
      </c>
      <c r="B6902" t="str">
        <f t="shared" si="107"/>
        <v>᫶</v>
      </c>
    </row>
    <row r="6903" spans="1:2" x14ac:dyDescent="0.25">
      <c r="A6903">
        <v>6903</v>
      </c>
      <c r="B6903" t="str">
        <f t="shared" si="107"/>
        <v>᫷</v>
      </c>
    </row>
    <row r="6904" spans="1:2" x14ac:dyDescent="0.25">
      <c r="A6904">
        <v>6904</v>
      </c>
      <c r="B6904" t="str">
        <f t="shared" si="107"/>
        <v>᫸</v>
      </c>
    </row>
    <row r="6905" spans="1:2" x14ac:dyDescent="0.25">
      <c r="A6905">
        <v>6905</v>
      </c>
      <c r="B6905" t="str">
        <f t="shared" si="107"/>
        <v>᫹</v>
      </c>
    </row>
    <row r="6906" spans="1:2" x14ac:dyDescent="0.25">
      <c r="A6906">
        <v>6906</v>
      </c>
      <c r="B6906" t="str">
        <f t="shared" si="107"/>
        <v>᫺</v>
      </c>
    </row>
    <row r="6907" spans="1:2" x14ac:dyDescent="0.25">
      <c r="A6907">
        <v>6907</v>
      </c>
      <c r="B6907" t="str">
        <f t="shared" si="107"/>
        <v>᫻</v>
      </c>
    </row>
    <row r="6908" spans="1:2" x14ac:dyDescent="0.25">
      <c r="A6908">
        <v>6908</v>
      </c>
      <c r="B6908" t="str">
        <f t="shared" si="107"/>
        <v>᫼</v>
      </c>
    </row>
    <row r="6909" spans="1:2" x14ac:dyDescent="0.25">
      <c r="A6909">
        <v>6909</v>
      </c>
      <c r="B6909" t="str">
        <f t="shared" si="107"/>
        <v>᫽</v>
      </c>
    </row>
    <row r="6910" spans="1:2" x14ac:dyDescent="0.25">
      <c r="A6910">
        <v>6910</v>
      </c>
      <c r="B6910" t="str">
        <f t="shared" si="107"/>
        <v>᫾</v>
      </c>
    </row>
    <row r="6911" spans="1:2" x14ac:dyDescent="0.25">
      <c r="A6911">
        <v>6911</v>
      </c>
      <c r="B6911" t="str">
        <f t="shared" si="107"/>
        <v>᫿</v>
      </c>
    </row>
    <row r="6912" spans="1:2" x14ac:dyDescent="0.25">
      <c r="A6912">
        <v>6912</v>
      </c>
      <c r="B6912" t="str">
        <f t="shared" si="107"/>
        <v>ᬀ</v>
      </c>
    </row>
    <row r="6913" spans="1:2" x14ac:dyDescent="0.25">
      <c r="A6913">
        <v>6913</v>
      </c>
      <c r="B6913" t="str">
        <f t="shared" si="107"/>
        <v>ᬁ</v>
      </c>
    </row>
    <row r="6914" spans="1:2" x14ac:dyDescent="0.25">
      <c r="A6914">
        <v>6914</v>
      </c>
      <c r="B6914" t="str">
        <f t="shared" ref="B6914:B6977" si="108">_xlfn.UNICHAR(A6914)</f>
        <v>ᬂ</v>
      </c>
    </row>
    <row r="6915" spans="1:2" x14ac:dyDescent="0.25">
      <c r="A6915">
        <v>6915</v>
      </c>
      <c r="B6915" t="str">
        <f t="shared" si="108"/>
        <v>ᬃ</v>
      </c>
    </row>
    <row r="6916" spans="1:2" x14ac:dyDescent="0.25">
      <c r="A6916">
        <v>6916</v>
      </c>
      <c r="B6916" t="str">
        <f t="shared" si="108"/>
        <v>ᬄ</v>
      </c>
    </row>
    <row r="6917" spans="1:2" x14ac:dyDescent="0.25">
      <c r="A6917">
        <v>6917</v>
      </c>
      <c r="B6917" t="str">
        <f t="shared" si="108"/>
        <v>ᬅ</v>
      </c>
    </row>
    <row r="6918" spans="1:2" x14ac:dyDescent="0.25">
      <c r="A6918">
        <v>6918</v>
      </c>
      <c r="B6918" t="str">
        <f t="shared" si="108"/>
        <v>ᬆ</v>
      </c>
    </row>
    <row r="6919" spans="1:2" x14ac:dyDescent="0.25">
      <c r="A6919">
        <v>6919</v>
      </c>
      <c r="B6919" t="str">
        <f t="shared" si="108"/>
        <v>ᬇ</v>
      </c>
    </row>
    <row r="6920" spans="1:2" x14ac:dyDescent="0.25">
      <c r="A6920">
        <v>6920</v>
      </c>
      <c r="B6920" t="str">
        <f t="shared" si="108"/>
        <v>ᬈ</v>
      </c>
    </row>
    <row r="6921" spans="1:2" x14ac:dyDescent="0.25">
      <c r="A6921">
        <v>6921</v>
      </c>
      <c r="B6921" t="str">
        <f t="shared" si="108"/>
        <v>ᬉ</v>
      </c>
    </row>
    <row r="6922" spans="1:2" x14ac:dyDescent="0.25">
      <c r="A6922">
        <v>6922</v>
      </c>
      <c r="B6922" t="str">
        <f t="shared" si="108"/>
        <v>ᬊ</v>
      </c>
    </row>
    <row r="6923" spans="1:2" x14ac:dyDescent="0.25">
      <c r="A6923">
        <v>6923</v>
      </c>
      <c r="B6923" t="str">
        <f t="shared" si="108"/>
        <v>ᬋ</v>
      </c>
    </row>
    <row r="6924" spans="1:2" x14ac:dyDescent="0.25">
      <c r="A6924">
        <v>6924</v>
      </c>
      <c r="B6924" t="str">
        <f t="shared" si="108"/>
        <v>ᬌ</v>
      </c>
    </row>
    <row r="6925" spans="1:2" x14ac:dyDescent="0.25">
      <c r="A6925">
        <v>6925</v>
      </c>
      <c r="B6925" t="str">
        <f t="shared" si="108"/>
        <v>ᬍ</v>
      </c>
    </row>
    <row r="6926" spans="1:2" x14ac:dyDescent="0.25">
      <c r="A6926">
        <v>6926</v>
      </c>
      <c r="B6926" t="str">
        <f t="shared" si="108"/>
        <v>ᬎ</v>
      </c>
    </row>
    <row r="6927" spans="1:2" x14ac:dyDescent="0.25">
      <c r="A6927">
        <v>6927</v>
      </c>
      <c r="B6927" t="str">
        <f t="shared" si="108"/>
        <v>ᬏ</v>
      </c>
    </row>
    <row r="6928" spans="1:2" x14ac:dyDescent="0.25">
      <c r="A6928">
        <v>6928</v>
      </c>
      <c r="B6928" t="str">
        <f t="shared" si="108"/>
        <v>ᬐ</v>
      </c>
    </row>
    <row r="6929" spans="1:2" x14ac:dyDescent="0.25">
      <c r="A6929">
        <v>6929</v>
      </c>
      <c r="B6929" t="str">
        <f t="shared" si="108"/>
        <v>ᬑ</v>
      </c>
    </row>
    <row r="6930" spans="1:2" x14ac:dyDescent="0.25">
      <c r="A6930">
        <v>6930</v>
      </c>
      <c r="B6930" t="str">
        <f t="shared" si="108"/>
        <v>ᬒ</v>
      </c>
    </row>
    <row r="6931" spans="1:2" x14ac:dyDescent="0.25">
      <c r="A6931">
        <v>6931</v>
      </c>
      <c r="B6931" t="str">
        <f t="shared" si="108"/>
        <v>ᬓ</v>
      </c>
    </row>
    <row r="6932" spans="1:2" x14ac:dyDescent="0.25">
      <c r="A6932">
        <v>6932</v>
      </c>
      <c r="B6932" t="str">
        <f t="shared" si="108"/>
        <v>ᬔ</v>
      </c>
    </row>
    <row r="6933" spans="1:2" x14ac:dyDescent="0.25">
      <c r="A6933">
        <v>6933</v>
      </c>
      <c r="B6933" t="str">
        <f t="shared" si="108"/>
        <v>ᬕ</v>
      </c>
    </row>
    <row r="6934" spans="1:2" x14ac:dyDescent="0.25">
      <c r="A6934">
        <v>6934</v>
      </c>
      <c r="B6934" t="str">
        <f t="shared" si="108"/>
        <v>ᬖ</v>
      </c>
    </row>
    <row r="6935" spans="1:2" x14ac:dyDescent="0.25">
      <c r="A6935">
        <v>6935</v>
      </c>
      <c r="B6935" t="str">
        <f t="shared" si="108"/>
        <v>ᬗ</v>
      </c>
    </row>
    <row r="6936" spans="1:2" x14ac:dyDescent="0.25">
      <c r="A6936">
        <v>6936</v>
      </c>
      <c r="B6936" t="str">
        <f t="shared" si="108"/>
        <v>ᬘ</v>
      </c>
    </row>
    <row r="6937" spans="1:2" x14ac:dyDescent="0.25">
      <c r="A6937">
        <v>6937</v>
      </c>
      <c r="B6937" t="str">
        <f t="shared" si="108"/>
        <v>ᬙ</v>
      </c>
    </row>
    <row r="6938" spans="1:2" x14ac:dyDescent="0.25">
      <c r="A6938">
        <v>6938</v>
      </c>
      <c r="B6938" t="str">
        <f t="shared" si="108"/>
        <v>ᬚ</v>
      </c>
    </row>
    <row r="6939" spans="1:2" x14ac:dyDescent="0.25">
      <c r="A6939">
        <v>6939</v>
      </c>
      <c r="B6939" t="str">
        <f t="shared" si="108"/>
        <v>ᬛ</v>
      </c>
    </row>
    <row r="6940" spans="1:2" x14ac:dyDescent="0.25">
      <c r="A6940">
        <v>6940</v>
      </c>
      <c r="B6940" t="str">
        <f t="shared" si="108"/>
        <v>ᬜ</v>
      </c>
    </row>
    <row r="6941" spans="1:2" x14ac:dyDescent="0.25">
      <c r="A6941">
        <v>6941</v>
      </c>
      <c r="B6941" t="str">
        <f t="shared" si="108"/>
        <v>ᬝ</v>
      </c>
    </row>
    <row r="6942" spans="1:2" x14ac:dyDescent="0.25">
      <c r="A6942">
        <v>6942</v>
      </c>
      <c r="B6942" t="str">
        <f t="shared" si="108"/>
        <v>ᬞ</v>
      </c>
    </row>
    <row r="6943" spans="1:2" x14ac:dyDescent="0.25">
      <c r="A6943">
        <v>6943</v>
      </c>
      <c r="B6943" t="str">
        <f t="shared" si="108"/>
        <v>ᬟ</v>
      </c>
    </row>
    <row r="6944" spans="1:2" x14ac:dyDescent="0.25">
      <c r="A6944">
        <v>6944</v>
      </c>
      <c r="B6944" t="str">
        <f t="shared" si="108"/>
        <v>ᬠ</v>
      </c>
    </row>
    <row r="6945" spans="1:2" x14ac:dyDescent="0.25">
      <c r="A6945">
        <v>6945</v>
      </c>
      <c r="B6945" t="str">
        <f t="shared" si="108"/>
        <v>ᬡ</v>
      </c>
    </row>
    <row r="6946" spans="1:2" x14ac:dyDescent="0.25">
      <c r="A6946">
        <v>6946</v>
      </c>
      <c r="B6946" t="str">
        <f t="shared" si="108"/>
        <v>ᬢ</v>
      </c>
    </row>
    <row r="6947" spans="1:2" x14ac:dyDescent="0.25">
      <c r="A6947">
        <v>6947</v>
      </c>
      <c r="B6947" t="str">
        <f t="shared" si="108"/>
        <v>ᬣ</v>
      </c>
    </row>
    <row r="6948" spans="1:2" x14ac:dyDescent="0.25">
      <c r="A6948">
        <v>6948</v>
      </c>
      <c r="B6948" t="str">
        <f t="shared" si="108"/>
        <v>ᬤ</v>
      </c>
    </row>
    <row r="6949" spans="1:2" x14ac:dyDescent="0.25">
      <c r="A6949">
        <v>6949</v>
      </c>
      <c r="B6949" t="str">
        <f t="shared" si="108"/>
        <v>ᬥ</v>
      </c>
    </row>
    <row r="6950" spans="1:2" x14ac:dyDescent="0.25">
      <c r="A6950">
        <v>6950</v>
      </c>
      <c r="B6950" t="str">
        <f t="shared" si="108"/>
        <v>ᬦ</v>
      </c>
    </row>
    <row r="6951" spans="1:2" x14ac:dyDescent="0.25">
      <c r="A6951">
        <v>6951</v>
      </c>
      <c r="B6951" t="str">
        <f t="shared" si="108"/>
        <v>ᬧ</v>
      </c>
    </row>
    <row r="6952" spans="1:2" x14ac:dyDescent="0.25">
      <c r="A6952">
        <v>6952</v>
      </c>
      <c r="B6952" t="str">
        <f t="shared" si="108"/>
        <v>ᬨ</v>
      </c>
    </row>
    <row r="6953" spans="1:2" x14ac:dyDescent="0.25">
      <c r="A6953">
        <v>6953</v>
      </c>
      <c r="B6953" t="str">
        <f t="shared" si="108"/>
        <v>ᬩ</v>
      </c>
    </row>
    <row r="6954" spans="1:2" x14ac:dyDescent="0.25">
      <c r="A6954">
        <v>6954</v>
      </c>
      <c r="B6954" t="str">
        <f t="shared" si="108"/>
        <v>ᬪ</v>
      </c>
    </row>
    <row r="6955" spans="1:2" x14ac:dyDescent="0.25">
      <c r="A6955">
        <v>6955</v>
      </c>
      <c r="B6955" t="str">
        <f t="shared" si="108"/>
        <v>ᬫ</v>
      </c>
    </row>
    <row r="6956" spans="1:2" x14ac:dyDescent="0.25">
      <c r="A6956">
        <v>6956</v>
      </c>
      <c r="B6956" t="str">
        <f t="shared" si="108"/>
        <v>ᬬ</v>
      </c>
    </row>
    <row r="6957" spans="1:2" x14ac:dyDescent="0.25">
      <c r="A6957">
        <v>6957</v>
      </c>
      <c r="B6957" t="str">
        <f t="shared" si="108"/>
        <v>ᬭ</v>
      </c>
    </row>
    <row r="6958" spans="1:2" x14ac:dyDescent="0.25">
      <c r="A6958">
        <v>6958</v>
      </c>
      <c r="B6958" t="str">
        <f t="shared" si="108"/>
        <v>ᬮ</v>
      </c>
    </row>
    <row r="6959" spans="1:2" x14ac:dyDescent="0.25">
      <c r="A6959">
        <v>6959</v>
      </c>
      <c r="B6959" t="str">
        <f t="shared" si="108"/>
        <v>ᬯ</v>
      </c>
    </row>
    <row r="6960" spans="1:2" x14ac:dyDescent="0.25">
      <c r="A6960">
        <v>6960</v>
      </c>
      <c r="B6960" t="str">
        <f t="shared" si="108"/>
        <v>ᬰ</v>
      </c>
    </row>
    <row r="6961" spans="1:2" x14ac:dyDescent="0.25">
      <c r="A6961">
        <v>6961</v>
      </c>
      <c r="B6961" t="str">
        <f t="shared" si="108"/>
        <v>ᬱ</v>
      </c>
    </row>
    <row r="6962" spans="1:2" x14ac:dyDescent="0.25">
      <c r="A6962">
        <v>6962</v>
      </c>
      <c r="B6962" t="str">
        <f t="shared" si="108"/>
        <v>ᬲ</v>
      </c>
    </row>
    <row r="6963" spans="1:2" x14ac:dyDescent="0.25">
      <c r="A6963">
        <v>6963</v>
      </c>
      <c r="B6963" t="str">
        <f t="shared" si="108"/>
        <v>ᬳ</v>
      </c>
    </row>
    <row r="6964" spans="1:2" x14ac:dyDescent="0.25">
      <c r="A6964">
        <v>6964</v>
      </c>
      <c r="B6964" t="str">
        <f t="shared" si="108"/>
        <v>᬴</v>
      </c>
    </row>
    <row r="6965" spans="1:2" x14ac:dyDescent="0.25">
      <c r="A6965">
        <v>6965</v>
      </c>
      <c r="B6965" t="str">
        <f t="shared" si="108"/>
        <v>ᬵ</v>
      </c>
    </row>
    <row r="6966" spans="1:2" x14ac:dyDescent="0.25">
      <c r="A6966">
        <v>6966</v>
      </c>
      <c r="B6966" t="str">
        <f t="shared" si="108"/>
        <v>ᬶ</v>
      </c>
    </row>
    <row r="6967" spans="1:2" x14ac:dyDescent="0.25">
      <c r="A6967">
        <v>6967</v>
      </c>
      <c r="B6967" t="str">
        <f t="shared" si="108"/>
        <v>ᬷ</v>
      </c>
    </row>
    <row r="6968" spans="1:2" x14ac:dyDescent="0.25">
      <c r="A6968">
        <v>6968</v>
      </c>
      <c r="B6968" t="str">
        <f t="shared" si="108"/>
        <v>ᬸ</v>
      </c>
    </row>
    <row r="6969" spans="1:2" x14ac:dyDescent="0.25">
      <c r="A6969">
        <v>6969</v>
      </c>
      <c r="B6969" t="str">
        <f t="shared" si="108"/>
        <v>ᬹ</v>
      </c>
    </row>
    <row r="6970" spans="1:2" x14ac:dyDescent="0.25">
      <c r="A6970">
        <v>6970</v>
      </c>
      <c r="B6970" t="str">
        <f t="shared" si="108"/>
        <v>ᬺ</v>
      </c>
    </row>
    <row r="6971" spans="1:2" x14ac:dyDescent="0.25">
      <c r="A6971">
        <v>6971</v>
      </c>
      <c r="B6971" t="str">
        <f t="shared" si="108"/>
        <v>ᬻ</v>
      </c>
    </row>
    <row r="6972" spans="1:2" x14ac:dyDescent="0.25">
      <c r="A6972">
        <v>6972</v>
      </c>
      <c r="B6972" t="str">
        <f t="shared" si="108"/>
        <v>ᬼ</v>
      </c>
    </row>
    <row r="6973" spans="1:2" x14ac:dyDescent="0.25">
      <c r="A6973">
        <v>6973</v>
      </c>
      <c r="B6973" t="str">
        <f t="shared" si="108"/>
        <v>ᬽ</v>
      </c>
    </row>
    <row r="6974" spans="1:2" x14ac:dyDescent="0.25">
      <c r="A6974">
        <v>6974</v>
      </c>
      <c r="B6974" t="str">
        <f t="shared" si="108"/>
        <v>ᬾ</v>
      </c>
    </row>
    <row r="6975" spans="1:2" x14ac:dyDescent="0.25">
      <c r="A6975">
        <v>6975</v>
      </c>
      <c r="B6975" t="str">
        <f t="shared" si="108"/>
        <v>ᬿ</v>
      </c>
    </row>
    <row r="6976" spans="1:2" x14ac:dyDescent="0.25">
      <c r="A6976">
        <v>6976</v>
      </c>
      <c r="B6976" t="str">
        <f t="shared" si="108"/>
        <v>ᭀ</v>
      </c>
    </row>
    <row r="6977" spans="1:2" x14ac:dyDescent="0.25">
      <c r="A6977">
        <v>6977</v>
      </c>
      <c r="B6977" t="str">
        <f t="shared" si="108"/>
        <v>ᭁ</v>
      </c>
    </row>
    <row r="6978" spans="1:2" x14ac:dyDescent="0.25">
      <c r="A6978">
        <v>6978</v>
      </c>
      <c r="B6978" t="str">
        <f t="shared" ref="B6978:B7041" si="109">_xlfn.UNICHAR(A6978)</f>
        <v>ᭂ</v>
      </c>
    </row>
    <row r="6979" spans="1:2" x14ac:dyDescent="0.25">
      <c r="A6979">
        <v>6979</v>
      </c>
      <c r="B6979" t="str">
        <f t="shared" si="109"/>
        <v>ᭃ</v>
      </c>
    </row>
    <row r="6980" spans="1:2" x14ac:dyDescent="0.25">
      <c r="A6980">
        <v>6980</v>
      </c>
      <c r="B6980" t="str">
        <f t="shared" si="109"/>
        <v>᭄</v>
      </c>
    </row>
    <row r="6981" spans="1:2" x14ac:dyDescent="0.25">
      <c r="A6981">
        <v>6981</v>
      </c>
      <c r="B6981" t="str">
        <f t="shared" si="109"/>
        <v>ᭅ</v>
      </c>
    </row>
    <row r="6982" spans="1:2" x14ac:dyDescent="0.25">
      <c r="A6982">
        <v>6982</v>
      </c>
      <c r="B6982" t="str">
        <f t="shared" si="109"/>
        <v>ᭆ</v>
      </c>
    </row>
    <row r="6983" spans="1:2" x14ac:dyDescent="0.25">
      <c r="A6983">
        <v>6983</v>
      </c>
      <c r="B6983" t="str">
        <f t="shared" si="109"/>
        <v>ᭇ</v>
      </c>
    </row>
    <row r="6984" spans="1:2" x14ac:dyDescent="0.25">
      <c r="A6984">
        <v>6984</v>
      </c>
      <c r="B6984" t="str">
        <f t="shared" si="109"/>
        <v>ᭈ</v>
      </c>
    </row>
    <row r="6985" spans="1:2" x14ac:dyDescent="0.25">
      <c r="A6985">
        <v>6985</v>
      </c>
      <c r="B6985" t="str">
        <f t="shared" si="109"/>
        <v>ᭉ</v>
      </c>
    </row>
    <row r="6986" spans="1:2" x14ac:dyDescent="0.25">
      <c r="A6986">
        <v>6986</v>
      </c>
      <c r="B6986" t="str">
        <f t="shared" si="109"/>
        <v>ᭊ</v>
      </c>
    </row>
    <row r="6987" spans="1:2" x14ac:dyDescent="0.25">
      <c r="A6987">
        <v>6987</v>
      </c>
      <c r="B6987" t="str">
        <f t="shared" si="109"/>
        <v>ᭋ</v>
      </c>
    </row>
    <row r="6988" spans="1:2" x14ac:dyDescent="0.25">
      <c r="A6988">
        <v>6988</v>
      </c>
      <c r="B6988" t="str">
        <f t="shared" si="109"/>
        <v>ᭌ</v>
      </c>
    </row>
    <row r="6989" spans="1:2" x14ac:dyDescent="0.25">
      <c r="A6989">
        <v>6989</v>
      </c>
      <c r="B6989" t="str">
        <f t="shared" si="109"/>
        <v>᭍</v>
      </c>
    </row>
    <row r="6990" spans="1:2" x14ac:dyDescent="0.25">
      <c r="A6990">
        <v>6990</v>
      </c>
      <c r="B6990" t="str">
        <f t="shared" si="109"/>
        <v>᭎</v>
      </c>
    </row>
    <row r="6991" spans="1:2" x14ac:dyDescent="0.25">
      <c r="A6991">
        <v>6991</v>
      </c>
      <c r="B6991" t="str">
        <f t="shared" si="109"/>
        <v>᭏</v>
      </c>
    </row>
    <row r="6992" spans="1:2" x14ac:dyDescent="0.25">
      <c r="A6992">
        <v>6992</v>
      </c>
      <c r="B6992" t="str">
        <f t="shared" si="109"/>
        <v>᭐</v>
      </c>
    </row>
    <row r="6993" spans="1:2" x14ac:dyDescent="0.25">
      <c r="A6993">
        <v>6993</v>
      </c>
      <c r="B6993" t="str">
        <f t="shared" si="109"/>
        <v>᭑</v>
      </c>
    </row>
    <row r="6994" spans="1:2" x14ac:dyDescent="0.25">
      <c r="A6994">
        <v>6994</v>
      </c>
      <c r="B6994" t="str">
        <f t="shared" si="109"/>
        <v>᭒</v>
      </c>
    </row>
    <row r="6995" spans="1:2" x14ac:dyDescent="0.25">
      <c r="A6995">
        <v>6995</v>
      </c>
      <c r="B6995" t="str">
        <f t="shared" si="109"/>
        <v>᭓</v>
      </c>
    </row>
    <row r="6996" spans="1:2" x14ac:dyDescent="0.25">
      <c r="A6996">
        <v>6996</v>
      </c>
      <c r="B6996" t="str">
        <f t="shared" si="109"/>
        <v>᭔</v>
      </c>
    </row>
    <row r="6997" spans="1:2" x14ac:dyDescent="0.25">
      <c r="A6997">
        <v>6997</v>
      </c>
      <c r="B6997" t="str">
        <f t="shared" si="109"/>
        <v>᭕</v>
      </c>
    </row>
    <row r="6998" spans="1:2" x14ac:dyDescent="0.25">
      <c r="A6998">
        <v>6998</v>
      </c>
      <c r="B6998" t="str">
        <f t="shared" si="109"/>
        <v>᭖</v>
      </c>
    </row>
    <row r="6999" spans="1:2" x14ac:dyDescent="0.25">
      <c r="A6999">
        <v>6999</v>
      </c>
      <c r="B6999" t="str">
        <f t="shared" si="109"/>
        <v>᭗</v>
      </c>
    </row>
    <row r="7000" spans="1:2" x14ac:dyDescent="0.25">
      <c r="A7000">
        <v>7000</v>
      </c>
      <c r="B7000" t="str">
        <f t="shared" si="109"/>
        <v>᭘</v>
      </c>
    </row>
    <row r="7001" spans="1:2" x14ac:dyDescent="0.25">
      <c r="A7001">
        <v>7001</v>
      </c>
      <c r="B7001" t="str">
        <f t="shared" si="109"/>
        <v>᭙</v>
      </c>
    </row>
    <row r="7002" spans="1:2" x14ac:dyDescent="0.25">
      <c r="A7002">
        <v>7002</v>
      </c>
      <c r="B7002" t="str">
        <f t="shared" si="109"/>
        <v>᭚</v>
      </c>
    </row>
    <row r="7003" spans="1:2" x14ac:dyDescent="0.25">
      <c r="A7003">
        <v>7003</v>
      </c>
      <c r="B7003" t="str">
        <f t="shared" si="109"/>
        <v>᭛</v>
      </c>
    </row>
    <row r="7004" spans="1:2" x14ac:dyDescent="0.25">
      <c r="A7004">
        <v>7004</v>
      </c>
      <c r="B7004" t="str">
        <f t="shared" si="109"/>
        <v>᭜</v>
      </c>
    </row>
    <row r="7005" spans="1:2" x14ac:dyDescent="0.25">
      <c r="A7005">
        <v>7005</v>
      </c>
      <c r="B7005" t="str">
        <f t="shared" si="109"/>
        <v>᭝</v>
      </c>
    </row>
    <row r="7006" spans="1:2" x14ac:dyDescent="0.25">
      <c r="A7006">
        <v>7006</v>
      </c>
      <c r="B7006" t="str">
        <f t="shared" si="109"/>
        <v>᭞</v>
      </c>
    </row>
    <row r="7007" spans="1:2" x14ac:dyDescent="0.25">
      <c r="A7007">
        <v>7007</v>
      </c>
      <c r="B7007" t="str">
        <f t="shared" si="109"/>
        <v>᭟</v>
      </c>
    </row>
    <row r="7008" spans="1:2" x14ac:dyDescent="0.25">
      <c r="A7008">
        <v>7008</v>
      </c>
      <c r="B7008" t="str">
        <f t="shared" si="109"/>
        <v>᭠</v>
      </c>
    </row>
    <row r="7009" spans="1:2" x14ac:dyDescent="0.25">
      <c r="A7009">
        <v>7009</v>
      </c>
      <c r="B7009" t="str">
        <f t="shared" si="109"/>
        <v>᭡</v>
      </c>
    </row>
    <row r="7010" spans="1:2" x14ac:dyDescent="0.25">
      <c r="A7010">
        <v>7010</v>
      </c>
      <c r="B7010" t="str">
        <f t="shared" si="109"/>
        <v>᭢</v>
      </c>
    </row>
    <row r="7011" spans="1:2" x14ac:dyDescent="0.25">
      <c r="A7011">
        <v>7011</v>
      </c>
      <c r="B7011" t="str">
        <f t="shared" si="109"/>
        <v>᭣</v>
      </c>
    </row>
    <row r="7012" spans="1:2" x14ac:dyDescent="0.25">
      <c r="A7012">
        <v>7012</v>
      </c>
      <c r="B7012" t="str">
        <f t="shared" si="109"/>
        <v>᭤</v>
      </c>
    </row>
    <row r="7013" spans="1:2" x14ac:dyDescent="0.25">
      <c r="A7013">
        <v>7013</v>
      </c>
      <c r="B7013" t="str">
        <f t="shared" si="109"/>
        <v>᭥</v>
      </c>
    </row>
    <row r="7014" spans="1:2" x14ac:dyDescent="0.25">
      <c r="A7014">
        <v>7014</v>
      </c>
      <c r="B7014" t="str">
        <f t="shared" si="109"/>
        <v>᭦</v>
      </c>
    </row>
    <row r="7015" spans="1:2" x14ac:dyDescent="0.25">
      <c r="A7015">
        <v>7015</v>
      </c>
      <c r="B7015" t="str">
        <f t="shared" si="109"/>
        <v>᭧</v>
      </c>
    </row>
    <row r="7016" spans="1:2" x14ac:dyDescent="0.25">
      <c r="A7016">
        <v>7016</v>
      </c>
      <c r="B7016" t="str">
        <f t="shared" si="109"/>
        <v>᭨</v>
      </c>
    </row>
    <row r="7017" spans="1:2" x14ac:dyDescent="0.25">
      <c r="A7017">
        <v>7017</v>
      </c>
      <c r="B7017" t="str">
        <f t="shared" si="109"/>
        <v>᭩</v>
      </c>
    </row>
    <row r="7018" spans="1:2" x14ac:dyDescent="0.25">
      <c r="A7018">
        <v>7018</v>
      </c>
      <c r="B7018" t="str">
        <f t="shared" si="109"/>
        <v>᭪</v>
      </c>
    </row>
    <row r="7019" spans="1:2" x14ac:dyDescent="0.25">
      <c r="A7019">
        <v>7019</v>
      </c>
      <c r="B7019" t="str">
        <f t="shared" si="109"/>
        <v>᭫</v>
      </c>
    </row>
    <row r="7020" spans="1:2" x14ac:dyDescent="0.25">
      <c r="A7020">
        <v>7020</v>
      </c>
      <c r="B7020" t="str">
        <f t="shared" si="109"/>
        <v>᭬</v>
      </c>
    </row>
    <row r="7021" spans="1:2" x14ac:dyDescent="0.25">
      <c r="A7021">
        <v>7021</v>
      </c>
      <c r="B7021" t="str">
        <f t="shared" si="109"/>
        <v>᭭</v>
      </c>
    </row>
    <row r="7022" spans="1:2" x14ac:dyDescent="0.25">
      <c r="A7022">
        <v>7022</v>
      </c>
      <c r="B7022" t="str">
        <f t="shared" si="109"/>
        <v>᭮</v>
      </c>
    </row>
    <row r="7023" spans="1:2" x14ac:dyDescent="0.25">
      <c r="A7023">
        <v>7023</v>
      </c>
      <c r="B7023" t="str">
        <f t="shared" si="109"/>
        <v>᭯</v>
      </c>
    </row>
    <row r="7024" spans="1:2" x14ac:dyDescent="0.25">
      <c r="A7024">
        <v>7024</v>
      </c>
      <c r="B7024" t="str">
        <f t="shared" si="109"/>
        <v>᭰</v>
      </c>
    </row>
    <row r="7025" spans="1:2" x14ac:dyDescent="0.25">
      <c r="A7025">
        <v>7025</v>
      </c>
      <c r="B7025" t="str">
        <f t="shared" si="109"/>
        <v>᭱</v>
      </c>
    </row>
    <row r="7026" spans="1:2" x14ac:dyDescent="0.25">
      <c r="A7026">
        <v>7026</v>
      </c>
      <c r="B7026" t="str">
        <f t="shared" si="109"/>
        <v>᭲</v>
      </c>
    </row>
    <row r="7027" spans="1:2" x14ac:dyDescent="0.25">
      <c r="A7027">
        <v>7027</v>
      </c>
      <c r="B7027" t="str">
        <f t="shared" si="109"/>
        <v>᭳</v>
      </c>
    </row>
    <row r="7028" spans="1:2" x14ac:dyDescent="0.25">
      <c r="A7028">
        <v>7028</v>
      </c>
      <c r="B7028" t="str">
        <f t="shared" si="109"/>
        <v>᭴</v>
      </c>
    </row>
    <row r="7029" spans="1:2" x14ac:dyDescent="0.25">
      <c r="A7029">
        <v>7029</v>
      </c>
      <c r="B7029" t="str">
        <f t="shared" si="109"/>
        <v>᭵</v>
      </c>
    </row>
    <row r="7030" spans="1:2" x14ac:dyDescent="0.25">
      <c r="A7030">
        <v>7030</v>
      </c>
      <c r="B7030" t="str">
        <f t="shared" si="109"/>
        <v>᭶</v>
      </c>
    </row>
    <row r="7031" spans="1:2" x14ac:dyDescent="0.25">
      <c r="A7031">
        <v>7031</v>
      </c>
      <c r="B7031" t="str">
        <f t="shared" si="109"/>
        <v>᭷</v>
      </c>
    </row>
    <row r="7032" spans="1:2" x14ac:dyDescent="0.25">
      <c r="A7032">
        <v>7032</v>
      </c>
      <c r="B7032" t="str">
        <f t="shared" si="109"/>
        <v>᭸</v>
      </c>
    </row>
    <row r="7033" spans="1:2" x14ac:dyDescent="0.25">
      <c r="A7033">
        <v>7033</v>
      </c>
      <c r="B7033" t="str">
        <f t="shared" si="109"/>
        <v>᭹</v>
      </c>
    </row>
    <row r="7034" spans="1:2" x14ac:dyDescent="0.25">
      <c r="A7034">
        <v>7034</v>
      </c>
      <c r="B7034" t="str">
        <f t="shared" si="109"/>
        <v>᭺</v>
      </c>
    </row>
    <row r="7035" spans="1:2" x14ac:dyDescent="0.25">
      <c r="A7035">
        <v>7035</v>
      </c>
      <c r="B7035" t="str">
        <f t="shared" si="109"/>
        <v>᭻</v>
      </c>
    </row>
    <row r="7036" spans="1:2" x14ac:dyDescent="0.25">
      <c r="A7036">
        <v>7036</v>
      </c>
      <c r="B7036" t="str">
        <f t="shared" si="109"/>
        <v>᭼</v>
      </c>
    </row>
    <row r="7037" spans="1:2" x14ac:dyDescent="0.25">
      <c r="A7037">
        <v>7037</v>
      </c>
      <c r="B7037" t="str">
        <f t="shared" si="109"/>
        <v>᭽</v>
      </c>
    </row>
    <row r="7038" spans="1:2" x14ac:dyDescent="0.25">
      <c r="A7038">
        <v>7038</v>
      </c>
      <c r="B7038" t="str">
        <f t="shared" si="109"/>
        <v>᭾</v>
      </c>
    </row>
    <row r="7039" spans="1:2" x14ac:dyDescent="0.25">
      <c r="A7039">
        <v>7039</v>
      </c>
      <c r="B7039" t="str">
        <f t="shared" si="109"/>
        <v>᭿</v>
      </c>
    </row>
    <row r="7040" spans="1:2" x14ac:dyDescent="0.25">
      <c r="A7040">
        <v>7040</v>
      </c>
      <c r="B7040" t="str">
        <f t="shared" si="109"/>
        <v>ᮀ</v>
      </c>
    </row>
    <row r="7041" spans="1:2" x14ac:dyDescent="0.25">
      <c r="A7041">
        <v>7041</v>
      </c>
      <c r="B7041" t="str">
        <f t="shared" si="109"/>
        <v>ᮁ</v>
      </c>
    </row>
    <row r="7042" spans="1:2" x14ac:dyDescent="0.25">
      <c r="A7042">
        <v>7042</v>
      </c>
      <c r="B7042" t="str">
        <f t="shared" ref="B7042:B7105" si="110">_xlfn.UNICHAR(A7042)</f>
        <v>ᮂ</v>
      </c>
    </row>
    <row r="7043" spans="1:2" x14ac:dyDescent="0.25">
      <c r="A7043">
        <v>7043</v>
      </c>
      <c r="B7043" t="str">
        <f t="shared" si="110"/>
        <v>ᮃ</v>
      </c>
    </row>
    <row r="7044" spans="1:2" x14ac:dyDescent="0.25">
      <c r="A7044">
        <v>7044</v>
      </c>
      <c r="B7044" t="str">
        <f t="shared" si="110"/>
        <v>ᮄ</v>
      </c>
    </row>
    <row r="7045" spans="1:2" x14ac:dyDescent="0.25">
      <c r="A7045">
        <v>7045</v>
      </c>
      <c r="B7045" t="str">
        <f t="shared" si="110"/>
        <v>ᮅ</v>
      </c>
    </row>
    <row r="7046" spans="1:2" x14ac:dyDescent="0.25">
      <c r="A7046">
        <v>7046</v>
      </c>
      <c r="B7046" t="str">
        <f t="shared" si="110"/>
        <v>ᮆ</v>
      </c>
    </row>
    <row r="7047" spans="1:2" x14ac:dyDescent="0.25">
      <c r="A7047">
        <v>7047</v>
      </c>
      <c r="B7047" t="str">
        <f t="shared" si="110"/>
        <v>ᮇ</v>
      </c>
    </row>
    <row r="7048" spans="1:2" x14ac:dyDescent="0.25">
      <c r="A7048">
        <v>7048</v>
      </c>
      <c r="B7048" t="str">
        <f t="shared" si="110"/>
        <v>ᮈ</v>
      </c>
    </row>
    <row r="7049" spans="1:2" x14ac:dyDescent="0.25">
      <c r="A7049">
        <v>7049</v>
      </c>
      <c r="B7049" t="str">
        <f t="shared" si="110"/>
        <v>ᮉ</v>
      </c>
    </row>
    <row r="7050" spans="1:2" x14ac:dyDescent="0.25">
      <c r="A7050">
        <v>7050</v>
      </c>
      <c r="B7050" t="str">
        <f t="shared" si="110"/>
        <v>ᮊ</v>
      </c>
    </row>
    <row r="7051" spans="1:2" x14ac:dyDescent="0.25">
      <c r="A7051">
        <v>7051</v>
      </c>
      <c r="B7051" t="str">
        <f t="shared" si="110"/>
        <v>ᮋ</v>
      </c>
    </row>
    <row r="7052" spans="1:2" x14ac:dyDescent="0.25">
      <c r="A7052">
        <v>7052</v>
      </c>
      <c r="B7052" t="str">
        <f t="shared" si="110"/>
        <v>ᮌ</v>
      </c>
    </row>
    <row r="7053" spans="1:2" x14ac:dyDescent="0.25">
      <c r="A7053">
        <v>7053</v>
      </c>
      <c r="B7053" t="str">
        <f t="shared" si="110"/>
        <v>ᮍ</v>
      </c>
    </row>
    <row r="7054" spans="1:2" x14ac:dyDescent="0.25">
      <c r="A7054">
        <v>7054</v>
      </c>
      <c r="B7054" t="str">
        <f t="shared" si="110"/>
        <v>ᮎ</v>
      </c>
    </row>
    <row r="7055" spans="1:2" x14ac:dyDescent="0.25">
      <c r="A7055">
        <v>7055</v>
      </c>
      <c r="B7055" t="str">
        <f t="shared" si="110"/>
        <v>ᮏ</v>
      </c>
    </row>
    <row r="7056" spans="1:2" x14ac:dyDescent="0.25">
      <c r="A7056">
        <v>7056</v>
      </c>
      <c r="B7056" t="str">
        <f t="shared" si="110"/>
        <v>ᮐ</v>
      </c>
    </row>
    <row r="7057" spans="1:2" x14ac:dyDescent="0.25">
      <c r="A7057">
        <v>7057</v>
      </c>
      <c r="B7057" t="str">
        <f t="shared" si="110"/>
        <v>ᮑ</v>
      </c>
    </row>
    <row r="7058" spans="1:2" x14ac:dyDescent="0.25">
      <c r="A7058">
        <v>7058</v>
      </c>
      <c r="B7058" t="str">
        <f t="shared" si="110"/>
        <v>ᮒ</v>
      </c>
    </row>
    <row r="7059" spans="1:2" x14ac:dyDescent="0.25">
      <c r="A7059">
        <v>7059</v>
      </c>
      <c r="B7059" t="str">
        <f t="shared" si="110"/>
        <v>ᮓ</v>
      </c>
    </row>
    <row r="7060" spans="1:2" x14ac:dyDescent="0.25">
      <c r="A7060">
        <v>7060</v>
      </c>
      <c r="B7060" t="str">
        <f t="shared" si="110"/>
        <v>ᮔ</v>
      </c>
    </row>
    <row r="7061" spans="1:2" x14ac:dyDescent="0.25">
      <c r="A7061">
        <v>7061</v>
      </c>
      <c r="B7061" t="str">
        <f t="shared" si="110"/>
        <v>ᮕ</v>
      </c>
    </row>
    <row r="7062" spans="1:2" x14ac:dyDescent="0.25">
      <c r="A7062">
        <v>7062</v>
      </c>
      <c r="B7062" t="str">
        <f t="shared" si="110"/>
        <v>ᮖ</v>
      </c>
    </row>
    <row r="7063" spans="1:2" x14ac:dyDescent="0.25">
      <c r="A7063">
        <v>7063</v>
      </c>
      <c r="B7063" t="str">
        <f t="shared" si="110"/>
        <v>ᮗ</v>
      </c>
    </row>
    <row r="7064" spans="1:2" x14ac:dyDescent="0.25">
      <c r="A7064">
        <v>7064</v>
      </c>
      <c r="B7064" t="str">
        <f t="shared" si="110"/>
        <v>ᮘ</v>
      </c>
    </row>
    <row r="7065" spans="1:2" x14ac:dyDescent="0.25">
      <c r="A7065">
        <v>7065</v>
      </c>
      <c r="B7065" t="str">
        <f t="shared" si="110"/>
        <v>ᮙ</v>
      </c>
    </row>
    <row r="7066" spans="1:2" x14ac:dyDescent="0.25">
      <c r="A7066">
        <v>7066</v>
      </c>
      <c r="B7066" t="str">
        <f t="shared" si="110"/>
        <v>ᮚ</v>
      </c>
    </row>
    <row r="7067" spans="1:2" x14ac:dyDescent="0.25">
      <c r="A7067">
        <v>7067</v>
      </c>
      <c r="B7067" t="str">
        <f t="shared" si="110"/>
        <v>ᮛ</v>
      </c>
    </row>
    <row r="7068" spans="1:2" x14ac:dyDescent="0.25">
      <c r="A7068">
        <v>7068</v>
      </c>
      <c r="B7068" t="str">
        <f t="shared" si="110"/>
        <v>ᮜ</v>
      </c>
    </row>
    <row r="7069" spans="1:2" x14ac:dyDescent="0.25">
      <c r="A7069">
        <v>7069</v>
      </c>
      <c r="B7069" t="str">
        <f t="shared" si="110"/>
        <v>ᮝ</v>
      </c>
    </row>
    <row r="7070" spans="1:2" x14ac:dyDescent="0.25">
      <c r="A7070">
        <v>7070</v>
      </c>
      <c r="B7070" t="str">
        <f t="shared" si="110"/>
        <v>ᮞ</v>
      </c>
    </row>
    <row r="7071" spans="1:2" x14ac:dyDescent="0.25">
      <c r="A7071">
        <v>7071</v>
      </c>
      <c r="B7071" t="str">
        <f t="shared" si="110"/>
        <v>ᮟ</v>
      </c>
    </row>
    <row r="7072" spans="1:2" x14ac:dyDescent="0.25">
      <c r="A7072">
        <v>7072</v>
      </c>
      <c r="B7072" t="str">
        <f t="shared" si="110"/>
        <v>ᮠ</v>
      </c>
    </row>
    <row r="7073" spans="1:2" x14ac:dyDescent="0.25">
      <c r="A7073">
        <v>7073</v>
      </c>
      <c r="B7073" t="str">
        <f t="shared" si="110"/>
        <v>ᮡ</v>
      </c>
    </row>
    <row r="7074" spans="1:2" x14ac:dyDescent="0.25">
      <c r="A7074">
        <v>7074</v>
      </c>
      <c r="B7074" t="str">
        <f t="shared" si="110"/>
        <v>ᮢ</v>
      </c>
    </row>
    <row r="7075" spans="1:2" x14ac:dyDescent="0.25">
      <c r="A7075">
        <v>7075</v>
      </c>
      <c r="B7075" t="str">
        <f t="shared" si="110"/>
        <v>ᮣ</v>
      </c>
    </row>
    <row r="7076" spans="1:2" x14ac:dyDescent="0.25">
      <c r="A7076">
        <v>7076</v>
      </c>
      <c r="B7076" t="str">
        <f t="shared" si="110"/>
        <v>ᮤ</v>
      </c>
    </row>
    <row r="7077" spans="1:2" x14ac:dyDescent="0.25">
      <c r="A7077">
        <v>7077</v>
      </c>
      <c r="B7077" t="str">
        <f t="shared" si="110"/>
        <v>ᮥ</v>
      </c>
    </row>
    <row r="7078" spans="1:2" x14ac:dyDescent="0.25">
      <c r="A7078">
        <v>7078</v>
      </c>
      <c r="B7078" t="str">
        <f t="shared" si="110"/>
        <v>ᮦ</v>
      </c>
    </row>
    <row r="7079" spans="1:2" x14ac:dyDescent="0.25">
      <c r="A7079">
        <v>7079</v>
      </c>
      <c r="B7079" t="str">
        <f t="shared" si="110"/>
        <v>ᮧ</v>
      </c>
    </row>
    <row r="7080" spans="1:2" x14ac:dyDescent="0.25">
      <c r="A7080">
        <v>7080</v>
      </c>
      <c r="B7080" t="str">
        <f t="shared" si="110"/>
        <v>ᮨ</v>
      </c>
    </row>
    <row r="7081" spans="1:2" x14ac:dyDescent="0.25">
      <c r="A7081">
        <v>7081</v>
      </c>
      <c r="B7081" t="str">
        <f t="shared" si="110"/>
        <v>ᮩ</v>
      </c>
    </row>
    <row r="7082" spans="1:2" x14ac:dyDescent="0.25">
      <c r="A7082">
        <v>7082</v>
      </c>
      <c r="B7082" t="str">
        <f t="shared" si="110"/>
        <v>᮪</v>
      </c>
    </row>
    <row r="7083" spans="1:2" x14ac:dyDescent="0.25">
      <c r="A7083">
        <v>7083</v>
      </c>
      <c r="B7083" t="str">
        <f t="shared" si="110"/>
        <v>᮫</v>
      </c>
    </row>
    <row r="7084" spans="1:2" x14ac:dyDescent="0.25">
      <c r="A7084">
        <v>7084</v>
      </c>
      <c r="B7084" t="str">
        <f t="shared" si="110"/>
        <v>ᮬ</v>
      </c>
    </row>
    <row r="7085" spans="1:2" x14ac:dyDescent="0.25">
      <c r="A7085">
        <v>7085</v>
      </c>
      <c r="B7085" t="str">
        <f t="shared" si="110"/>
        <v>ᮭ</v>
      </c>
    </row>
    <row r="7086" spans="1:2" x14ac:dyDescent="0.25">
      <c r="A7086">
        <v>7086</v>
      </c>
      <c r="B7086" t="str">
        <f t="shared" si="110"/>
        <v>ᮮ</v>
      </c>
    </row>
    <row r="7087" spans="1:2" x14ac:dyDescent="0.25">
      <c r="A7087">
        <v>7087</v>
      </c>
      <c r="B7087" t="str">
        <f t="shared" si="110"/>
        <v>ᮯ</v>
      </c>
    </row>
    <row r="7088" spans="1:2" x14ac:dyDescent="0.25">
      <c r="A7088">
        <v>7088</v>
      </c>
      <c r="B7088" t="str">
        <f t="shared" si="110"/>
        <v>᮰</v>
      </c>
    </row>
    <row r="7089" spans="1:2" x14ac:dyDescent="0.25">
      <c r="A7089">
        <v>7089</v>
      </c>
      <c r="B7089" t="str">
        <f t="shared" si="110"/>
        <v>᮱</v>
      </c>
    </row>
    <row r="7090" spans="1:2" x14ac:dyDescent="0.25">
      <c r="A7090">
        <v>7090</v>
      </c>
      <c r="B7090" t="str">
        <f t="shared" si="110"/>
        <v>᮲</v>
      </c>
    </row>
    <row r="7091" spans="1:2" x14ac:dyDescent="0.25">
      <c r="A7091">
        <v>7091</v>
      </c>
      <c r="B7091" t="str">
        <f t="shared" si="110"/>
        <v>᮳</v>
      </c>
    </row>
    <row r="7092" spans="1:2" x14ac:dyDescent="0.25">
      <c r="A7092">
        <v>7092</v>
      </c>
      <c r="B7092" t="str">
        <f t="shared" si="110"/>
        <v>᮴</v>
      </c>
    </row>
    <row r="7093" spans="1:2" x14ac:dyDescent="0.25">
      <c r="A7093">
        <v>7093</v>
      </c>
      <c r="B7093" t="str">
        <f t="shared" si="110"/>
        <v>᮵</v>
      </c>
    </row>
    <row r="7094" spans="1:2" x14ac:dyDescent="0.25">
      <c r="A7094">
        <v>7094</v>
      </c>
      <c r="B7094" t="str">
        <f t="shared" si="110"/>
        <v>᮶</v>
      </c>
    </row>
    <row r="7095" spans="1:2" x14ac:dyDescent="0.25">
      <c r="A7095">
        <v>7095</v>
      </c>
      <c r="B7095" t="str">
        <f t="shared" si="110"/>
        <v>᮷</v>
      </c>
    </row>
    <row r="7096" spans="1:2" x14ac:dyDescent="0.25">
      <c r="A7096">
        <v>7096</v>
      </c>
      <c r="B7096" t="str">
        <f t="shared" si="110"/>
        <v>᮸</v>
      </c>
    </row>
    <row r="7097" spans="1:2" x14ac:dyDescent="0.25">
      <c r="A7097">
        <v>7097</v>
      </c>
      <c r="B7097" t="str">
        <f t="shared" si="110"/>
        <v>᮹</v>
      </c>
    </row>
    <row r="7098" spans="1:2" x14ac:dyDescent="0.25">
      <c r="A7098">
        <v>7098</v>
      </c>
      <c r="B7098" t="str">
        <f t="shared" si="110"/>
        <v>ᮺ</v>
      </c>
    </row>
    <row r="7099" spans="1:2" x14ac:dyDescent="0.25">
      <c r="A7099">
        <v>7099</v>
      </c>
      <c r="B7099" t="str">
        <f t="shared" si="110"/>
        <v>ᮻ</v>
      </c>
    </row>
    <row r="7100" spans="1:2" x14ac:dyDescent="0.25">
      <c r="A7100">
        <v>7100</v>
      </c>
      <c r="B7100" t="str">
        <f t="shared" si="110"/>
        <v>ᮼ</v>
      </c>
    </row>
    <row r="7101" spans="1:2" x14ac:dyDescent="0.25">
      <c r="A7101">
        <v>7101</v>
      </c>
      <c r="B7101" t="str">
        <f t="shared" si="110"/>
        <v>ᮽ</v>
      </c>
    </row>
    <row r="7102" spans="1:2" x14ac:dyDescent="0.25">
      <c r="A7102">
        <v>7102</v>
      </c>
      <c r="B7102" t="str">
        <f t="shared" si="110"/>
        <v>ᮾ</v>
      </c>
    </row>
    <row r="7103" spans="1:2" x14ac:dyDescent="0.25">
      <c r="A7103">
        <v>7103</v>
      </c>
      <c r="B7103" t="str">
        <f t="shared" si="110"/>
        <v>ᮿ</v>
      </c>
    </row>
    <row r="7104" spans="1:2" x14ac:dyDescent="0.25">
      <c r="A7104">
        <v>7104</v>
      </c>
      <c r="B7104" t="str">
        <f t="shared" si="110"/>
        <v>ᯀ</v>
      </c>
    </row>
    <row r="7105" spans="1:2" x14ac:dyDescent="0.25">
      <c r="A7105">
        <v>7105</v>
      </c>
      <c r="B7105" t="str">
        <f t="shared" si="110"/>
        <v>ᯁ</v>
      </c>
    </row>
    <row r="7106" spans="1:2" x14ac:dyDescent="0.25">
      <c r="A7106">
        <v>7106</v>
      </c>
      <c r="B7106" t="str">
        <f t="shared" ref="B7106:B7169" si="111">_xlfn.UNICHAR(A7106)</f>
        <v>ᯂ</v>
      </c>
    </row>
    <row r="7107" spans="1:2" x14ac:dyDescent="0.25">
      <c r="A7107">
        <v>7107</v>
      </c>
      <c r="B7107" t="str">
        <f t="shared" si="111"/>
        <v>ᯃ</v>
      </c>
    </row>
    <row r="7108" spans="1:2" x14ac:dyDescent="0.25">
      <c r="A7108">
        <v>7108</v>
      </c>
      <c r="B7108" t="str">
        <f t="shared" si="111"/>
        <v>ᯄ</v>
      </c>
    </row>
    <row r="7109" spans="1:2" x14ac:dyDescent="0.25">
      <c r="A7109">
        <v>7109</v>
      </c>
      <c r="B7109" t="str">
        <f t="shared" si="111"/>
        <v>ᯅ</v>
      </c>
    </row>
    <row r="7110" spans="1:2" x14ac:dyDescent="0.25">
      <c r="A7110">
        <v>7110</v>
      </c>
      <c r="B7110" t="str">
        <f t="shared" si="111"/>
        <v>ᯆ</v>
      </c>
    </row>
    <row r="7111" spans="1:2" x14ac:dyDescent="0.25">
      <c r="A7111">
        <v>7111</v>
      </c>
      <c r="B7111" t="str">
        <f t="shared" si="111"/>
        <v>ᯇ</v>
      </c>
    </row>
    <row r="7112" spans="1:2" x14ac:dyDescent="0.25">
      <c r="A7112">
        <v>7112</v>
      </c>
      <c r="B7112" t="str">
        <f t="shared" si="111"/>
        <v>ᯈ</v>
      </c>
    </row>
    <row r="7113" spans="1:2" x14ac:dyDescent="0.25">
      <c r="A7113">
        <v>7113</v>
      </c>
      <c r="B7113" t="str">
        <f t="shared" si="111"/>
        <v>ᯉ</v>
      </c>
    </row>
    <row r="7114" spans="1:2" x14ac:dyDescent="0.25">
      <c r="A7114">
        <v>7114</v>
      </c>
      <c r="B7114" t="str">
        <f t="shared" si="111"/>
        <v>ᯊ</v>
      </c>
    </row>
    <row r="7115" spans="1:2" x14ac:dyDescent="0.25">
      <c r="A7115">
        <v>7115</v>
      </c>
      <c r="B7115" t="str">
        <f t="shared" si="111"/>
        <v>ᯋ</v>
      </c>
    </row>
    <row r="7116" spans="1:2" x14ac:dyDescent="0.25">
      <c r="A7116">
        <v>7116</v>
      </c>
      <c r="B7116" t="str">
        <f t="shared" si="111"/>
        <v>ᯌ</v>
      </c>
    </row>
    <row r="7117" spans="1:2" x14ac:dyDescent="0.25">
      <c r="A7117">
        <v>7117</v>
      </c>
      <c r="B7117" t="str">
        <f t="shared" si="111"/>
        <v>ᯍ</v>
      </c>
    </row>
    <row r="7118" spans="1:2" x14ac:dyDescent="0.25">
      <c r="A7118">
        <v>7118</v>
      </c>
      <c r="B7118" t="str">
        <f t="shared" si="111"/>
        <v>ᯎ</v>
      </c>
    </row>
    <row r="7119" spans="1:2" x14ac:dyDescent="0.25">
      <c r="A7119">
        <v>7119</v>
      </c>
      <c r="B7119" t="str">
        <f t="shared" si="111"/>
        <v>ᯏ</v>
      </c>
    </row>
    <row r="7120" spans="1:2" x14ac:dyDescent="0.25">
      <c r="A7120">
        <v>7120</v>
      </c>
      <c r="B7120" t="str">
        <f t="shared" si="111"/>
        <v>ᯐ</v>
      </c>
    </row>
    <row r="7121" spans="1:2" x14ac:dyDescent="0.25">
      <c r="A7121">
        <v>7121</v>
      </c>
      <c r="B7121" t="str">
        <f t="shared" si="111"/>
        <v>ᯑ</v>
      </c>
    </row>
    <row r="7122" spans="1:2" x14ac:dyDescent="0.25">
      <c r="A7122">
        <v>7122</v>
      </c>
      <c r="B7122" t="str">
        <f t="shared" si="111"/>
        <v>ᯒ</v>
      </c>
    </row>
    <row r="7123" spans="1:2" x14ac:dyDescent="0.25">
      <c r="A7123">
        <v>7123</v>
      </c>
      <c r="B7123" t="str">
        <f t="shared" si="111"/>
        <v>ᯓ</v>
      </c>
    </row>
    <row r="7124" spans="1:2" x14ac:dyDescent="0.25">
      <c r="A7124">
        <v>7124</v>
      </c>
      <c r="B7124" t="str">
        <f t="shared" si="111"/>
        <v>ᯔ</v>
      </c>
    </row>
    <row r="7125" spans="1:2" x14ac:dyDescent="0.25">
      <c r="A7125">
        <v>7125</v>
      </c>
      <c r="B7125" t="str">
        <f t="shared" si="111"/>
        <v>ᯕ</v>
      </c>
    </row>
    <row r="7126" spans="1:2" x14ac:dyDescent="0.25">
      <c r="A7126">
        <v>7126</v>
      </c>
      <c r="B7126" t="str">
        <f t="shared" si="111"/>
        <v>ᯖ</v>
      </c>
    </row>
    <row r="7127" spans="1:2" x14ac:dyDescent="0.25">
      <c r="A7127">
        <v>7127</v>
      </c>
      <c r="B7127" t="str">
        <f t="shared" si="111"/>
        <v>ᯗ</v>
      </c>
    </row>
    <row r="7128" spans="1:2" x14ac:dyDescent="0.25">
      <c r="A7128">
        <v>7128</v>
      </c>
      <c r="B7128" t="str">
        <f t="shared" si="111"/>
        <v>ᯘ</v>
      </c>
    </row>
    <row r="7129" spans="1:2" x14ac:dyDescent="0.25">
      <c r="A7129">
        <v>7129</v>
      </c>
      <c r="B7129" t="str">
        <f t="shared" si="111"/>
        <v>ᯙ</v>
      </c>
    </row>
    <row r="7130" spans="1:2" x14ac:dyDescent="0.25">
      <c r="A7130">
        <v>7130</v>
      </c>
      <c r="B7130" t="str">
        <f t="shared" si="111"/>
        <v>ᯚ</v>
      </c>
    </row>
    <row r="7131" spans="1:2" x14ac:dyDescent="0.25">
      <c r="A7131">
        <v>7131</v>
      </c>
      <c r="B7131" t="str">
        <f t="shared" si="111"/>
        <v>ᯛ</v>
      </c>
    </row>
    <row r="7132" spans="1:2" x14ac:dyDescent="0.25">
      <c r="A7132">
        <v>7132</v>
      </c>
      <c r="B7132" t="str">
        <f t="shared" si="111"/>
        <v>ᯜ</v>
      </c>
    </row>
    <row r="7133" spans="1:2" x14ac:dyDescent="0.25">
      <c r="A7133">
        <v>7133</v>
      </c>
      <c r="B7133" t="str">
        <f t="shared" si="111"/>
        <v>ᯝ</v>
      </c>
    </row>
    <row r="7134" spans="1:2" x14ac:dyDescent="0.25">
      <c r="A7134">
        <v>7134</v>
      </c>
      <c r="B7134" t="str">
        <f t="shared" si="111"/>
        <v>ᯞ</v>
      </c>
    </row>
    <row r="7135" spans="1:2" x14ac:dyDescent="0.25">
      <c r="A7135">
        <v>7135</v>
      </c>
      <c r="B7135" t="str">
        <f t="shared" si="111"/>
        <v>ᯟ</v>
      </c>
    </row>
    <row r="7136" spans="1:2" x14ac:dyDescent="0.25">
      <c r="A7136">
        <v>7136</v>
      </c>
      <c r="B7136" t="str">
        <f t="shared" si="111"/>
        <v>ᯠ</v>
      </c>
    </row>
    <row r="7137" spans="1:2" x14ac:dyDescent="0.25">
      <c r="A7137">
        <v>7137</v>
      </c>
      <c r="B7137" t="str">
        <f t="shared" si="111"/>
        <v>ᯡ</v>
      </c>
    </row>
    <row r="7138" spans="1:2" x14ac:dyDescent="0.25">
      <c r="A7138">
        <v>7138</v>
      </c>
      <c r="B7138" t="str">
        <f t="shared" si="111"/>
        <v>ᯢ</v>
      </c>
    </row>
    <row r="7139" spans="1:2" x14ac:dyDescent="0.25">
      <c r="A7139">
        <v>7139</v>
      </c>
      <c r="B7139" t="str">
        <f t="shared" si="111"/>
        <v>ᯣ</v>
      </c>
    </row>
    <row r="7140" spans="1:2" x14ac:dyDescent="0.25">
      <c r="A7140">
        <v>7140</v>
      </c>
      <c r="B7140" t="str">
        <f t="shared" si="111"/>
        <v>ᯤ</v>
      </c>
    </row>
    <row r="7141" spans="1:2" x14ac:dyDescent="0.25">
      <c r="A7141">
        <v>7141</v>
      </c>
      <c r="B7141" t="str">
        <f t="shared" si="111"/>
        <v>ᯥ</v>
      </c>
    </row>
    <row r="7142" spans="1:2" x14ac:dyDescent="0.25">
      <c r="A7142">
        <v>7142</v>
      </c>
      <c r="B7142" t="str">
        <f t="shared" si="111"/>
        <v>᯦</v>
      </c>
    </row>
    <row r="7143" spans="1:2" x14ac:dyDescent="0.25">
      <c r="A7143">
        <v>7143</v>
      </c>
      <c r="B7143" t="str">
        <f t="shared" si="111"/>
        <v>ᯧ</v>
      </c>
    </row>
    <row r="7144" spans="1:2" x14ac:dyDescent="0.25">
      <c r="A7144">
        <v>7144</v>
      </c>
      <c r="B7144" t="str">
        <f t="shared" si="111"/>
        <v>ᯨ</v>
      </c>
    </row>
    <row r="7145" spans="1:2" x14ac:dyDescent="0.25">
      <c r="A7145">
        <v>7145</v>
      </c>
      <c r="B7145" t="str">
        <f t="shared" si="111"/>
        <v>ᯩ</v>
      </c>
    </row>
    <row r="7146" spans="1:2" x14ac:dyDescent="0.25">
      <c r="A7146">
        <v>7146</v>
      </c>
      <c r="B7146" t="str">
        <f t="shared" si="111"/>
        <v>ᯪ</v>
      </c>
    </row>
    <row r="7147" spans="1:2" x14ac:dyDescent="0.25">
      <c r="A7147">
        <v>7147</v>
      </c>
      <c r="B7147" t="str">
        <f t="shared" si="111"/>
        <v>ᯫ</v>
      </c>
    </row>
    <row r="7148" spans="1:2" x14ac:dyDescent="0.25">
      <c r="A7148">
        <v>7148</v>
      </c>
      <c r="B7148" t="str">
        <f t="shared" si="111"/>
        <v>ᯬ</v>
      </c>
    </row>
    <row r="7149" spans="1:2" x14ac:dyDescent="0.25">
      <c r="A7149">
        <v>7149</v>
      </c>
      <c r="B7149" t="str">
        <f t="shared" si="111"/>
        <v>ᯭ</v>
      </c>
    </row>
    <row r="7150" spans="1:2" x14ac:dyDescent="0.25">
      <c r="A7150">
        <v>7150</v>
      </c>
      <c r="B7150" t="str">
        <f t="shared" si="111"/>
        <v>ᯮ</v>
      </c>
    </row>
    <row r="7151" spans="1:2" x14ac:dyDescent="0.25">
      <c r="A7151">
        <v>7151</v>
      </c>
      <c r="B7151" t="str">
        <f t="shared" si="111"/>
        <v>ᯯ</v>
      </c>
    </row>
    <row r="7152" spans="1:2" x14ac:dyDescent="0.25">
      <c r="A7152">
        <v>7152</v>
      </c>
      <c r="B7152" t="str">
        <f t="shared" si="111"/>
        <v>ᯰ</v>
      </c>
    </row>
    <row r="7153" spans="1:2" x14ac:dyDescent="0.25">
      <c r="A7153">
        <v>7153</v>
      </c>
      <c r="B7153" t="str">
        <f t="shared" si="111"/>
        <v>ᯱ</v>
      </c>
    </row>
    <row r="7154" spans="1:2" x14ac:dyDescent="0.25">
      <c r="A7154">
        <v>7154</v>
      </c>
      <c r="B7154" t="str">
        <f t="shared" si="111"/>
        <v>᯲</v>
      </c>
    </row>
    <row r="7155" spans="1:2" x14ac:dyDescent="0.25">
      <c r="A7155">
        <v>7155</v>
      </c>
      <c r="B7155" t="str">
        <f t="shared" si="111"/>
        <v>᯳</v>
      </c>
    </row>
    <row r="7156" spans="1:2" x14ac:dyDescent="0.25">
      <c r="A7156">
        <v>7156</v>
      </c>
      <c r="B7156" t="str">
        <f t="shared" si="111"/>
        <v>᯴</v>
      </c>
    </row>
    <row r="7157" spans="1:2" x14ac:dyDescent="0.25">
      <c r="A7157">
        <v>7157</v>
      </c>
      <c r="B7157" t="str">
        <f t="shared" si="111"/>
        <v>᯵</v>
      </c>
    </row>
    <row r="7158" spans="1:2" x14ac:dyDescent="0.25">
      <c r="A7158">
        <v>7158</v>
      </c>
      <c r="B7158" t="str">
        <f t="shared" si="111"/>
        <v>᯶</v>
      </c>
    </row>
    <row r="7159" spans="1:2" x14ac:dyDescent="0.25">
      <c r="A7159">
        <v>7159</v>
      </c>
      <c r="B7159" t="str">
        <f t="shared" si="111"/>
        <v>᯷</v>
      </c>
    </row>
    <row r="7160" spans="1:2" x14ac:dyDescent="0.25">
      <c r="A7160">
        <v>7160</v>
      </c>
      <c r="B7160" t="str">
        <f t="shared" si="111"/>
        <v>᯸</v>
      </c>
    </row>
    <row r="7161" spans="1:2" x14ac:dyDescent="0.25">
      <c r="A7161">
        <v>7161</v>
      </c>
      <c r="B7161" t="str">
        <f t="shared" si="111"/>
        <v>᯹</v>
      </c>
    </row>
    <row r="7162" spans="1:2" x14ac:dyDescent="0.25">
      <c r="A7162">
        <v>7162</v>
      </c>
      <c r="B7162" t="str">
        <f t="shared" si="111"/>
        <v>᯺</v>
      </c>
    </row>
    <row r="7163" spans="1:2" x14ac:dyDescent="0.25">
      <c r="A7163">
        <v>7163</v>
      </c>
      <c r="B7163" t="str">
        <f t="shared" si="111"/>
        <v>᯻</v>
      </c>
    </row>
    <row r="7164" spans="1:2" x14ac:dyDescent="0.25">
      <c r="A7164">
        <v>7164</v>
      </c>
      <c r="B7164" t="str">
        <f t="shared" si="111"/>
        <v>᯼</v>
      </c>
    </row>
    <row r="7165" spans="1:2" x14ac:dyDescent="0.25">
      <c r="A7165">
        <v>7165</v>
      </c>
      <c r="B7165" t="str">
        <f t="shared" si="111"/>
        <v>᯽</v>
      </c>
    </row>
    <row r="7166" spans="1:2" x14ac:dyDescent="0.25">
      <c r="A7166">
        <v>7166</v>
      </c>
      <c r="B7166" t="str">
        <f t="shared" si="111"/>
        <v>᯾</v>
      </c>
    </row>
    <row r="7167" spans="1:2" x14ac:dyDescent="0.25">
      <c r="A7167">
        <v>7167</v>
      </c>
      <c r="B7167" t="str">
        <f t="shared" si="111"/>
        <v>᯿</v>
      </c>
    </row>
    <row r="7168" spans="1:2" x14ac:dyDescent="0.25">
      <c r="A7168">
        <v>7168</v>
      </c>
      <c r="B7168" t="str">
        <f t="shared" si="111"/>
        <v>ᰀ</v>
      </c>
    </row>
    <row r="7169" spans="1:2" x14ac:dyDescent="0.25">
      <c r="A7169">
        <v>7169</v>
      </c>
      <c r="B7169" t="str">
        <f t="shared" si="111"/>
        <v>ᰁ</v>
      </c>
    </row>
    <row r="7170" spans="1:2" x14ac:dyDescent="0.25">
      <c r="A7170">
        <v>7170</v>
      </c>
      <c r="B7170" t="str">
        <f t="shared" ref="B7170:B7233" si="112">_xlfn.UNICHAR(A7170)</f>
        <v>ᰂ</v>
      </c>
    </row>
    <row r="7171" spans="1:2" x14ac:dyDescent="0.25">
      <c r="A7171">
        <v>7171</v>
      </c>
      <c r="B7171" t="str">
        <f t="shared" si="112"/>
        <v>ᰃ</v>
      </c>
    </row>
    <row r="7172" spans="1:2" x14ac:dyDescent="0.25">
      <c r="A7172">
        <v>7172</v>
      </c>
      <c r="B7172" t="str">
        <f t="shared" si="112"/>
        <v>ᰄ</v>
      </c>
    </row>
    <row r="7173" spans="1:2" x14ac:dyDescent="0.25">
      <c r="A7173">
        <v>7173</v>
      </c>
      <c r="B7173" t="str">
        <f t="shared" si="112"/>
        <v>ᰅ</v>
      </c>
    </row>
    <row r="7174" spans="1:2" x14ac:dyDescent="0.25">
      <c r="A7174">
        <v>7174</v>
      </c>
      <c r="B7174" t="str">
        <f t="shared" si="112"/>
        <v>ᰆ</v>
      </c>
    </row>
    <row r="7175" spans="1:2" x14ac:dyDescent="0.25">
      <c r="A7175">
        <v>7175</v>
      </c>
      <c r="B7175" t="str">
        <f t="shared" si="112"/>
        <v>ᰇ</v>
      </c>
    </row>
    <row r="7176" spans="1:2" x14ac:dyDescent="0.25">
      <c r="A7176">
        <v>7176</v>
      </c>
      <c r="B7176" t="str">
        <f t="shared" si="112"/>
        <v>ᰈ</v>
      </c>
    </row>
    <row r="7177" spans="1:2" x14ac:dyDescent="0.25">
      <c r="A7177">
        <v>7177</v>
      </c>
      <c r="B7177" t="str">
        <f t="shared" si="112"/>
        <v>ᰉ</v>
      </c>
    </row>
    <row r="7178" spans="1:2" x14ac:dyDescent="0.25">
      <c r="A7178">
        <v>7178</v>
      </c>
      <c r="B7178" t="str">
        <f t="shared" si="112"/>
        <v>ᰊ</v>
      </c>
    </row>
    <row r="7179" spans="1:2" x14ac:dyDescent="0.25">
      <c r="A7179">
        <v>7179</v>
      </c>
      <c r="B7179" t="str">
        <f t="shared" si="112"/>
        <v>ᰋ</v>
      </c>
    </row>
    <row r="7180" spans="1:2" x14ac:dyDescent="0.25">
      <c r="A7180">
        <v>7180</v>
      </c>
      <c r="B7180" t="str">
        <f t="shared" si="112"/>
        <v>ᰌ</v>
      </c>
    </row>
    <row r="7181" spans="1:2" x14ac:dyDescent="0.25">
      <c r="A7181">
        <v>7181</v>
      </c>
      <c r="B7181" t="str">
        <f t="shared" si="112"/>
        <v>ᰍ</v>
      </c>
    </row>
    <row r="7182" spans="1:2" x14ac:dyDescent="0.25">
      <c r="A7182">
        <v>7182</v>
      </c>
      <c r="B7182" t="str">
        <f t="shared" si="112"/>
        <v>ᰎ</v>
      </c>
    </row>
    <row r="7183" spans="1:2" x14ac:dyDescent="0.25">
      <c r="A7183">
        <v>7183</v>
      </c>
      <c r="B7183" t="str">
        <f t="shared" si="112"/>
        <v>ᰏ</v>
      </c>
    </row>
    <row r="7184" spans="1:2" x14ac:dyDescent="0.25">
      <c r="A7184">
        <v>7184</v>
      </c>
      <c r="B7184" t="str">
        <f t="shared" si="112"/>
        <v>ᰐ</v>
      </c>
    </row>
    <row r="7185" spans="1:2" x14ac:dyDescent="0.25">
      <c r="A7185">
        <v>7185</v>
      </c>
      <c r="B7185" t="str">
        <f t="shared" si="112"/>
        <v>ᰑ</v>
      </c>
    </row>
    <row r="7186" spans="1:2" x14ac:dyDescent="0.25">
      <c r="A7186">
        <v>7186</v>
      </c>
      <c r="B7186" t="str">
        <f t="shared" si="112"/>
        <v>ᰒ</v>
      </c>
    </row>
    <row r="7187" spans="1:2" x14ac:dyDescent="0.25">
      <c r="A7187">
        <v>7187</v>
      </c>
      <c r="B7187" t="str">
        <f t="shared" si="112"/>
        <v>ᰓ</v>
      </c>
    </row>
    <row r="7188" spans="1:2" x14ac:dyDescent="0.25">
      <c r="A7188">
        <v>7188</v>
      </c>
      <c r="B7188" t="str">
        <f t="shared" si="112"/>
        <v>ᰔ</v>
      </c>
    </row>
    <row r="7189" spans="1:2" x14ac:dyDescent="0.25">
      <c r="A7189">
        <v>7189</v>
      </c>
      <c r="B7189" t="str">
        <f t="shared" si="112"/>
        <v>ᰕ</v>
      </c>
    </row>
    <row r="7190" spans="1:2" x14ac:dyDescent="0.25">
      <c r="A7190">
        <v>7190</v>
      </c>
      <c r="B7190" t="str">
        <f t="shared" si="112"/>
        <v>ᰖ</v>
      </c>
    </row>
    <row r="7191" spans="1:2" x14ac:dyDescent="0.25">
      <c r="A7191">
        <v>7191</v>
      </c>
      <c r="B7191" t="str">
        <f t="shared" si="112"/>
        <v>ᰗ</v>
      </c>
    </row>
    <row r="7192" spans="1:2" x14ac:dyDescent="0.25">
      <c r="A7192">
        <v>7192</v>
      </c>
      <c r="B7192" t="str">
        <f t="shared" si="112"/>
        <v>ᰘ</v>
      </c>
    </row>
    <row r="7193" spans="1:2" x14ac:dyDescent="0.25">
      <c r="A7193">
        <v>7193</v>
      </c>
      <c r="B7193" t="str">
        <f t="shared" si="112"/>
        <v>ᰙ</v>
      </c>
    </row>
    <row r="7194" spans="1:2" x14ac:dyDescent="0.25">
      <c r="A7194">
        <v>7194</v>
      </c>
      <c r="B7194" t="str">
        <f t="shared" si="112"/>
        <v>ᰚ</v>
      </c>
    </row>
    <row r="7195" spans="1:2" x14ac:dyDescent="0.25">
      <c r="A7195">
        <v>7195</v>
      </c>
      <c r="B7195" t="str">
        <f t="shared" si="112"/>
        <v>ᰛ</v>
      </c>
    </row>
    <row r="7196" spans="1:2" x14ac:dyDescent="0.25">
      <c r="A7196">
        <v>7196</v>
      </c>
      <c r="B7196" t="str">
        <f t="shared" si="112"/>
        <v>ᰜ</v>
      </c>
    </row>
    <row r="7197" spans="1:2" x14ac:dyDescent="0.25">
      <c r="A7197">
        <v>7197</v>
      </c>
      <c r="B7197" t="str">
        <f t="shared" si="112"/>
        <v>ᰝ</v>
      </c>
    </row>
    <row r="7198" spans="1:2" x14ac:dyDescent="0.25">
      <c r="A7198">
        <v>7198</v>
      </c>
      <c r="B7198" t="str">
        <f t="shared" si="112"/>
        <v>ᰞ</v>
      </c>
    </row>
    <row r="7199" spans="1:2" x14ac:dyDescent="0.25">
      <c r="A7199">
        <v>7199</v>
      </c>
      <c r="B7199" t="str">
        <f t="shared" si="112"/>
        <v>ᰟ</v>
      </c>
    </row>
    <row r="7200" spans="1:2" x14ac:dyDescent="0.25">
      <c r="A7200">
        <v>7200</v>
      </c>
      <c r="B7200" t="str">
        <f t="shared" si="112"/>
        <v>ᰠ</v>
      </c>
    </row>
    <row r="7201" spans="1:2" x14ac:dyDescent="0.25">
      <c r="A7201">
        <v>7201</v>
      </c>
      <c r="B7201" t="str">
        <f t="shared" si="112"/>
        <v>ᰡ</v>
      </c>
    </row>
    <row r="7202" spans="1:2" x14ac:dyDescent="0.25">
      <c r="A7202">
        <v>7202</v>
      </c>
      <c r="B7202" t="str">
        <f t="shared" si="112"/>
        <v>ᰢ</v>
      </c>
    </row>
    <row r="7203" spans="1:2" x14ac:dyDescent="0.25">
      <c r="A7203">
        <v>7203</v>
      </c>
      <c r="B7203" t="str">
        <f t="shared" si="112"/>
        <v>ᰣ</v>
      </c>
    </row>
    <row r="7204" spans="1:2" x14ac:dyDescent="0.25">
      <c r="A7204">
        <v>7204</v>
      </c>
      <c r="B7204" t="str">
        <f t="shared" si="112"/>
        <v>ᰤ</v>
      </c>
    </row>
    <row r="7205" spans="1:2" x14ac:dyDescent="0.25">
      <c r="A7205">
        <v>7205</v>
      </c>
      <c r="B7205" t="str">
        <f t="shared" si="112"/>
        <v>ᰥ</v>
      </c>
    </row>
    <row r="7206" spans="1:2" x14ac:dyDescent="0.25">
      <c r="A7206">
        <v>7206</v>
      </c>
      <c r="B7206" t="str">
        <f t="shared" si="112"/>
        <v>ᰦ</v>
      </c>
    </row>
    <row r="7207" spans="1:2" x14ac:dyDescent="0.25">
      <c r="A7207">
        <v>7207</v>
      </c>
      <c r="B7207" t="str">
        <f t="shared" si="112"/>
        <v>ᰧ</v>
      </c>
    </row>
    <row r="7208" spans="1:2" x14ac:dyDescent="0.25">
      <c r="A7208">
        <v>7208</v>
      </c>
      <c r="B7208" t="str">
        <f t="shared" si="112"/>
        <v>ᰨ</v>
      </c>
    </row>
    <row r="7209" spans="1:2" x14ac:dyDescent="0.25">
      <c r="A7209">
        <v>7209</v>
      </c>
      <c r="B7209" t="str">
        <f t="shared" si="112"/>
        <v>ᰩ</v>
      </c>
    </row>
    <row r="7210" spans="1:2" x14ac:dyDescent="0.25">
      <c r="A7210">
        <v>7210</v>
      </c>
      <c r="B7210" t="str">
        <f t="shared" si="112"/>
        <v>ᰪ</v>
      </c>
    </row>
    <row r="7211" spans="1:2" x14ac:dyDescent="0.25">
      <c r="A7211">
        <v>7211</v>
      </c>
      <c r="B7211" t="str">
        <f t="shared" si="112"/>
        <v>ᰫ</v>
      </c>
    </row>
    <row r="7212" spans="1:2" x14ac:dyDescent="0.25">
      <c r="A7212">
        <v>7212</v>
      </c>
      <c r="B7212" t="str">
        <f t="shared" si="112"/>
        <v>ᰬ</v>
      </c>
    </row>
    <row r="7213" spans="1:2" x14ac:dyDescent="0.25">
      <c r="A7213">
        <v>7213</v>
      </c>
      <c r="B7213" t="str">
        <f t="shared" si="112"/>
        <v>ᰭ</v>
      </c>
    </row>
    <row r="7214" spans="1:2" x14ac:dyDescent="0.25">
      <c r="A7214">
        <v>7214</v>
      </c>
      <c r="B7214" t="str">
        <f t="shared" si="112"/>
        <v>ᰮ</v>
      </c>
    </row>
    <row r="7215" spans="1:2" x14ac:dyDescent="0.25">
      <c r="A7215">
        <v>7215</v>
      </c>
      <c r="B7215" t="str">
        <f t="shared" si="112"/>
        <v>ᰯ</v>
      </c>
    </row>
    <row r="7216" spans="1:2" x14ac:dyDescent="0.25">
      <c r="A7216">
        <v>7216</v>
      </c>
      <c r="B7216" t="str">
        <f t="shared" si="112"/>
        <v>ᰰ</v>
      </c>
    </row>
    <row r="7217" spans="1:2" x14ac:dyDescent="0.25">
      <c r="A7217">
        <v>7217</v>
      </c>
      <c r="B7217" t="str">
        <f t="shared" si="112"/>
        <v>ᰱ</v>
      </c>
    </row>
    <row r="7218" spans="1:2" x14ac:dyDescent="0.25">
      <c r="A7218">
        <v>7218</v>
      </c>
      <c r="B7218" t="str">
        <f t="shared" si="112"/>
        <v>ᰲ</v>
      </c>
    </row>
    <row r="7219" spans="1:2" x14ac:dyDescent="0.25">
      <c r="A7219">
        <v>7219</v>
      </c>
      <c r="B7219" t="str">
        <f t="shared" si="112"/>
        <v>ᰳ</v>
      </c>
    </row>
    <row r="7220" spans="1:2" x14ac:dyDescent="0.25">
      <c r="A7220">
        <v>7220</v>
      </c>
      <c r="B7220" t="str">
        <f t="shared" si="112"/>
        <v>ᰴ</v>
      </c>
    </row>
    <row r="7221" spans="1:2" x14ac:dyDescent="0.25">
      <c r="A7221">
        <v>7221</v>
      </c>
      <c r="B7221" t="str">
        <f t="shared" si="112"/>
        <v>ᰵ</v>
      </c>
    </row>
    <row r="7222" spans="1:2" x14ac:dyDescent="0.25">
      <c r="A7222">
        <v>7222</v>
      </c>
      <c r="B7222" t="str">
        <f t="shared" si="112"/>
        <v>ᰶ</v>
      </c>
    </row>
    <row r="7223" spans="1:2" x14ac:dyDescent="0.25">
      <c r="A7223">
        <v>7223</v>
      </c>
      <c r="B7223" t="str">
        <f t="shared" si="112"/>
        <v>᰷</v>
      </c>
    </row>
    <row r="7224" spans="1:2" x14ac:dyDescent="0.25">
      <c r="A7224">
        <v>7224</v>
      </c>
      <c r="B7224" t="str">
        <f t="shared" si="112"/>
        <v>᰸</v>
      </c>
    </row>
    <row r="7225" spans="1:2" x14ac:dyDescent="0.25">
      <c r="A7225">
        <v>7225</v>
      </c>
      <c r="B7225" t="str">
        <f t="shared" si="112"/>
        <v>᰹</v>
      </c>
    </row>
    <row r="7226" spans="1:2" x14ac:dyDescent="0.25">
      <c r="A7226">
        <v>7226</v>
      </c>
      <c r="B7226" t="str">
        <f t="shared" si="112"/>
        <v>᰺</v>
      </c>
    </row>
    <row r="7227" spans="1:2" x14ac:dyDescent="0.25">
      <c r="A7227">
        <v>7227</v>
      </c>
      <c r="B7227" t="str">
        <f t="shared" si="112"/>
        <v>᰻</v>
      </c>
    </row>
    <row r="7228" spans="1:2" x14ac:dyDescent="0.25">
      <c r="A7228">
        <v>7228</v>
      </c>
      <c r="B7228" t="str">
        <f t="shared" si="112"/>
        <v>᰼</v>
      </c>
    </row>
    <row r="7229" spans="1:2" x14ac:dyDescent="0.25">
      <c r="A7229">
        <v>7229</v>
      </c>
      <c r="B7229" t="str">
        <f t="shared" si="112"/>
        <v>᰽</v>
      </c>
    </row>
    <row r="7230" spans="1:2" x14ac:dyDescent="0.25">
      <c r="A7230">
        <v>7230</v>
      </c>
      <c r="B7230" t="str">
        <f t="shared" si="112"/>
        <v>᰾</v>
      </c>
    </row>
    <row r="7231" spans="1:2" x14ac:dyDescent="0.25">
      <c r="A7231">
        <v>7231</v>
      </c>
      <c r="B7231" t="str">
        <f t="shared" si="112"/>
        <v>᰿</v>
      </c>
    </row>
    <row r="7232" spans="1:2" x14ac:dyDescent="0.25">
      <c r="A7232">
        <v>7232</v>
      </c>
      <c r="B7232" t="str">
        <f t="shared" si="112"/>
        <v>᱀</v>
      </c>
    </row>
    <row r="7233" spans="1:2" x14ac:dyDescent="0.25">
      <c r="A7233">
        <v>7233</v>
      </c>
      <c r="B7233" t="str">
        <f t="shared" si="112"/>
        <v>᱁</v>
      </c>
    </row>
    <row r="7234" spans="1:2" x14ac:dyDescent="0.25">
      <c r="A7234">
        <v>7234</v>
      </c>
      <c r="B7234" t="str">
        <f t="shared" ref="B7234:B7297" si="113">_xlfn.UNICHAR(A7234)</f>
        <v>᱂</v>
      </c>
    </row>
    <row r="7235" spans="1:2" x14ac:dyDescent="0.25">
      <c r="A7235">
        <v>7235</v>
      </c>
      <c r="B7235" t="str">
        <f t="shared" si="113"/>
        <v>᱃</v>
      </c>
    </row>
    <row r="7236" spans="1:2" x14ac:dyDescent="0.25">
      <c r="A7236">
        <v>7236</v>
      </c>
      <c r="B7236" t="str">
        <f t="shared" si="113"/>
        <v>᱄</v>
      </c>
    </row>
    <row r="7237" spans="1:2" x14ac:dyDescent="0.25">
      <c r="A7237">
        <v>7237</v>
      </c>
      <c r="B7237" t="str">
        <f t="shared" si="113"/>
        <v>᱅</v>
      </c>
    </row>
    <row r="7238" spans="1:2" x14ac:dyDescent="0.25">
      <c r="A7238">
        <v>7238</v>
      </c>
      <c r="B7238" t="str">
        <f t="shared" si="113"/>
        <v>᱆</v>
      </c>
    </row>
    <row r="7239" spans="1:2" x14ac:dyDescent="0.25">
      <c r="A7239">
        <v>7239</v>
      </c>
      <c r="B7239" t="str">
        <f t="shared" si="113"/>
        <v>᱇</v>
      </c>
    </row>
    <row r="7240" spans="1:2" x14ac:dyDescent="0.25">
      <c r="A7240">
        <v>7240</v>
      </c>
      <c r="B7240" t="str">
        <f t="shared" si="113"/>
        <v>᱈</v>
      </c>
    </row>
    <row r="7241" spans="1:2" x14ac:dyDescent="0.25">
      <c r="A7241">
        <v>7241</v>
      </c>
      <c r="B7241" t="str">
        <f t="shared" si="113"/>
        <v>᱉</v>
      </c>
    </row>
    <row r="7242" spans="1:2" x14ac:dyDescent="0.25">
      <c r="A7242">
        <v>7242</v>
      </c>
      <c r="B7242" t="str">
        <f t="shared" si="113"/>
        <v>᱊</v>
      </c>
    </row>
    <row r="7243" spans="1:2" x14ac:dyDescent="0.25">
      <c r="A7243">
        <v>7243</v>
      </c>
      <c r="B7243" t="str">
        <f t="shared" si="113"/>
        <v>᱋</v>
      </c>
    </row>
    <row r="7244" spans="1:2" x14ac:dyDescent="0.25">
      <c r="A7244">
        <v>7244</v>
      </c>
      <c r="B7244" t="str">
        <f t="shared" si="113"/>
        <v>᱌</v>
      </c>
    </row>
    <row r="7245" spans="1:2" x14ac:dyDescent="0.25">
      <c r="A7245">
        <v>7245</v>
      </c>
      <c r="B7245" t="str">
        <f t="shared" si="113"/>
        <v>ᱍ</v>
      </c>
    </row>
    <row r="7246" spans="1:2" x14ac:dyDescent="0.25">
      <c r="A7246">
        <v>7246</v>
      </c>
      <c r="B7246" t="str">
        <f t="shared" si="113"/>
        <v>ᱎ</v>
      </c>
    </row>
    <row r="7247" spans="1:2" x14ac:dyDescent="0.25">
      <c r="A7247">
        <v>7247</v>
      </c>
      <c r="B7247" t="str">
        <f t="shared" si="113"/>
        <v>ᱏ</v>
      </c>
    </row>
    <row r="7248" spans="1:2" x14ac:dyDescent="0.25">
      <c r="A7248">
        <v>7248</v>
      </c>
      <c r="B7248" t="str">
        <f t="shared" si="113"/>
        <v>᱐</v>
      </c>
    </row>
    <row r="7249" spans="1:2" x14ac:dyDescent="0.25">
      <c r="A7249">
        <v>7249</v>
      </c>
      <c r="B7249" t="str">
        <f t="shared" si="113"/>
        <v>᱑</v>
      </c>
    </row>
    <row r="7250" spans="1:2" x14ac:dyDescent="0.25">
      <c r="A7250">
        <v>7250</v>
      </c>
      <c r="B7250" t="str">
        <f t="shared" si="113"/>
        <v>᱒</v>
      </c>
    </row>
    <row r="7251" spans="1:2" x14ac:dyDescent="0.25">
      <c r="A7251">
        <v>7251</v>
      </c>
      <c r="B7251" t="str">
        <f t="shared" si="113"/>
        <v>᱓</v>
      </c>
    </row>
    <row r="7252" spans="1:2" x14ac:dyDescent="0.25">
      <c r="A7252">
        <v>7252</v>
      </c>
      <c r="B7252" t="str">
        <f t="shared" si="113"/>
        <v>᱔</v>
      </c>
    </row>
    <row r="7253" spans="1:2" x14ac:dyDescent="0.25">
      <c r="A7253">
        <v>7253</v>
      </c>
      <c r="B7253" t="str">
        <f t="shared" si="113"/>
        <v>᱕</v>
      </c>
    </row>
    <row r="7254" spans="1:2" x14ac:dyDescent="0.25">
      <c r="A7254">
        <v>7254</v>
      </c>
      <c r="B7254" t="str">
        <f t="shared" si="113"/>
        <v>᱖</v>
      </c>
    </row>
    <row r="7255" spans="1:2" x14ac:dyDescent="0.25">
      <c r="A7255">
        <v>7255</v>
      </c>
      <c r="B7255" t="str">
        <f t="shared" si="113"/>
        <v>᱗</v>
      </c>
    </row>
    <row r="7256" spans="1:2" x14ac:dyDescent="0.25">
      <c r="A7256">
        <v>7256</v>
      </c>
      <c r="B7256" t="str">
        <f t="shared" si="113"/>
        <v>᱘</v>
      </c>
    </row>
    <row r="7257" spans="1:2" x14ac:dyDescent="0.25">
      <c r="A7257">
        <v>7257</v>
      </c>
      <c r="B7257" t="str">
        <f t="shared" si="113"/>
        <v>᱙</v>
      </c>
    </row>
    <row r="7258" spans="1:2" x14ac:dyDescent="0.25">
      <c r="A7258">
        <v>7258</v>
      </c>
      <c r="B7258" t="str">
        <f t="shared" si="113"/>
        <v>ᱚ</v>
      </c>
    </row>
    <row r="7259" spans="1:2" x14ac:dyDescent="0.25">
      <c r="A7259">
        <v>7259</v>
      </c>
      <c r="B7259" t="str">
        <f t="shared" si="113"/>
        <v>ᱛ</v>
      </c>
    </row>
    <row r="7260" spans="1:2" x14ac:dyDescent="0.25">
      <c r="A7260">
        <v>7260</v>
      </c>
      <c r="B7260" t="str">
        <f t="shared" si="113"/>
        <v>ᱜ</v>
      </c>
    </row>
    <row r="7261" spans="1:2" x14ac:dyDescent="0.25">
      <c r="A7261">
        <v>7261</v>
      </c>
      <c r="B7261" t="str">
        <f t="shared" si="113"/>
        <v>ᱝ</v>
      </c>
    </row>
    <row r="7262" spans="1:2" x14ac:dyDescent="0.25">
      <c r="A7262">
        <v>7262</v>
      </c>
      <c r="B7262" t="str">
        <f t="shared" si="113"/>
        <v>ᱞ</v>
      </c>
    </row>
    <row r="7263" spans="1:2" x14ac:dyDescent="0.25">
      <c r="A7263">
        <v>7263</v>
      </c>
      <c r="B7263" t="str">
        <f t="shared" si="113"/>
        <v>ᱟ</v>
      </c>
    </row>
    <row r="7264" spans="1:2" x14ac:dyDescent="0.25">
      <c r="A7264">
        <v>7264</v>
      </c>
      <c r="B7264" t="str">
        <f t="shared" si="113"/>
        <v>ᱠ</v>
      </c>
    </row>
    <row r="7265" spans="1:2" x14ac:dyDescent="0.25">
      <c r="A7265">
        <v>7265</v>
      </c>
      <c r="B7265" t="str">
        <f t="shared" si="113"/>
        <v>ᱡ</v>
      </c>
    </row>
    <row r="7266" spans="1:2" x14ac:dyDescent="0.25">
      <c r="A7266">
        <v>7266</v>
      </c>
      <c r="B7266" t="str">
        <f t="shared" si="113"/>
        <v>ᱢ</v>
      </c>
    </row>
    <row r="7267" spans="1:2" x14ac:dyDescent="0.25">
      <c r="A7267">
        <v>7267</v>
      </c>
      <c r="B7267" t="str">
        <f t="shared" si="113"/>
        <v>ᱣ</v>
      </c>
    </row>
    <row r="7268" spans="1:2" x14ac:dyDescent="0.25">
      <c r="A7268">
        <v>7268</v>
      </c>
      <c r="B7268" t="str">
        <f t="shared" si="113"/>
        <v>ᱤ</v>
      </c>
    </row>
    <row r="7269" spans="1:2" x14ac:dyDescent="0.25">
      <c r="A7269">
        <v>7269</v>
      </c>
      <c r="B7269" t="str">
        <f t="shared" si="113"/>
        <v>ᱥ</v>
      </c>
    </row>
    <row r="7270" spans="1:2" x14ac:dyDescent="0.25">
      <c r="A7270">
        <v>7270</v>
      </c>
      <c r="B7270" t="str">
        <f t="shared" si="113"/>
        <v>ᱦ</v>
      </c>
    </row>
    <row r="7271" spans="1:2" x14ac:dyDescent="0.25">
      <c r="A7271">
        <v>7271</v>
      </c>
      <c r="B7271" t="str">
        <f t="shared" si="113"/>
        <v>ᱧ</v>
      </c>
    </row>
    <row r="7272" spans="1:2" x14ac:dyDescent="0.25">
      <c r="A7272">
        <v>7272</v>
      </c>
      <c r="B7272" t="str">
        <f t="shared" si="113"/>
        <v>ᱨ</v>
      </c>
    </row>
    <row r="7273" spans="1:2" x14ac:dyDescent="0.25">
      <c r="A7273">
        <v>7273</v>
      </c>
      <c r="B7273" t="str">
        <f t="shared" si="113"/>
        <v>ᱩ</v>
      </c>
    </row>
    <row r="7274" spans="1:2" x14ac:dyDescent="0.25">
      <c r="A7274">
        <v>7274</v>
      </c>
      <c r="B7274" t="str">
        <f t="shared" si="113"/>
        <v>ᱪ</v>
      </c>
    </row>
    <row r="7275" spans="1:2" x14ac:dyDescent="0.25">
      <c r="A7275">
        <v>7275</v>
      </c>
      <c r="B7275" t="str">
        <f t="shared" si="113"/>
        <v>ᱫ</v>
      </c>
    </row>
    <row r="7276" spans="1:2" x14ac:dyDescent="0.25">
      <c r="A7276">
        <v>7276</v>
      </c>
      <c r="B7276" t="str">
        <f t="shared" si="113"/>
        <v>ᱬ</v>
      </c>
    </row>
    <row r="7277" spans="1:2" x14ac:dyDescent="0.25">
      <c r="A7277">
        <v>7277</v>
      </c>
      <c r="B7277" t="str">
        <f t="shared" si="113"/>
        <v>ᱭ</v>
      </c>
    </row>
    <row r="7278" spans="1:2" x14ac:dyDescent="0.25">
      <c r="A7278">
        <v>7278</v>
      </c>
      <c r="B7278" t="str">
        <f t="shared" si="113"/>
        <v>ᱮ</v>
      </c>
    </row>
    <row r="7279" spans="1:2" x14ac:dyDescent="0.25">
      <c r="A7279">
        <v>7279</v>
      </c>
      <c r="B7279" t="str">
        <f t="shared" si="113"/>
        <v>ᱯ</v>
      </c>
    </row>
    <row r="7280" spans="1:2" x14ac:dyDescent="0.25">
      <c r="A7280">
        <v>7280</v>
      </c>
      <c r="B7280" t="str">
        <f t="shared" si="113"/>
        <v>ᱰ</v>
      </c>
    </row>
    <row r="7281" spans="1:2" x14ac:dyDescent="0.25">
      <c r="A7281">
        <v>7281</v>
      </c>
      <c r="B7281" t="str">
        <f t="shared" si="113"/>
        <v>ᱱ</v>
      </c>
    </row>
    <row r="7282" spans="1:2" x14ac:dyDescent="0.25">
      <c r="A7282">
        <v>7282</v>
      </c>
      <c r="B7282" t="str">
        <f t="shared" si="113"/>
        <v>ᱲ</v>
      </c>
    </row>
    <row r="7283" spans="1:2" x14ac:dyDescent="0.25">
      <c r="A7283">
        <v>7283</v>
      </c>
      <c r="B7283" t="str">
        <f t="shared" si="113"/>
        <v>ᱳ</v>
      </c>
    </row>
    <row r="7284" spans="1:2" x14ac:dyDescent="0.25">
      <c r="A7284">
        <v>7284</v>
      </c>
      <c r="B7284" t="str">
        <f t="shared" si="113"/>
        <v>ᱴ</v>
      </c>
    </row>
    <row r="7285" spans="1:2" x14ac:dyDescent="0.25">
      <c r="A7285">
        <v>7285</v>
      </c>
      <c r="B7285" t="str">
        <f t="shared" si="113"/>
        <v>ᱵ</v>
      </c>
    </row>
    <row r="7286" spans="1:2" x14ac:dyDescent="0.25">
      <c r="A7286">
        <v>7286</v>
      </c>
      <c r="B7286" t="str">
        <f t="shared" si="113"/>
        <v>ᱶ</v>
      </c>
    </row>
    <row r="7287" spans="1:2" x14ac:dyDescent="0.25">
      <c r="A7287">
        <v>7287</v>
      </c>
      <c r="B7287" t="str">
        <f t="shared" si="113"/>
        <v>ᱷ</v>
      </c>
    </row>
    <row r="7288" spans="1:2" x14ac:dyDescent="0.25">
      <c r="A7288">
        <v>7288</v>
      </c>
      <c r="B7288" t="str">
        <f t="shared" si="113"/>
        <v>ᱸ</v>
      </c>
    </row>
    <row r="7289" spans="1:2" x14ac:dyDescent="0.25">
      <c r="A7289">
        <v>7289</v>
      </c>
      <c r="B7289" t="str">
        <f t="shared" si="113"/>
        <v>ᱹ</v>
      </c>
    </row>
    <row r="7290" spans="1:2" x14ac:dyDescent="0.25">
      <c r="A7290">
        <v>7290</v>
      </c>
      <c r="B7290" t="str">
        <f t="shared" si="113"/>
        <v>ᱺ</v>
      </c>
    </row>
    <row r="7291" spans="1:2" x14ac:dyDescent="0.25">
      <c r="A7291">
        <v>7291</v>
      </c>
      <c r="B7291" t="str">
        <f t="shared" si="113"/>
        <v>ᱻ</v>
      </c>
    </row>
    <row r="7292" spans="1:2" x14ac:dyDescent="0.25">
      <c r="A7292">
        <v>7292</v>
      </c>
      <c r="B7292" t="str">
        <f t="shared" si="113"/>
        <v>ᱼ</v>
      </c>
    </row>
    <row r="7293" spans="1:2" x14ac:dyDescent="0.25">
      <c r="A7293">
        <v>7293</v>
      </c>
      <c r="B7293" t="str">
        <f t="shared" si="113"/>
        <v>ᱽ</v>
      </c>
    </row>
    <row r="7294" spans="1:2" x14ac:dyDescent="0.25">
      <c r="A7294">
        <v>7294</v>
      </c>
      <c r="B7294" t="str">
        <f t="shared" si="113"/>
        <v>᱾</v>
      </c>
    </row>
    <row r="7295" spans="1:2" x14ac:dyDescent="0.25">
      <c r="A7295">
        <v>7295</v>
      </c>
      <c r="B7295" t="str">
        <f t="shared" si="113"/>
        <v>᱿</v>
      </c>
    </row>
    <row r="7296" spans="1:2" x14ac:dyDescent="0.25">
      <c r="A7296">
        <v>7296</v>
      </c>
      <c r="B7296" t="str">
        <f t="shared" si="113"/>
        <v>ᲀ</v>
      </c>
    </row>
    <row r="7297" spans="1:2" x14ac:dyDescent="0.25">
      <c r="A7297">
        <v>7297</v>
      </c>
      <c r="B7297" t="str">
        <f t="shared" si="113"/>
        <v>ᲁ</v>
      </c>
    </row>
    <row r="7298" spans="1:2" x14ac:dyDescent="0.25">
      <c r="A7298">
        <v>7298</v>
      </c>
      <c r="B7298" t="str">
        <f t="shared" ref="B7298:B7361" si="114">_xlfn.UNICHAR(A7298)</f>
        <v>ᲂ</v>
      </c>
    </row>
    <row r="7299" spans="1:2" x14ac:dyDescent="0.25">
      <c r="A7299">
        <v>7299</v>
      </c>
      <c r="B7299" t="str">
        <f t="shared" si="114"/>
        <v>ᲃ</v>
      </c>
    </row>
    <row r="7300" spans="1:2" x14ac:dyDescent="0.25">
      <c r="A7300">
        <v>7300</v>
      </c>
      <c r="B7300" t="str">
        <f t="shared" si="114"/>
        <v>ᲄ</v>
      </c>
    </row>
    <row r="7301" spans="1:2" x14ac:dyDescent="0.25">
      <c r="A7301">
        <v>7301</v>
      </c>
      <c r="B7301" t="str">
        <f t="shared" si="114"/>
        <v>ᲅ</v>
      </c>
    </row>
    <row r="7302" spans="1:2" x14ac:dyDescent="0.25">
      <c r="A7302">
        <v>7302</v>
      </c>
      <c r="B7302" t="str">
        <f t="shared" si="114"/>
        <v>ᲆ</v>
      </c>
    </row>
    <row r="7303" spans="1:2" x14ac:dyDescent="0.25">
      <c r="A7303">
        <v>7303</v>
      </c>
      <c r="B7303" t="str">
        <f t="shared" si="114"/>
        <v>ᲇ</v>
      </c>
    </row>
    <row r="7304" spans="1:2" x14ac:dyDescent="0.25">
      <c r="A7304">
        <v>7304</v>
      </c>
      <c r="B7304" t="str">
        <f t="shared" si="114"/>
        <v>ᲈ</v>
      </c>
    </row>
    <row r="7305" spans="1:2" x14ac:dyDescent="0.25">
      <c r="A7305">
        <v>7305</v>
      </c>
      <c r="B7305" t="str">
        <f t="shared" si="114"/>
        <v>Ᲊ</v>
      </c>
    </row>
    <row r="7306" spans="1:2" x14ac:dyDescent="0.25">
      <c r="A7306">
        <v>7306</v>
      </c>
      <c r="B7306" t="str">
        <f t="shared" si="114"/>
        <v>ᲊ</v>
      </c>
    </row>
    <row r="7307" spans="1:2" x14ac:dyDescent="0.25">
      <c r="A7307">
        <v>7307</v>
      </c>
      <c r="B7307" t="str">
        <f t="shared" si="114"/>
        <v>᲋</v>
      </c>
    </row>
    <row r="7308" spans="1:2" x14ac:dyDescent="0.25">
      <c r="A7308">
        <v>7308</v>
      </c>
      <c r="B7308" t="str">
        <f t="shared" si="114"/>
        <v>᲌</v>
      </c>
    </row>
    <row r="7309" spans="1:2" x14ac:dyDescent="0.25">
      <c r="A7309">
        <v>7309</v>
      </c>
      <c r="B7309" t="str">
        <f t="shared" si="114"/>
        <v>᲍</v>
      </c>
    </row>
    <row r="7310" spans="1:2" x14ac:dyDescent="0.25">
      <c r="A7310">
        <v>7310</v>
      </c>
      <c r="B7310" t="str">
        <f t="shared" si="114"/>
        <v>᲎</v>
      </c>
    </row>
    <row r="7311" spans="1:2" x14ac:dyDescent="0.25">
      <c r="A7311">
        <v>7311</v>
      </c>
      <c r="B7311" t="str">
        <f t="shared" si="114"/>
        <v>᲏</v>
      </c>
    </row>
    <row r="7312" spans="1:2" x14ac:dyDescent="0.25">
      <c r="A7312">
        <v>7312</v>
      </c>
      <c r="B7312" t="str">
        <f t="shared" si="114"/>
        <v>Ა</v>
      </c>
    </row>
    <row r="7313" spans="1:2" x14ac:dyDescent="0.25">
      <c r="A7313">
        <v>7313</v>
      </c>
      <c r="B7313" t="str">
        <f t="shared" si="114"/>
        <v>Ბ</v>
      </c>
    </row>
    <row r="7314" spans="1:2" x14ac:dyDescent="0.25">
      <c r="A7314">
        <v>7314</v>
      </c>
      <c r="B7314" t="str">
        <f t="shared" si="114"/>
        <v>Გ</v>
      </c>
    </row>
    <row r="7315" spans="1:2" x14ac:dyDescent="0.25">
      <c r="A7315">
        <v>7315</v>
      </c>
      <c r="B7315" t="str">
        <f t="shared" si="114"/>
        <v>Დ</v>
      </c>
    </row>
    <row r="7316" spans="1:2" x14ac:dyDescent="0.25">
      <c r="A7316">
        <v>7316</v>
      </c>
      <c r="B7316" t="str">
        <f t="shared" si="114"/>
        <v>Ე</v>
      </c>
    </row>
    <row r="7317" spans="1:2" x14ac:dyDescent="0.25">
      <c r="A7317">
        <v>7317</v>
      </c>
      <c r="B7317" t="str">
        <f t="shared" si="114"/>
        <v>Ვ</v>
      </c>
    </row>
    <row r="7318" spans="1:2" x14ac:dyDescent="0.25">
      <c r="A7318">
        <v>7318</v>
      </c>
      <c r="B7318" t="str">
        <f t="shared" si="114"/>
        <v>Ზ</v>
      </c>
    </row>
    <row r="7319" spans="1:2" x14ac:dyDescent="0.25">
      <c r="A7319">
        <v>7319</v>
      </c>
      <c r="B7319" t="str">
        <f t="shared" si="114"/>
        <v>Თ</v>
      </c>
    </row>
    <row r="7320" spans="1:2" x14ac:dyDescent="0.25">
      <c r="A7320">
        <v>7320</v>
      </c>
      <c r="B7320" t="str">
        <f t="shared" si="114"/>
        <v>Ი</v>
      </c>
    </row>
    <row r="7321" spans="1:2" x14ac:dyDescent="0.25">
      <c r="A7321">
        <v>7321</v>
      </c>
      <c r="B7321" t="str">
        <f t="shared" si="114"/>
        <v>Კ</v>
      </c>
    </row>
    <row r="7322" spans="1:2" x14ac:dyDescent="0.25">
      <c r="A7322">
        <v>7322</v>
      </c>
      <c r="B7322" t="str">
        <f t="shared" si="114"/>
        <v>Ლ</v>
      </c>
    </row>
    <row r="7323" spans="1:2" x14ac:dyDescent="0.25">
      <c r="A7323">
        <v>7323</v>
      </c>
      <c r="B7323" t="str">
        <f t="shared" si="114"/>
        <v>Მ</v>
      </c>
    </row>
    <row r="7324" spans="1:2" x14ac:dyDescent="0.25">
      <c r="A7324">
        <v>7324</v>
      </c>
      <c r="B7324" t="str">
        <f t="shared" si="114"/>
        <v>Ნ</v>
      </c>
    </row>
    <row r="7325" spans="1:2" x14ac:dyDescent="0.25">
      <c r="A7325">
        <v>7325</v>
      </c>
      <c r="B7325" t="str">
        <f t="shared" si="114"/>
        <v>Ო</v>
      </c>
    </row>
    <row r="7326" spans="1:2" x14ac:dyDescent="0.25">
      <c r="A7326">
        <v>7326</v>
      </c>
      <c r="B7326" t="str">
        <f t="shared" si="114"/>
        <v>Პ</v>
      </c>
    </row>
    <row r="7327" spans="1:2" x14ac:dyDescent="0.25">
      <c r="A7327">
        <v>7327</v>
      </c>
      <c r="B7327" t="str">
        <f t="shared" si="114"/>
        <v>Ჟ</v>
      </c>
    </row>
    <row r="7328" spans="1:2" x14ac:dyDescent="0.25">
      <c r="A7328">
        <v>7328</v>
      </c>
      <c r="B7328" t="str">
        <f t="shared" si="114"/>
        <v>Რ</v>
      </c>
    </row>
    <row r="7329" spans="1:2" x14ac:dyDescent="0.25">
      <c r="A7329">
        <v>7329</v>
      </c>
      <c r="B7329" t="str">
        <f t="shared" si="114"/>
        <v>Ს</v>
      </c>
    </row>
    <row r="7330" spans="1:2" x14ac:dyDescent="0.25">
      <c r="A7330">
        <v>7330</v>
      </c>
      <c r="B7330" t="str">
        <f t="shared" si="114"/>
        <v>Ტ</v>
      </c>
    </row>
    <row r="7331" spans="1:2" x14ac:dyDescent="0.25">
      <c r="A7331">
        <v>7331</v>
      </c>
      <c r="B7331" t="str">
        <f t="shared" si="114"/>
        <v>Უ</v>
      </c>
    </row>
    <row r="7332" spans="1:2" x14ac:dyDescent="0.25">
      <c r="A7332">
        <v>7332</v>
      </c>
      <c r="B7332" t="str">
        <f t="shared" si="114"/>
        <v>Ფ</v>
      </c>
    </row>
    <row r="7333" spans="1:2" x14ac:dyDescent="0.25">
      <c r="A7333">
        <v>7333</v>
      </c>
      <c r="B7333" t="str">
        <f t="shared" si="114"/>
        <v>Ქ</v>
      </c>
    </row>
    <row r="7334" spans="1:2" x14ac:dyDescent="0.25">
      <c r="A7334">
        <v>7334</v>
      </c>
      <c r="B7334" t="str">
        <f t="shared" si="114"/>
        <v>Ღ</v>
      </c>
    </row>
    <row r="7335" spans="1:2" x14ac:dyDescent="0.25">
      <c r="A7335">
        <v>7335</v>
      </c>
      <c r="B7335" t="str">
        <f t="shared" si="114"/>
        <v>Ყ</v>
      </c>
    </row>
    <row r="7336" spans="1:2" x14ac:dyDescent="0.25">
      <c r="A7336">
        <v>7336</v>
      </c>
      <c r="B7336" t="str">
        <f t="shared" si="114"/>
        <v>Შ</v>
      </c>
    </row>
    <row r="7337" spans="1:2" x14ac:dyDescent="0.25">
      <c r="A7337">
        <v>7337</v>
      </c>
      <c r="B7337" t="str">
        <f t="shared" si="114"/>
        <v>Ჩ</v>
      </c>
    </row>
    <row r="7338" spans="1:2" x14ac:dyDescent="0.25">
      <c r="A7338">
        <v>7338</v>
      </c>
      <c r="B7338" t="str">
        <f t="shared" si="114"/>
        <v>Ც</v>
      </c>
    </row>
    <row r="7339" spans="1:2" x14ac:dyDescent="0.25">
      <c r="A7339">
        <v>7339</v>
      </c>
      <c r="B7339" t="str">
        <f t="shared" si="114"/>
        <v>Ძ</v>
      </c>
    </row>
    <row r="7340" spans="1:2" x14ac:dyDescent="0.25">
      <c r="A7340">
        <v>7340</v>
      </c>
      <c r="B7340" t="str">
        <f t="shared" si="114"/>
        <v>Წ</v>
      </c>
    </row>
    <row r="7341" spans="1:2" x14ac:dyDescent="0.25">
      <c r="A7341">
        <v>7341</v>
      </c>
      <c r="B7341" t="str">
        <f t="shared" si="114"/>
        <v>Ჭ</v>
      </c>
    </row>
    <row r="7342" spans="1:2" x14ac:dyDescent="0.25">
      <c r="A7342">
        <v>7342</v>
      </c>
      <c r="B7342" t="str">
        <f t="shared" si="114"/>
        <v>Ხ</v>
      </c>
    </row>
    <row r="7343" spans="1:2" x14ac:dyDescent="0.25">
      <c r="A7343">
        <v>7343</v>
      </c>
      <c r="B7343" t="str">
        <f t="shared" si="114"/>
        <v>Ჯ</v>
      </c>
    </row>
    <row r="7344" spans="1:2" x14ac:dyDescent="0.25">
      <c r="A7344">
        <v>7344</v>
      </c>
      <c r="B7344" t="str">
        <f t="shared" si="114"/>
        <v>Ჰ</v>
      </c>
    </row>
    <row r="7345" spans="1:2" x14ac:dyDescent="0.25">
      <c r="A7345">
        <v>7345</v>
      </c>
      <c r="B7345" t="str">
        <f t="shared" si="114"/>
        <v>Ჱ</v>
      </c>
    </row>
    <row r="7346" spans="1:2" x14ac:dyDescent="0.25">
      <c r="A7346">
        <v>7346</v>
      </c>
      <c r="B7346" t="str">
        <f t="shared" si="114"/>
        <v>Ჲ</v>
      </c>
    </row>
    <row r="7347" spans="1:2" x14ac:dyDescent="0.25">
      <c r="A7347">
        <v>7347</v>
      </c>
      <c r="B7347" t="str">
        <f t="shared" si="114"/>
        <v>Ჳ</v>
      </c>
    </row>
    <row r="7348" spans="1:2" x14ac:dyDescent="0.25">
      <c r="A7348">
        <v>7348</v>
      </c>
      <c r="B7348" t="str">
        <f t="shared" si="114"/>
        <v>Ჴ</v>
      </c>
    </row>
    <row r="7349" spans="1:2" x14ac:dyDescent="0.25">
      <c r="A7349">
        <v>7349</v>
      </c>
      <c r="B7349" t="str">
        <f t="shared" si="114"/>
        <v>Ჵ</v>
      </c>
    </row>
    <row r="7350" spans="1:2" x14ac:dyDescent="0.25">
      <c r="A7350">
        <v>7350</v>
      </c>
      <c r="B7350" t="str">
        <f t="shared" si="114"/>
        <v>Ჶ</v>
      </c>
    </row>
    <row r="7351" spans="1:2" x14ac:dyDescent="0.25">
      <c r="A7351">
        <v>7351</v>
      </c>
      <c r="B7351" t="str">
        <f t="shared" si="114"/>
        <v>Ჷ</v>
      </c>
    </row>
    <row r="7352" spans="1:2" x14ac:dyDescent="0.25">
      <c r="A7352">
        <v>7352</v>
      </c>
      <c r="B7352" t="str">
        <f t="shared" si="114"/>
        <v>Ჸ</v>
      </c>
    </row>
    <row r="7353" spans="1:2" x14ac:dyDescent="0.25">
      <c r="A7353">
        <v>7353</v>
      </c>
      <c r="B7353" t="str">
        <f t="shared" si="114"/>
        <v>Ჹ</v>
      </c>
    </row>
    <row r="7354" spans="1:2" x14ac:dyDescent="0.25">
      <c r="A7354">
        <v>7354</v>
      </c>
      <c r="B7354" t="str">
        <f t="shared" si="114"/>
        <v>Ჺ</v>
      </c>
    </row>
    <row r="7355" spans="1:2" x14ac:dyDescent="0.25">
      <c r="A7355">
        <v>7355</v>
      </c>
      <c r="B7355" t="str">
        <f t="shared" si="114"/>
        <v>᲻</v>
      </c>
    </row>
    <row r="7356" spans="1:2" x14ac:dyDescent="0.25">
      <c r="A7356">
        <v>7356</v>
      </c>
      <c r="B7356" t="str">
        <f t="shared" si="114"/>
        <v>᲼</v>
      </c>
    </row>
    <row r="7357" spans="1:2" x14ac:dyDescent="0.25">
      <c r="A7357">
        <v>7357</v>
      </c>
      <c r="B7357" t="str">
        <f t="shared" si="114"/>
        <v>Ჽ</v>
      </c>
    </row>
    <row r="7358" spans="1:2" x14ac:dyDescent="0.25">
      <c r="A7358">
        <v>7358</v>
      </c>
      <c r="B7358" t="str">
        <f t="shared" si="114"/>
        <v>Ჾ</v>
      </c>
    </row>
    <row r="7359" spans="1:2" x14ac:dyDescent="0.25">
      <c r="A7359">
        <v>7359</v>
      </c>
      <c r="B7359" t="str">
        <f t="shared" si="114"/>
        <v>Ჿ</v>
      </c>
    </row>
    <row r="7360" spans="1:2" x14ac:dyDescent="0.25">
      <c r="A7360">
        <v>7360</v>
      </c>
      <c r="B7360" t="str">
        <f t="shared" si="114"/>
        <v>᳀</v>
      </c>
    </row>
    <row r="7361" spans="1:2" x14ac:dyDescent="0.25">
      <c r="A7361">
        <v>7361</v>
      </c>
      <c r="B7361" t="str">
        <f t="shared" si="114"/>
        <v>᳁</v>
      </c>
    </row>
    <row r="7362" spans="1:2" x14ac:dyDescent="0.25">
      <c r="A7362">
        <v>7362</v>
      </c>
      <c r="B7362" t="str">
        <f t="shared" ref="B7362:B7425" si="115">_xlfn.UNICHAR(A7362)</f>
        <v>᳂</v>
      </c>
    </row>
    <row r="7363" spans="1:2" x14ac:dyDescent="0.25">
      <c r="A7363">
        <v>7363</v>
      </c>
      <c r="B7363" t="str">
        <f t="shared" si="115"/>
        <v>᳃</v>
      </c>
    </row>
    <row r="7364" spans="1:2" x14ac:dyDescent="0.25">
      <c r="A7364">
        <v>7364</v>
      </c>
      <c r="B7364" t="str">
        <f t="shared" si="115"/>
        <v>᳄</v>
      </c>
    </row>
    <row r="7365" spans="1:2" x14ac:dyDescent="0.25">
      <c r="A7365">
        <v>7365</v>
      </c>
      <c r="B7365" t="str">
        <f t="shared" si="115"/>
        <v>᳅</v>
      </c>
    </row>
    <row r="7366" spans="1:2" x14ac:dyDescent="0.25">
      <c r="A7366">
        <v>7366</v>
      </c>
      <c r="B7366" t="str">
        <f t="shared" si="115"/>
        <v>᳆</v>
      </c>
    </row>
    <row r="7367" spans="1:2" x14ac:dyDescent="0.25">
      <c r="A7367">
        <v>7367</v>
      </c>
      <c r="B7367" t="str">
        <f t="shared" si="115"/>
        <v>᳇</v>
      </c>
    </row>
    <row r="7368" spans="1:2" x14ac:dyDescent="0.25">
      <c r="A7368">
        <v>7368</v>
      </c>
      <c r="B7368" t="str">
        <f t="shared" si="115"/>
        <v>᳈</v>
      </c>
    </row>
    <row r="7369" spans="1:2" x14ac:dyDescent="0.25">
      <c r="A7369">
        <v>7369</v>
      </c>
      <c r="B7369" t="str">
        <f t="shared" si="115"/>
        <v>᳉</v>
      </c>
    </row>
    <row r="7370" spans="1:2" x14ac:dyDescent="0.25">
      <c r="A7370">
        <v>7370</v>
      </c>
      <c r="B7370" t="str">
        <f t="shared" si="115"/>
        <v>᳊</v>
      </c>
    </row>
    <row r="7371" spans="1:2" x14ac:dyDescent="0.25">
      <c r="A7371">
        <v>7371</v>
      </c>
      <c r="B7371" t="str">
        <f t="shared" si="115"/>
        <v>᳋</v>
      </c>
    </row>
    <row r="7372" spans="1:2" x14ac:dyDescent="0.25">
      <c r="A7372">
        <v>7372</v>
      </c>
      <c r="B7372" t="str">
        <f t="shared" si="115"/>
        <v>᳌</v>
      </c>
    </row>
    <row r="7373" spans="1:2" x14ac:dyDescent="0.25">
      <c r="A7373">
        <v>7373</v>
      </c>
      <c r="B7373" t="str">
        <f t="shared" si="115"/>
        <v>᳍</v>
      </c>
    </row>
    <row r="7374" spans="1:2" x14ac:dyDescent="0.25">
      <c r="A7374">
        <v>7374</v>
      </c>
      <c r="B7374" t="str">
        <f t="shared" si="115"/>
        <v>᳎</v>
      </c>
    </row>
    <row r="7375" spans="1:2" x14ac:dyDescent="0.25">
      <c r="A7375">
        <v>7375</v>
      </c>
      <c r="B7375" t="str">
        <f t="shared" si="115"/>
        <v>᳏</v>
      </c>
    </row>
    <row r="7376" spans="1:2" x14ac:dyDescent="0.25">
      <c r="A7376">
        <v>7376</v>
      </c>
      <c r="B7376" t="str">
        <f t="shared" si="115"/>
        <v>᳐</v>
      </c>
    </row>
    <row r="7377" spans="1:2" x14ac:dyDescent="0.25">
      <c r="A7377">
        <v>7377</v>
      </c>
      <c r="B7377" t="str">
        <f t="shared" si="115"/>
        <v>᳑</v>
      </c>
    </row>
    <row r="7378" spans="1:2" x14ac:dyDescent="0.25">
      <c r="A7378">
        <v>7378</v>
      </c>
      <c r="B7378" t="str">
        <f t="shared" si="115"/>
        <v>᳒</v>
      </c>
    </row>
    <row r="7379" spans="1:2" x14ac:dyDescent="0.25">
      <c r="A7379">
        <v>7379</v>
      </c>
      <c r="B7379" t="str">
        <f t="shared" si="115"/>
        <v>᳓</v>
      </c>
    </row>
    <row r="7380" spans="1:2" x14ac:dyDescent="0.25">
      <c r="A7380">
        <v>7380</v>
      </c>
      <c r="B7380" t="str">
        <f t="shared" si="115"/>
        <v>᳔</v>
      </c>
    </row>
    <row r="7381" spans="1:2" x14ac:dyDescent="0.25">
      <c r="A7381">
        <v>7381</v>
      </c>
      <c r="B7381" t="str">
        <f t="shared" si="115"/>
        <v>᳕</v>
      </c>
    </row>
    <row r="7382" spans="1:2" x14ac:dyDescent="0.25">
      <c r="A7382">
        <v>7382</v>
      </c>
      <c r="B7382" t="str">
        <f t="shared" si="115"/>
        <v>᳖</v>
      </c>
    </row>
    <row r="7383" spans="1:2" x14ac:dyDescent="0.25">
      <c r="A7383">
        <v>7383</v>
      </c>
      <c r="B7383" t="str">
        <f t="shared" si="115"/>
        <v>᳗</v>
      </c>
    </row>
    <row r="7384" spans="1:2" x14ac:dyDescent="0.25">
      <c r="A7384">
        <v>7384</v>
      </c>
      <c r="B7384" t="str">
        <f t="shared" si="115"/>
        <v>᳘</v>
      </c>
    </row>
    <row r="7385" spans="1:2" x14ac:dyDescent="0.25">
      <c r="A7385">
        <v>7385</v>
      </c>
      <c r="B7385" t="str">
        <f t="shared" si="115"/>
        <v>᳙</v>
      </c>
    </row>
    <row r="7386" spans="1:2" x14ac:dyDescent="0.25">
      <c r="A7386">
        <v>7386</v>
      </c>
      <c r="B7386" t="str">
        <f t="shared" si="115"/>
        <v>᳚</v>
      </c>
    </row>
    <row r="7387" spans="1:2" x14ac:dyDescent="0.25">
      <c r="A7387">
        <v>7387</v>
      </c>
      <c r="B7387" t="str">
        <f t="shared" si="115"/>
        <v>᳛</v>
      </c>
    </row>
    <row r="7388" spans="1:2" x14ac:dyDescent="0.25">
      <c r="A7388">
        <v>7388</v>
      </c>
      <c r="B7388" t="str">
        <f t="shared" si="115"/>
        <v>᳜</v>
      </c>
    </row>
    <row r="7389" spans="1:2" x14ac:dyDescent="0.25">
      <c r="A7389">
        <v>7389</v>
      </c>
      <c r="B7389" t="str">
        <f t="shared" si="115"/>
        <v>᳝</v>
      </c>
    </row>
    <row r="7390" spans="1:2" x14ac:dyDescent="0.25">
      <c r="A7390">
        <v>7390</v>
      </c>
      <c r="B7390" t="str">
        <f t="shared" si="115"/>
        <v>᳞</v>
      </c>
    </row>
    <row r="7391" spans="1:2" x14ac:dyDescent="0.25">
      <c r="A7391">
        <v>7391</v>
      </c>
      <c r="B7391" t="str">
        <f t="shared" si="115"/>
        <v>᳟</v>
      </c>
    </row>
    <row r="7392" spans="1:2" x14ac:dyDescent="0.25">
      <c r="A7392">
        <v>7392</v>
      </c>
      <c r="B7392" t="str">
        <f t="shared" si="115"/>
        <v>᳠</v>
      </c>
    </row>
    <row r="7393" spans="1:2" x14ac:dyDescent="0.25">
      <c r="A7393">
        <v>7393</v>
      </c>
      <c r="B7393" t="str">
        <f t="shared" si="115"/>
        <v>᳡</v>
      </c>
    </row>
    <row r="7394" spans="1:2" x14ac:dyDescent="0.25">
      <c r="A7394">
        <v>7394</v>
      </c>
      <c r="B7394" t="str">
        <f t="shared" si="115"/>
        <v>᳢</v>
      </c>
    </row>
    <row r="7395" spans="1:2" x14ac:dyDescent="0.25">
      <c r="A7395">
        <v>7395</v>
      </c>
      <c r="B7395" t="str">
        <f t="shared" si="115"/>
        <v>᳣</v>
      </c>
    </row>
    <row r="7396" spans="1:2" x14ac:dyDescent="0.25">
      <c r="A7396">
        <v>7396</v>
      </c>
      <c r="B7396" t="str">
        <f t="shared" si="115"/>
        <v>᳤</v>
      </c>
    </row>
    <row r="7397" spans="1:2" x14ac:dyDescent="0.25">
      <c r="A7397">
        <v>7397</v>
      </c>
      <c r="B7397" t="str">
        <f t="shared" si="115"/>
        <v>᳥</v>
      </c>
    </row>
    <row r="7398" spans="1:2" x14ac:dyDescent="0.25">
      <c r="A7398">
        <v>7398</v>
      </c>
      <c r="B7398" t="str">
        <f t="shared" si="115"/>
        <v>᳦</v>
      </c>
    </row>
    <row r="7399" spans="1:2" x14ac:dyDescent="0.25">
      <c r="A7399">
        <v>7399</v>
      </c>
      <c r="B7399" t="str">
        <f t="shared" si="115"/>
        <v>᳧</v>
      </c>
    </row>
    <row r="7400" spans="1:2" x14ac:dyDescent="0.25">
      <c r="A7400">
        <v>7400</v>
      </c>
      <c r="B7400" t="str">
        <f t="shared" si="115"/>
        <v>᳨</v>
      </c>
    </row>
    <row r="7401" spans="1:2" x14ac:dyDescent="0.25">
      <c r="A7401">
        <v>7401</v>
      </c>
      <c r="B7401" t="str">
        <f t="shared" si="115"/>
        <v>ᳩ</v>
      </c>
    </row>
    <row r="7402" spans="1:2" x14ac:dyDescent="0.25">
      <c r="A7402">
        <v>7402</v>
      </c>
      <c r="B7402" t="str">
        <f t="shared" si="115"/>
        <v>ᳪ</v>
      </c>
    </row>
    <row r="7403" spans="1:2" x14ac:dyDescent="0.25">
      <c r="A7403">
        <v>7403</v>
      </c>
      <c r="B7403" t="str">
        <f t="shared" si="115"/>
        <v>ᳫ</v>
      </c>
    </row>
    <row r="7404" spans="1:2" x14ac:dyDescent="0.25">
      <c r="A7404">
        <v>7404</v>
      </c>
      <c r="B7404" t="str">
        <f t="shared" si="115"/>
        <v>ᳬ</v>
      </c>
    </row>
    <row r="7405" spans="1:2" x14ac:dyDescent="0.25">
      <c r="A7405">
        <v>7405</v>
      </c>
      <c r="B7405" t="str">
        <f t="shared" si="115"/>
        <v>᳭</v>
      </c>
    </row>
    <row r="7406" spans="1:2" x14ac:dyDescent="0.25">
      <c r="A7406">
        <v>7406</v>
      </c>
      <c r="B7406" t="str">
        <f t="shared" si="115"/>
        <v>ᳮ</v>
      </c>
    </row>
    <row r="7407" spans="1:2" x14ac:dyDescent="0.25">
      <c r="A7407">
        <v>7407</v>
      </c>
      <c r="B7407" t="str">
        <f t="shared" si="115"/>
        <v>ᳯ</v>
      </c>
    </row>
    <row r="7408" spans="1:2" x14ac:dyDescent="0.25">
      <c r="A7408">
        <v>7408</v>
      </c>
      <c r="B7408" t="str">
        <f t="shared" si="115"/>
        <v>ᳰ</v>
      </c>
    </row>
    <row r="7409" spans="1:2" x14ac:dyDescent="0.25">
      <c r="A7409">
        <v>7409</v>
      </c>
      <c r="B7409" t="str">
        <f t="shared" si="115"/>
        <v>ᳱ</v>
      </c>
    </row>
    <row r="7410" spans="1:2" x14ac:dyDescent="0.25">
      <c r="A7410">
        <v>7410</v>
      </c>
      <c r="B7410" t="str">
        <f t="shared" si="115"/>
        <v>ᳲ</v>
      </c>
    </row>
    <row r="7411" spans="1:2" x14ac:dyDescent="0.25">
      <c r="A7411">
        <v>7411</v>
      </c>
      <c r="B7411" t="str">
        <f t="shared" si="115"/>
        <v>ᳳ</v>
      </c>
    </row>
    <row r="7412" spans="1:2" x14ac:dyDescent="0.25">
      <c r="A7412">
        <v>7412</v>
      </c>
      <c r="B7412" t="str">
        <f t="shared" si="115"/>
        <v>᳴</v>
      </c>
    </row>
    <row r="7413" spans="1:2" x14ac:dyDescent="0.25">
      <c r="A7413">
        <v>7413</v>
      </c>
      <c r="B7413" t="str">
        <f t="shared" si="115"/>
        <v>ᳵ</v>
      </c>
    </row>
    <row r="7414" spans="1:2" x14ac:dyDescent="0.25">
      <c r="A7414">
        <v>7414</v>
      </c>
      <c r="B7414" t="str">
        <f t="shared" si="115"/>
        <v>ᳶ</v>
      </c>
    </row>
    <row r="7415" spans="1:2" x14ac:dyDescent="0.25">
      <c r="A7415">
        <v>7415</v>
      </c>
      <c r="B7415" t="str">
        <f t="shared" si="115"/>
        <v>᳷</v>
      </c>
    </row>
    <row r="7416" spans="1:2" x14ac:dyDescent="0.25">
      <c r="A7416">
        <v>7416</v>
      </c>
      <c r="B7416" t="str">
        <f t="shared" si="115"/>
        <v>᳸</v>
      </c>
    </row>
    <row r="7417" spans="1:2" x14ac:dyDescent="0.25">
      <c r="A7417">
        <v>7417</v>
      </c>
      <c r="B7417" t="str">
        <f t="shared" si="115"/>
        <v>᳹</v>
      </c>
    </row>
    <row r="7418" spans="1:2" x14ac:dyDescent="0.25">
      <c r="A7418">
        <v>7418</v>
      </c>
      <c r="B7418" t="str">
        <f t="shared" si="115"/>
        <v>ᳺ</v>
      </c>
    </row>
    <row r="7419" spans="1:2" x14ac:dyDescent="0.25">
      <c r="A7419">
        <v>7419</v>
      </c>
      <c r="B7419" t="str">
        <f t="shared" si="115"/>
        <v>᳻</v>
      </c>
    </row>
    <row r="7420" spans="1:2" x14ac:dyDescent="0.25">
      <c r="A7420">
        <v>7420</v>
      </c>
      <c r="B7420" t="str">
        <f t="shared" si="115"/>
        <v>᳼</v>
      </c>
    </row>
    <row r="7421" spans="1:2" x14ac:dyDescent="0.25">
      <c r="A7421">
        <v>7421</v>
      </c>
      <c r="B7421" t="str">
        <f t="shared" si="115"/>
        <v>᳽</v>
      </c>
    </row>
    <row r="7422" spans="1:2" x14ac:dyDescent="0.25">
      <c r="A7422">
        <v>7422</v>
      </c>
      <c r="B7422" t="str">
        <f t="shared" si="115"/>
        <v>᳾</v>
      </c>
    </row>
    <row r="7423" spans="1:2" x14ac:dyDescent="0.25">
      <c r="A7423">
        <v>7423</v>
      </c>
      <c r="B7423" t="str">
        <f t="shared" si="115"/>
        <v>᳿</v>
      </c>
    </row>
    <row r="7424" spans="1:2" x14ac:dyDescent="0.25">
      <c r="A7424">
        <v>7424</v>
      </c>
      <c r="B7424" t="str">
        <f t="shared" si="115"/>
        <v>ᴀ</v>
      </c>
    </row>
    <row r="7425" spans="1:2" x14ac:dyDescent="0.25">
      <c r="A7425">
        <v>7425</v>
      </c>
      <c r="B7425" t="str">
        <f t="shared" si="115"/>
        <v>ᴁ</v>
      </c>
    </row>
    <row r="7426" spans="1:2" x14ac:dyDescent="0.25">
      <c r="A7426">
        <v>7426</v>
      </c>
      <c r="B7426" t="str">
        <f t="shared" ref="B7426:B7489" si="116">_xlfn.UNICHAR(A7426)</f>
        <v>ᴂ</v>
      </c>
    </row>
    <row r="7427" spans="1:2" x14ac:dyDescent="0.25">
      <c r="A7427">
        <v>7427</v>
      </c>
      <c r="B7427" t="str">
        <f t="shared" si="116"/>
        <v>ᴃ</v>
      </c>
    </row>
    <row r="7428" spans="1:2" x14ac:dyDescent="0.25">
      <c r="A7428">
        <v>7428</v>
      </c>
      <c r="B7428" t="str">
        <f t="shared" si="116"/>
        <v>ᴄ</v>
      </c>
    </row>
    <row r="7429" spans="1:2" x14ac:dyDescent="0.25">
      <c r="A7429">
        <v>7429</v>
      </c>
      <c r="B7429" t="str">
        <f t="shared" si="116"/>
        <v>ᴅ</v>
      </c>
    </row>
    <row r="7430" spans="1:2" x14ac:dyDescent="0.25">
      <c r="A7430">
        <v>7430</v>
      </c>
      <c r="B7430" t="str">
        <f t="shared" si="116"/>
        <v>ᴆ</v>
      </c>
    </row>
    <row r="7431" spans="1:2" x14ac:dyDescent="0.25">
      <c r="A7431">
        <v>7431</v>
      </c>
      <c r="B7431" t="str">
        <f t="shared" si="116"/>
        <v>ᴇ</v>
      </c>
    </row>
    <row r="7432" spans="1:2" x14ac:dyDescent="0.25">
      <c r="A7432">
        <v>7432</v>
      </c>
      <c r="B7432" t="str">
        <f t="shared" si="116"/>
        <v>ᴈ</v>
      </c>
    </row>
    <row r="7433" spans="1:2" x14ac:dyDescent="0.25">
      <c r="A7433">
        <v>7433</v>
      </c>
      <c r="B7433" t="str">
        <f t="shared" si="116"/>
        <v>ᴉ</v>
      </c>
    </row>
    <row r="7434" spans="1:2" x14ac:dyDescent="0.25">
      <c r="A7434">
        <v>7434</v>
      </c>
      <c r="B7434" t="str">
        <f t="shared" si="116"/>
        <v>ᴊ</v>
      </c>
    </row>
    <row r="7435" spans="1:2" x14ac:dyDescent="0.25">
      <c r="A7435">
        <v>7435</v>
      </c>
      <c r="B7435" t="str">
        <f t="shared" si="116"/>
        <v>ᴋ</v>
      </c>
    </row>
    <row r="7436" spans="1:2" x14ac:dyDescent="0.25">
      <c r="A7436">
        <v>7436</v>
      </c>
      <c r="B7436" t="str">
        <f t="shared" si="116"/>
        <v>ᴌ</v>
      </c>
    </row>
    <row r="7437" spans="1:2" x14ac:dyDescent="0.25">
      <c r="A7437">
        <v>7437</v>
      </c>
      <c r="B7437" t="str">
        <f t="shared" si="116"/>
        <v>ᴍ</v>
      </c>
    </row>
    <row r="7438" spans="1:2" x14ac:dyDescent="0.25">
      <c r="A7438">
        <v>7438</v>
      </c>
      <c r="B7438" t="str">
        <f t="shared" si="116"/>
        <v>ᴎ</v>
      </c>
    </row>
    <row r="7439" spans="1:2" x14ac:dyDescent="0.25">
      <c r="A7439">
        <v>7439</v>
      </c>
      <c r="B7439" t="str">
        <f t="shared" si="116"/>
        <v>ᴏ</v>
      </c>
    </row>
    <row r="7440" spans="1:2" x14ac:dyDescent="0.25">
      <c r="A7440">
        <v>7440</v>
      </c>
      <c r="B7440" t="str">
        <f t="shared" si="116"/>
        <v>ᴐ</v>
      </c>
    </row>
    <row r="7441" spans="1:2" x14ac:dyDescent="0.25">
      <c r="A7441">
        <v>7441</v>
      </c>
      <c r="B7441" t="str">
        <f t="shared" si="116"/>
        <v>ᴑ</v>
      </c>
    </row>
    <row r="7442" spans="1:2" x14ac:dyDescent="0.25">
      <c r="A7442">
        <v>7442</v>
      </c>
      <c r="B7442" t="str">
        <f t="shared" si="116"/>
        <v>ᴒ</v>
      </c>
    </row>
    <row r="7443" spans="1:2" x14ac:dyDescent="0.25">
      <c r="A7443">
        <v>7443</v>
      </c>
      <c r="B7443" t="str">
        <f t="shared" si="116"/>
        <v>ᴓ</v>
      </c>
    </row>
    <row r="7444" spans="1:2" x14ac:dyDescent="0.25">
      <c r="A7444">
        <v>7444</v>
      </c>
      <c r="B7444" t="str">
        <f t="shared" si="116"/>
        <v>ᴔ</v>
      </c>
    </row>
    <row r="7445" spans="1:2" x14ac:dyDescent="0.25">
      <c r="A7445">
        <v>7445</v>
      </c>
      <c r="B7445" t="str">
        <f t="shared" si="116"/>
        <v>ᴕ</v>
      </c>
    </row>
    <row r="7446" spans="1:2" x14ac:dyDescent="0.25">
      <c r="A7446">
        <v>7446</v>
      </c>
      <c r="B7446" t="str">
        <f t="shared" si="116"/>
        <v>ᴖ</v>
      </c>
    </row>
    <row r="7447" spans="1:2" x14ac:dyDescent="0.25">
      <c r="A7447">
        <v>7447</v>
      </c>
      <c r="B7447" t="str">
        <f t="shared" si="116"/>
        <v>ᴗ</v>
      </c>
    </row>
    <row r="7448" spans="1:2" x14ac:dyDescent="0.25">
      <c r="A7448">
        <v>7448</v>
      </c>
      <c r="B7448" t="str">
        <f t="shared" si="116"/>
        <v>ᴘ</v>
      </c>
    </row>
    <row r="7449" spans="1:2" x14ac:dyDescent="0.25">
      <c r="A7449">
        <v>7449</v>
      </c>
      <c r="B7449" t="str">
        <f t="shared" si="116"/>
        <v>ᴙ</v>
      </c>
    </row>
    <row r="7450" spans="1:2" x14ac:dyDescent="0.25">
      <c r="A7450">
        <v>7450</v>
      </c>
      <c r="B7450" t="str">
        <f t="shared" si="116"/>
        <v>ᴚ</v>
      </c>
    </row>
    <row r="7451" spans="1:2" x14ac:dyDescent="0.25">
      <c r="A7451">
        <v>7451</v>
      </c>
      <c r="B7451" t="str">
        <f t="shared" si="116"/>
        <v>ᴛ</v>
      </c>
    </row>
    <row r="7452" spans="1:2" x14ac:dyDescent="0.25">
      <c r="A7452">
        <v>7452</v>
      </c>
      <c r="B7452" t="str">
        <f t="shared" si="116"/>
        <v>ᴜ</v>
      </c>
    </row>
    <row r="7453" spans="1:2" x14ac:dyDescent="0.25">
      <c r="A7453">
        <v>7453</v>
      </c>
      <c r="B7453" t="str">
        <f t="shared" si="116"/>
        <v>ᴝ</v>
      </c>
    </row>
    <row r="7454" spans="1:2" x14ac:dyDescent="0.25">
      <c r="A7454">
        <v>7454</v>
      </c>
      <c r="B7454" t="str">
        <f t="shared" si="116"/>
        <v>ᴞ</v>
      </c>
    </row>
    <row r="7455" spans="1:2" x14ac:dyDescent="0.25">
      <c r="A7455">
        <v>7455</v>
      </c>
      <c r="B7455" t="str">
        <f t="shared" si="116"/>
        <v>ᴟ</v>
      </c>
    </row>
    <row r="7456" spans="1:2" x14ac:dyDescent="0.25">
      <c r="A7456">
        <v>7456</v>
      </c>
      <c r="B7456" t="str">
        <f t="shared" si="116"/>
        <v>ᴠ</v>
      </c>
    </row>
    <row r="7457" spans="1:2" x14ac:dyDescent="0.25">
      <c r="A7457">
        <v>7457</v>
      </c>
      <c r="B7457" t="str">
        <f t="shared" si="116"/>
        <v>ᴡ</v>
      </c>
    </row>
    <row r="7458" spans="1:2" x14ac:dyDescent="0.25">
      <c r="A7458">
        <v>7458</v>
      </c>
      <c r="B7458" t="str">
        <f t="shared" si="116"/>
        <v>ᴢ</v>
      </c>
    </row>
    <row r="7459" spans="1:2" x14ac:dyDescent="0.25">
      <c r="A7459">
        <v>7459</v>
      </c>
      <c r="B7459" t="str">
        <f t="shared" si="116"/>
        <v>ᴣ</v>
      </c>
    </row>
    <row r="7460" spans="1:2" x14ac:dyDescent="0.25">
      <c r="A7460">
        <v>7460</v>
      </c>
      <c r="B7460" t="str">
        <f t="shared" si="116"/>
        <v>ᴤ</v>
      </c>
    </row>
    <row r="7461" spans="1:2" x14ac:dyDescent="0.25">
      <c r="A7461">
        <v>7461</v>
      </c>
      <c r="B7461" t="str">
        <f t="shared" si="116"/>
        <v>ᴥ</v>
      </c>
    </row>
    <row r="7462" spans="1:2" x14ac:dyDescent="0.25">
      <c r="A7462">
        <v>7462</v>
      </c>
      <c r="B7462" t="str">
        <f t="shared" si="116"/>
        <v>ᴦ</v>
      </c>
    </row>
    <row r="7463" spans="1:2" x14ac:dyDescent="0.25">
      <c r="A7463">
        <v>7463</v>
      </c>
      <c r="B7463" t="str">
        <f t="shared" si="116"/>
        <v>ᴧ</v>
      </c>
    </row>
    <row r="7464" spans="1:2" x14ac:dyDescent="0.25">
      <c r="A7464">
        <v>7464</v>
      </c>
      <c r="B7464" t="str">
        <f t="shared" si="116"/>
        <v>ᴨ</v>
      </c>
    </row>
    <row r="7465" spans="1:2" x14ac:dyDescent="0.25">
      <c r="A7465">
        <v>7465</v>
      </c>
      <c r="B7465" t="str">
        <f t="shared" si="116"/>
        <v>ᴩ</v>
      </c>
    </row>
    <row r="7466" spans="1:2" x14ac:dyDescent="0.25">
      <c r="A7466">
        <v>7466</v>
      </c>
      <c r="B7466" t="str">
        <f t="shared" si="116"/>
        <v>ᴪ</v>
      </c>
    </row>
    <row r="7467" spans="1:2" x14ac:dyDescent="0.25">
      <c r="A7467">
        <v>7467</v>
      </c>
      <c r="B7467" t="str">
        <f t="shared" si="116"/>
        <v>ᴫ</v>
      </c>
    </row>
    <row r="7468" spans="1:2" x14ac:dyDescent="0.25">
      <c r="A7468">
        <v>7468</v>
      </c>
      <c r="B7468" t="str">
        <f t="shared" si="116"/>
        <v>ᴬ</v>
      </c>
    </row>
    <row r="7469" spans="1:2" x14ac:dyDescent="0.25">
      <c r="A7469">
        <v>7469</v>
      </c>
      <c r="B7469" t="str">
        <f t="shared" si="116"/>
        <v>ᴭ</v>
      </c>
    </row>
    <row r="7470" spans="1:2" x14ac:dyDescent="0.25">
      <c r="A7470">
        <v>7470</v>
      </c>
      <c r="B7470" t="str">
        <f t="shared" si="116"/>
        <v>ᴮ</v>
      </c>
    </row>
    <row r="7471" spans="1:2" x14ac:dyDescent="0.25">
      <c r="A7471">
        <v>7471</v>
      </c>
      <c r="B7471" t="str">
        <f t="shared" si="116"/>
        <v>ᴯ</v>
      </c>
    </row>
    <row r="7472" spans="1:2" x14ac:dyDescent="0.25">
      <c r="A7472">
        <v>7472</v>
      </c>
      <c r="B7472" t="str">
        <f t="shared" si="116"/>
        <v>ᴰ</v>
      </c>
    </row>
    <row r="7473" spans="1:2" x14ac:dyDescent="0.25">
      <c r="A7473">
        <v>7473</v>
      </c>
      <c r="B7473" t="str">
        <f t="shared" si="116"/>
        <v>ᴱ</v>
      </c>
    </row>
    <row r="7474" spans="1:2" x14ac:dyDescent="0.25">
      <c r="A7474">
        <v>7474</v>
      </c>
      <c r="B7474" t="str">
        <f t="shared" si="116"/>
        <v>ᴲ</v>
      </c>
    </row>
    <row r="7475" spans="1:2" x14ac:dyDescent="0.25">
      <c r="A7475">
        <v>7475</v>
      </c>
      <c r="B7475" t="str">
        <f t="shared" si="116"/>
        <v>ᴳ</v>
      </c>
    </row>
    <row r="7476" spans="1:2" x14ac:dyDescent="0.25">
      <c r="A7476">
        <v>7476</v>
      </c>
      <c r="B7476" t="str">
        <f t="shared" si="116"/>
        <v>ᴴ</v>
      </c>
    </row>
    <row r="7477" spans="1:2" x14ac:dyDescent="0.25">
      <c r="A7477">
        <v>7477</v>
      </c>
      <c r="B7477" t="str">
        <f t="shared" si="116"/>
        <v>ᴵ</v>
      </c>
    </row>
    <row r="7478" spans="1:2" x14ac:dyDescent="0.25">
      <c r="A7478">
        <v>7478</v>
      </c>
      <c r="B7478" t="str">
        <f t="shared" si="116"/>
        <v>ᴶ</v>
      </c>
    </row>
    <row r="7479" spans="1:2" x14ac:dyDescent="0.25">
      <c r="A7479">
        <v>7479</v>
      </c>
      <c r="B7479" t="str">
        <f t="shared" si="116"/>
        <v>ᴷ</v>
      </c>
    </row>
    <row r="7480" spans="1:2" x14ac:dyDescent="0.25">
      <c r="A7480">
        <v>7480</v>
      </c>
      <c r="B7480" t="str">
        <f t="shared" si="116"/>
        <v>ᴸ</v>
      </c>
    </row>
    <row r="7481" spans="1:2" x14ac:dyDescent="0.25">
      <c r="A7481">
        <v>7481</v>
      </c>
      <c r="B7481" t="str">
        <f t="shared" si="116"/>
        <v>ᴹ</v>
      </c>
    </row>
    <row r="7482" spans="1:2" x14ac:dyDescent="0.25">
      <c r="A7482">
        <v>7482</v>
      </c>
      <c r="B7482" t="str">
        <f t="shared" si="116"/>
        <v>ᴺ</v>
      </c>
    </row>
    <row r="7483" spans="1:2" x14ac:dyDescent="0.25">
      <c r="A7483">
        <v>7483</v>
      </c>
      <c r="B7483" t="str">
        <f t="shared" si="116"/>
        <v>ᴻ</v>
      </c>
    </row>
    <row r="7484" spans="1:2" x14ac:dyDescent="0.25">
      <c r="A7484">
        <v>7484</v>
      </c>
      <c r="B7484" t="str">
        <f t="shared" si="116"/>
        <v>ᴼ</v>
      </c>
    </row>
    <row r="7485" spans="1:2" x14ac:dyDescent="0.25">
      <c r="A7485">
        <v>7485</v>
      </c>
      <c r="B7485" t="str">
        <f t="shared" si="116"/>
        <v>ᴽ</v>
      </c>
    </row>
    <row r="7486" spans="1:2" x14ac:dyDescent="0.25">
      <c r="A7486">
        <v>7486</v>
      </c>
      <c r="B7486" t="str">
        <f t="shared" si="116"/>
        <v>ᴾ</v>
      </c>
    </row>
    <row r="7487" spans="1:2" x14ac:dyDescent="0.25">
      <c r="A7487">
        <v>7487</v>
      </c>
      <c r="B7487" t="str">
        <f t="shared" si="116"/>
        <v>ᴿ</v>
      </c>
    </row>
    <row r="7488" spans="1:2" x14ac:dyDescent="0.25">
      <c r="A7488">
        <v>7488</v>
      </c>
      <c r="B7488" t="str">
        <f t="shared" si="116"/>
        <v>ᵀ</v>
      </c>
    </row>
    <row r="7489" spans="1:2" x14ac:dyDescent="0.25">
      <c r="A7489">
        <v>7489</v>
      </c>
      <c r="B7489" t="str">
        <f t="shared" si="116"/>
        <v>ᵁ</v>
      </c>
    </row>
    <row r="7490" spans="1:2" x14ac:dyDescent="0.25">
      <c r="A7490">
        <v>7490</v>
      </c>
      <c r="B7490" t="str">
        <f t="shared" ref="B7490:B7553" si="117">_xlfn.UNICHAR(A7490)</f>
        <v>ᵂ</v>
      </c>
    </row>
    <row r="7491" spans="1:2" x14ac:dyDescent="0.25">
      <c r="A7491">
        <v>7491</v>
      </c>
      <c r="B7491" t="str">
        <f t="shared" si="117"/>
        <v>ᵃ</v>
      </c>
    </row>
    <row r="7492" spans="1:2" x14ac:dyDescent="0.25">
      <c r="A7492">
        <v>7492</v>
      </c>
      <c r="B7492" t="str">
        <f t="shared" si="117"/>
        <v>ᵄ</v>
      </c>
    </row>
    <row r="7493" spans="1:2" x14ac:dyDescent="0.25">
      <c r="A7493">
        <v>7493</v>
      </c>
      <c r="B7493" t="str">
        <f t="shared" si="117"/>
        <v>ᵅ</v>
      </c>
    </row>
    <row r="7494" spans="1:2" x14ac:dyDescent="0.25">
      <c r="A7494">
        <v>7494</v>
      </c>
      <c r="B7494" t="str">
        <f t="shared" si="117"/>
        <v>ᵆ</v>
      </c>
    </row>
    <row r="7495" spans="1:2" x14ac:dyDescent="0.25">
      <c r="A7495">
        <v>7495</v>
      </c>
      <c r="B7495" t="str">
        <f t="shared" si="117"/>
        <v>ᵇ</v>
      </c>
    </row>
    <row r="7496" spans="1:2" x14ac:dyDescent="0.25">
      <c r="A7496">
        <v>7496</v>
      </c>
      <c r="B7496" t="str">
        <f t="shared" si="117"/>
        <v>ᵈ</v>
      </c>
    </row>
    <row r="7497" spans="1:2" x14ac:dyDescent="0.25">
      <c r="A7497">
        <v>7497</v>
      </c>
      <c r="B7497" t="str">
        <f t="shared" si="117"/>
        <v>ᵉ</v>
      </c>
    </row>
    <row r="7498" spans="1:2" x14ac:dyDescent="0.25">
      <c r="A7498">
        <v>7498</v>
      </c>
      <c r="B7498" t="str">
        <f t="shared" si="117"/>
        <v>ᵊ</v>
      </c>
    </row>
    <row r="7499" spans="1:2" x14ac:dyDescent="0.25">
      <c r="A7499">
        <v>7499</v>
      </c>
      <c r="B7499" t="str">
        <f t="shared" si="117"/>
        <v>ᵋ</v>
      </c>
    </row>
    <row r="7500" spans="1:2" x14ac:dyDescent="0.25">
      <c r="A7500">
        <v>7500</v>
      </c>
      <c r="B7500" t="str">
        <f t="shared" si="117"/>
        <v>ᵌ</v>
      </c>
    </row>
    <row r="7501" spans="1:2" x14ac:dyDescent="0.25">
      <c r="A7501">
        <v>7501</v>
      </c>
      <c r="B7501" t="str">
        <f t="shared" si="117"/>
        <v>ᵍ</v>
      </c>
    </row>
    <row r="7502" spans="1:2" x14ac:dyDescent="0.25">
      <c r="A7502">
        <v>7502</v>
      </c>
      <c r="B7502" t="str">
        <f t="shared" si="117"/>
        <v>ᵎ</v>
      </c>
    </row>
    <row r="7503" spans="1:2" x14ac:dyDescent="0.25">
      <c r="A7503">
        <v>7503</v>
      </c>
      <c r="B7503" t="str">
        <f t="shared" si="117"/>
        <v>ᵏ</v>
      </c>
    </row>
    <row r="7504" spans="1:2" x14ac:dyDescent="0.25">
      <c r="A7504">
        <v>7504</v>
      </c>
      <c r="B7504" t="str">
        <f t="shared" si="117"/>
        <v>ᵐ</v>
      </c>
    </row>
    <row r="7505" spans="1:2" x14ac:dyDescent="0.25">
      <c r="A7505">
        <v>7505</v>
      </c>
      <c r="B7505" t="str">
        <f t="shared" si="117"/>
        <v>ᵑ</v>
      </c>
    </row>
    <row r="7506" spans="1:2" x14ac:dyDescent="0.25">
      <c r="A7506">
        <v>7506</v>
      </c>
      <c r="B7506" t="str">
        <f t="shared" si="117"/>
        <v>ᵒ</v>
      </c>
    </row>
    <row r="7507" spans="1:2" x14ac:dyDescent="0.25">
      <c r="A7507">
        <v>7507</v>
      </c>
      <c r="B7507" t="str">
        <f t="shared" si="117"/>
        <v>ᵓ</v>
      </c>
    </row>
    <row r="7508" spans="1:2" x14ac:dyDescent="0.25">
      <c r="A7508">
        <v>7508</v>
      </c>
      <c r="B7508" t="str">
        <f t="shared" si="117"/>
        <v>ᵔ</v>
      </c>
    </row>
    <row r="7509" spans="1:2" x14ac:dyDescent="0.25">
      <c r="A7509">
        <v>7509</v>
      </c>
      <c r="B7509" t="str">
        <f t="shared" si="117"/>
        <v>ᵕ</v>
      </c>
    </row>
    <row r="7510" spans="1:2" x14ac:dyDescent="0.25">
      <c r="A7510">
        <v>7510</v>
      </c>
      <c r="B7510" t="str">
        <f t="shared" si="117"/>
        <v>ᵖ</v>
      </c>
    </row>
    <row r="7511" spans="1:2" x14ac:dyDescent="0.25">
      <c r="A7511">
        <v>7511</v>
      </c>
      <c r="B7511" t="str">
        <f t="shared" si="117"/>
        <v>ᵗ</v>
      </c>
    </row>
    <row r="7512" spans="1:2" x14ac:dyDescent="0.25">
      <c r="A7512">
        <v>7512</v>
      </c>
      <c r="B7512" t="str">
        <f t="shared" si="117"/>
        <v>ᵘ</v>
      </c>
    </row>
    <row r="7513" spans="1:2" x14ac:dyDescent="0.25">
      <c r="A7513">
        <v>7513</v>
      </c>
      <c r="B7513" t="str">
        <f t="shared" si="117"/>
        <v>ᵙ</v>
      </c>
    </row>
    <row r="7514" spans="1:2" x14ac:dyDescent="0.25">
      <c r="A7514">
        <v>7514</v>
      </c>
      <c r="B7514" t="str">
        <f t="shared" si="117"/>
        <v>ᵚ</v>
      </c>
    </row>
    <row r="7515" spans="1:2" x14ac:dyDescent="0.25">
      <c r="A7515">
        <v>7515</v>
      </c>
      <c r="B7515" t="str">
        <f t="shared" si="117"/>
        <v>ᵛ</v>
      </c>
    </row>
    <row r="7516" spans="1:2" x14ac:dyDescent="0.25">
      <c r="A7516">
        <v>7516</v>
      </c>
      <c r="B7516" t="str">
        <f t="shared" si="117"/>
        <v>ᵜ</v>
      </c>
    </row>
    <row r="7517" spans="1:2" x14ac:dyDescent="0.25">
      <c r="A7517">
        <v>7517</v>
      </c>
      <c r="B7517" t="str">
        <f t="shared" si="117"/>
        <v>ᵝ</v>
      </c>
    </row>
    <row r="7518" spans="1:2" x14ac:dyDescent="0.25">
      <c r="A7518">
        <v>7518</v>
      </c>
      <c r="B7518" t="str">
        <f t="shared" si="117"/>
        <v>ᵞ</v>
      </c>
    </row>
    <row r="7519" spans="1:2" x14ac:dyDescent="0.25">
      <c r="A7519">
        <v>7519</v>
      </c>
      <c r="B7519" t="str">
        <f t="shared" si="117"/>
        <v>ᵟ</v>
      </c>
    </row>
    <row r="7520" spans="1:2" x14ac:dyDescent="0.25">
      <c r="A7520">
        <v>7520</v>
      </c>
      <c r="B7520" t="str">
        <f t="shared" si="117"/>
        <v>ᵠ</v>
      </c>
    </row>
    <row r="7521" spans="1:2" x14ac:dyDescent="0.25">
      <c r="A7521">
        <v>7521</v>
      </c>
      <c r="B7521" t="str">
        <f t="shared" si="117"/>
        <v>ᵡ</v>
      </c>
    </row>
    <row r="7522" spans="1:2" x14ac:dyDescent="0.25">
      <c r="A7522">
        <v>7522</v>
      </c>
      <c r="B7522" t="str">
        <f t="shared" si="117"/>
        <v>ᵢ</v>
      </c>
    </row>
    <row r="7523" spans="1:2" x14ac:dyDescent="0.25">
      <c r="A7523">
        <v>7523</v>
      </c>
      <c r="B7523" t="str">
        <f t="shared" si="117"/>
        <v>ᵣ</v>
      </c>
    </row>
    <row r="7524" spans="1:2" x14ac:dyDescent="0.25">
      <c r="A7524">
        <v>7524</v>
      </c>
      <c r="B7524" t="str">
        <f t="shared" si="117"/>
        <v>ᵤ</v>
      </c>
    </row>
    <row r="7525" spans="1:2" x14ac:dyDescent="0.25">
      <c r="A7525">
        <v>7525</v>
      </c>
      <c r="B7525" t="str">
        <f t="shared" si="117"/>
        <v>ᵥ</v>
      </c>
    </row>
    <row r="7526" spans="1:2" x14ac:dyDescent="0.25">
      <c r="A7526">
        <v>7526</v>
      </c>
      <c r="B7526" t="str">
        <f t="shared" si="117"/>
        <v>ᵦ</v>
      </c>
    </row>
    <row r="7527" spans="1:2" x14ac:dyDescent="0.25">
      <c r="A7527">
        <v>7527</v>
      </c>
      <c r="B7527" t="str">
        <f t="shared" si="117"/>
        <v>ᵧ</v>
      </c>
    </row>
    <row r="7528" spans="1:2" x14ac:dyDescent="0.25">
      <c r="A7528">
        <v>7528</v>
      </c>
      <c r="B7528" t="str">
        <f t="shared" si="117"/>
        <v>ᵨ</v>
      </c>
    </row>
    <row r="7529" spans="1:2" x14ac:dyDescent="0.25">
      <c r="A7529">
        <v>7529</v>
      </c>
      <c r="B7529" t="str">
        <f t="shared" si="117"/>
        <v>ᵩ</v>
      </c>
    </row>
    <row r="7530" spans="1:2" x14ac:dyDescent="0.25">
      <c r="A7530">
        <v>7530</v>
      </c>
      <c r="B7530" t="str">
        <f t="shared" si="117"/>
        <v>ᵪ</v>
      </c>
    </row>
    <row r="7531" spans="1:2" x14ac:dyDescent="0.25">
      <c r="A7531">
        <v>7531</v>
      </c>
      <c r="B7531" t="str">
        <f t="shared" si="117"/>
        <v>ᵫ</v>
      </c>
    </row>
    <row r="7532" spans="1:2" x14ac:dyDescent="0.25">
      <c r="A7532">
        <v>7532</v>
      </c>
      <c r="B7532" t="str">
        <f t="shared" si="117"/>
        <v>ᵬ</v>
      </c>
    </row>
    <row r="7533" spans="1:2" x14ac:dyDescent="0.25">
      <c r="A7533">
        <v>7533</v>
      </c>
      <c r="B7533" t="str">
        <f t="shared" si="117"/>
        <v>ᵭ</v>
      </c>
    </row>
    <row r="7534" spans="1:2" x14ac:dyDescent="0.25">
      <c r="A7534">
        <v>7534</v>
      </c>
      <c r="B7534" t="str">
        <f t="shared" si="117"/>
        <v>ᵮ</v>
      </c>
    </row>
    <row r="7535" spans="1:2" x14ac:dyDescent="0.25">
      <c r="A7535">
        <v>7535</v>
      </c>
      <c r="B7535" t="str">
        <f t="shared" si="117"/>
        <v>ᵯ</v>
      </c>
    </row>
    <row r="7536" spans="1:2" x14ac:dyDescent="0.25">
      <c r="A7536">
        <v>7536</v>
      </c>
      <c r="B7536" t="str">
        <f t="shared" si="117"/>
        <v>ᵰ</v>
      </c>
    </row>
    <row r="7537" spans="1:2" x14ac:dyDescent="0.25">
      <c r="A7537">
        <v>7537</v>
      </c>
      <c r="B7537" t="str">
        <f t="shared" si="117"/>
        <v>ᵱ</v>
      </c>
    </row>
    <row r="7538" spans="1:2" x14ac:dyDescent="0.25">
      <c r="A7538">
        <v>7538</v>
      </c>
      <c r="B7538" t="str">
        <f t="shared" si="117"/>
        <v>ᵲ</v>
      </c>
    </row>
    <row r="7539" spans="1:2" x14ac:dyDescent="0.25">
      <c r="A7539">
        <v>7539</v>
      </c>
      <c r="B7539" t="str">
        <f t="shared" si="117"/>
        <v>ᵳ</v>
      </c>
    </row>
    <row r="7540" spans="1:2" x14ac:dyDescent="0.25">
      <c r="A7540">
        <v>7540</v>
      </c>
      <c r="B7540" t="str">
        <f t="shared" si="117"/>
        <v>ᵴ</v>
      </c>
    </row>
    <row r="7541" spans="1:2" x14ac:dyDescent="0.25">
      <c r="A7541">
        <v>7541</v>
      </c>
      <c r="B7541" t="str">
        <f t="shared" si="117"/>
        <v>ᵵ</v>
      </c>
    </row>
    <row r="7542" spans="1:2" x14ac:dyDescent="0.25">
      <c r="A7542">
        <v>7542</v>
      </c>
      <c r="B7542" t="str">
        <f t="shared" si="117"/>
        <v>ᵶ</v>
      </c>
    </row>
    <row r="7543" spans="1:2" x14ac:dyDescent="0.25">
      <c r="A7543">
        <v>7543</v>
      </c>
      <c r="B7543" t="str">
        <f t="shared" si="117"/>
        <v>ᵷ</v>
      </c>
    </row>
    <row r="7544" spans="1:2" x14ac:dyDescent="0.25">
      <c r="A7544">
        <v>7544</v>
      </c>
      <c r="B7544" t="str">
        <f t="shared" si="117"/>
        <v>ᵸ</v>
      </c>
    </row>
    <row r="7545" spans="1:2" x14ac:dyDescent="0.25">
      <c r="A7545">
        <v>7545</v>
      </c>
      <c r="B7545" t="str">
        <f t="shared" si="117"/>
        <v>ᵹ</v>
      </c>
    </row>
    <row r="7546" spans="1:2" x14ac:dyDescent="0.25">
      <c r="A7546">
        <v>7546</v>
      </c>
      <c r="B7546" t="str">
        <f t="shared" si="117"/>
        <v>ᵺ</v>
      </c>
    </row>
    <row r="7547" spans="1:2" x14ac:dyDescent="0.25">
      <c r="A7547">
        <v>7547</v>
      </c>
      <c r="B7547" t="str">
        <f t="shared" si="117"/>
        <v>ᵻ</v>
      </c>
    </row>
    <row r="7548" spans="1:2" x14ac:dyDescent="0.25">
      <c r="A7548">
        <v>7548</v>
      </c>
      <c r="B7548" t="str">
        <f t="shared" si="117"/>
        <v>ᵼ</v>
      </c>
    </row>
    <row r="7549" spans="1:2" x14ac:dyDescent="0.25">
      <c r="A7549">
        <v>7549</v>
      </c>
      <c r="B7549" t="str">
        <f t="shared" si="117"/>
        <v>ᵽ</v>
      </c>
    </row>
    <row r="7550" spans="1:2" x14ac:dyDescent="0.25">
      <c r="A7550">
        <v>7550</v>
      </c>
      <c r="B7550" t="str">
        <f t="shared" si="117"/>
        <v>ᵾ</v>
      </c>
    </row>
    <row r="7551" spans="1:2" x14ac:dyDescent="0.25">
      <c r="A7551">
        <v>7551</v>
      </c>
      <c r="B7551" t="str">
        <f t="shared" si="117"/>
        <v>ᵿ</v>
      </c>
    </row>
    <row r="7552" spans="1:2" x14ac:dyDescent="0.25">
      <c r="A7552">
        <v>7552</v>
      </c>
      <c r="B7552" t="str">
        <f t="shared" si="117"/>
        <v>ᶀ</v>
      </c>
    </row>
    <row r="7553" spans="1:2" x14ac:dyDescent="0.25">
      <c r="A7553">
        <v>7553</v>
      </c>
      <c r="B7553" t="str">
        <f t="shared" si="117"/>
        <v>ᶁ</v>
      </c>
    </row>
    <row r="7554" spans="1:2" x14ac:dyDescent="0.25">
      <c r="A7554">
        <v>7554</v>
      </c>
      <c r="B7554" t="str">
        <f t="shared" ref="B7554:B7617" si="118">_xlfn.UNICHAR(A7554)</f>
        <v>ᶂ</v>
      </c>
    </row>
    <row r="7555" spans="1:2" x14ac:dyDescent="0.25">
      <c r="A7555">
        <v>7555</v>
      </c>
      <c r="B7555" t="str">
        <f t="shared" si="118"/>
        <v>ᶃ</v>
      </c>
    </row>
    <row r="7556" spans="1:2" x14ac:dyDescent="0.25">
      <c r="A7556">
        <v>7556</v>
      </c>
      <c r="B7556" t="str">
        <f t="shared" si="118"/>
        <v>ᶄ</v>
      </c>
    </row>
    <row r="7557" spans="1:2" x14ac:dyDescent="0.25">
      <c r="A7557">
        <v>7557</v>
      </c>
      <c r="B7557" t="str">
        <f t="shared" si="118"/>
        <v>ᶅ</v>
      </c>
    </row>
    <row r="7558" spans="1:2" x14ac:dyDescent="0.25">
      <c r="A7558">
        <v>7558</v>
      </c>
      <c r="B7558" t="str">
        <f t="shared" si="118"/>
        <v>ᶆ</v>
      </c>
    </row>
    <row r="7559" spans="1:2" x14ac:dyDescent="0.25">
      <c r="A7559">
        <v>7559</v>
      </c>
      <c r="B7559" t="str">
        <f t="shared" si="118"/>
        <v>ᶇ</v>
      </c>
    </row>
    <row r="7560" spans="1:2" x14ac:dyDescent="0.25">
      <c r="A7560">
        <v>7560</v>
      </c>
      <c r="B7560" t="str">
        <f t="shared" si="118"/>
        <v>ᶈ</v>
      </c>
    </row>
    <row r="7561" spans="1:2" x14ac:dyDescent="0.25">
      <c r="A7561">
        <v>7561</v>
      </c>
      <c r="B7561" t="str">
        <f t="shared" si="118"/>
        <v>ᶉ</v>
      </c>
    </row>
    <row r="7562" spans="1:2" x14ac:dyDescent="0.25">
      <c r="A7562">
        <v>7562</v>
      </c>
      <c r="B7562" t="str">
        <f t="shared" si="118"/>
        <v>ᶊ</v>
      </c>
    </row>
    <row r="7563" spans="1:2" x14ac:dyDescent="0.25">
      <c r="A7563">
        <v>7563</v>
      </c>
      <c r="B7563" t="str">
        <f t="shared" si="118"/>
        <v>ᶋ</v>
      </c>
    </row>
    <row r="7564" spans="1:2" x14ac:dyDescent="0.25">
      <c r="A7564">
        <v>7564</v>
      </c>
      <c r="B7564" t="str">
        <f t="shared" si="118"/>
        <v>ᶌ</v>
      </c>
    </row>
    <row r="7565" spans="1:2" x14ac:dyDescent="0.25">
      <c r="A7565">
        <v>7565</v>
      </c>
      <c r="B7565" t="str">
        <f t="shared" si="118"/>
        <v>ᶍ</v>
      </c>
    </row>
    <row r="7566" spans="1:2" x14ac:dyDescent="0.25">
      <c r="A7566">
        <v>7566</v>
      </c>
      <c r="B7566" t="str">
        <f t="shared" si="118"/>
        <v>ᶎ</v>
      </c>
    </row>
    <row r="7567" spans="1:2" x14ac:dyDescent="0.25">
      <c r="A7567">
        <v>7567</v>
      </c>
      <c r="B7567" t="str">
        <f t="shared" si="118"/>
        <v>ᶏ</v>
      </c>
    </row>
    <row r="7568" spans="1:2" x14ac:dyDescent="0.25">
      <c r="A7568">
        <v>7568</v>
      </c>
      <c r="B7568" t="str">
        <f t="shared" si="118"/>
        <v>ᶐ</v>
      </c>
    </row>
    <row r="7569" spans="1:2" x14ac:dyDescent="0.25">
      <c r="A7569">
        <v>7569</v>
      </c>
      <c r="B7569" t="str">
        <f t="shared" si="118"/>
        <v>ᶑ</v>
      </c>
    </row>
    <row r="7570" spans="1:2" x14ac:dyDescent="0.25">
      <c r="A7570">
        <v>7570</v>
      </c>
      <c r="B7570" t="str">
        <f t="shared" si="118"/>
        <v>ᶒ</v>
      </c>
    </row>
    <row r="7571" spans="1:2" x14ac:dyDescent="0.25">
      <c r="A7571">
        <v>7571</v>
      </c>
      <c r="B7571" t="str">
        <f t="shared" si="118"/>
        <v>ᶓ</v>
      </c>
    </row>
    <row r="7572" spans="1:2" x14ac:dyDescent="0.25">
      <c r="A7572">
        <v>7572</v>
      </c>
      <c r="B7572" t="str">
        <f t="shared" si="118"/>
        <v>ᶔ</v>
      </c>
    </row>
    <row r="7573" spans="1:2" x14ac:dyDescent="0.25">
      <c r="A7573">
        <v>7573</v>
      </c>
      <c r="B7573" t="str">
        <f t="shared" si="118"/>
        <v>ᶕ</v>
      </c>
    </row>
    <row r="7574" spans="1:2" x14ac:dyDescent="0.25">
      <c r="A7574">
        <v>7574</v>
      </c>
      <c r="B7574" t="str">
        <f t="shared" si="118"/>
        <v>ᶖ</v>
      </c>
    </row>
    <row r="7575" spans="1:2" x14ac:dyDescent="0.25">
      <c r="A7575">
        <v>7575</v>
      </c>
      <c r="B7575" t="str">
        <f t="shared" si="118"/>
        <v>ᶗ</v>
      </c>
    </row>
    <row r="7576" spans="1:2" x14ac:dyDescent="0.25">
      <c r="A7576">
        <v>7576</v>
      </c>
      <c r="B7576" t="str">
        <f t="shared" si="118"/>
        <v>ᶘ</v>
      </c>
    </row>
    <row r="7577" spans="1:2" x14ac:dyDescent="0.25">
      <c r="A7577">
        <v>7577</v>
      </c>
      <c r="B7577" t="str">
        <f t="shared" si="118"/>
        <v>ᶙ</v>
      </c>
    </row>
    <row r="7578" spans="1:2" x14ac:dyDescent="0.25">
      <c r="A7578">
        <v>7578</v>
      </c>
      <c r="B7578" t="str">
        <f t="shared" si="118"/>
        <v>ᶚ</v>
      </c>
    </row>
    <row r="7579" spans="1:2" x14ac:dyDescent="0.25">
      <c r="A7579">
        <v>7579</v>
      </c>
      <c r="B7579" t="str">
        <f t="shared" si="118"/>
        <v>ᶛ</v>
      </c>
    </row>
    <row r="7580" spans="1:2" x14ac:dyDescent="0.25">
      <c r="A7580">
        <v>7580</v>
      </c>
      <c r="B7580" t="str">
        <f t="shared" si="118"/>
        <v>ᶜ</v>
      </c>
    </row>
    <row r="7581" spans="1:2" x14ac:dyDescent="0.25">
      <c r="A7581">
        <v>7581</v>
      </c>
      <c r="B7581" t="str">
        <f t="shared" si="118"/>
        <v>ᶝ</v>
      </c>
    </row>
    <row r="7582" spans="1:2" x14ac:dyDescent="0.25">
      <c r="A7582">
        <v>7582</v>
      </c>
      <c r="B7582" t="str">
        <f t="shared" si="118"/>
        <v>ᶞ</v>
      </c>
    </row>
    <row r="7583" spans="1:2" x14ac:dyDescent="0.25">
      <c r="A7583">
        <v>7583</v>
      </c>
      <c r="B7583" t="str">
        <f t="shared" si="118"/>
        <v>ᶟ</v>
      </c>
    </row>
    <row r="7584" spans="1:2" x14ac:dyDescent="0.25">
      <c r="A7584">
        <v>7584</v>
      </c>
      <c r="B7584" t="str">
        <f t="shared" si="118"/>
        <v>ᶠ</v>
      </c>
    </row>
    <row r="7585" spans="1:2" x14ac:dyDescent="0.25">
      <c r="A7585">
        <v>7585</v>
      </c>
      <c r="B7585" t="str">
        <f t="shared" si="118"/>
        <v>ᶡ</v>
      </c>
    </row>
    <row r="7586" spans="1:2" x14ac:dyDescent="0.25">
      <c r="A7586">
        <v>7586</v>
      </c>
      <c r="B7586" t="str">
        <f t="shared" si="118"/>
        <v>ᶢ</v>
      </c>
    </row>
    <row r="7587" spans="1:2" x14ac:dyDescent="0.25">
      <c r="A7587">
        <v>7587</v>
      </c>
      <c r="B7587" t="str">
        <f t="shared" si="118"/>
        <v>ᶣ</v>
      </c>
    </row>
    <row r="7588" spans="1:2" x14ac:dyDescent="0.25">
      <c r="A7588">
        <v>7588</v>
      </c>
      <c r="B7588" t="str">
        <f t="shared" si="118"/>
        <v>ᶤ</v>
      </c>
    </row>
    <row r="7589" spans="1:2" x14ac:dyDescent="0.25">
      <c r="A7589">
        <v>7589</v>
      </c>
      <c r="B7589" t="str">
        <f t="shared" si="118"/>
        <v>ᶥ</v>
      </c>
    </row>
    <row r="7590" spans="1:2" x14ac:dyDescent="0.25">
      <c r="A7590">
        <v>7590</v>
      </c>
      <c r="B7590" t="str">
        <f t="shared" si="118"/>
        <v>ᶦ</v>
      </c>
    </row>
    <row r="7591" spans="1:2" x14ac:dyDescent="0.25">
      <c r="A7591">
        <v>7591</v>
      </c>
      <c r="B7591" t="str">
        <f t="shared" si="118"/>
        <v>ᶧ</v>
      </c>
    </row>
    <row r="7592" spans="1:2" x14ac:dyDescent="0.25">
      <c r="A7592">
        <v>7592</v>
      </c>
      <c r="B7592" t="str">
        <f t="shared" si="118"/>
        <v>ᶨ</v>
      </c>
    </row>
    <row r="7593" spans="1:2" x14ac:dyDescent="0.25">
      <c r="A7593">
        <v>7593</v>
      </c>
      <c r="B7593" t="str">
        <f t="shared" si="118"/>
        <v>ᶩ</v>
      </c>
    </row>
    <row r="7594" spans="1:2" x14ac:dyDescent="0.25">
      <c r="A7594">
        <v>7594</v>
      </c>
      <c r="B7594" t="str">
        <f t="shared" si="118"/>
        <v>ᶪ</v>
      </c>
    </row>
    <row r="7595" spans="1:2" x14ac:dyDescent="0.25">
      <c r="A7595">
        <v>7595</v>
      </c>
      <c r="B7595" t="str">
        <f t="shared" si="118"/>
        <v>ᶫ</v>
      </c>
    </row>
    <row r="7596" spans="1:2" x14ac:dyDescent="0.25">
      <c r="A7596">
        <v>7596</v>
      </c>
      <c r="B7596" t="str">
        <f t="shared" si="118"/>
        <v>ᶬ</v>
      </c>
    </row>
    <row r="7597" spans="1:2" x14ac:dyDescent="0.25">
      <c r="A7597">
        <v>7597</v>
      </c>
      <c r="B7597" t="str">
        <f t="shared" si="118"/>
        <v>ᶭ</v>
      </c>
    </row>
    <row r="7598" spans="1:2" x14ac:dyDescent="0.25">
      <c r="A7598">
        <v>7598</v>
      </c>
      <c r="B7598" t="str">
        <f t="shared" si="118"/>
        <v>ᶮ</v>
      </c>
    </row>
    <row r="7599" spans="1:2" x14ac:dyDescent="0.25">
      <c r="A7599">
        <v>7599</v>
      </c>
      <c r="B7599" t="str">
        <f t="shared" si="118"/>
        <v>ᶯ</v>
      </c>
    </row>
    <row r="7600" spans="1:2" x14ac:dyDescent="0.25">
      <c r="A7600">
        <v>7600</v>
      </c>
      <c r="B7600" t="str">
        <f t="shared" si="118"/>
        <v>ᶰ</v>
      </c>
    </row>
    <row r="7601" spans="1:2" x14ac:dyDescent="0.25">
      <c r="A7601">
        <v>7601</v>
      </c>
      <c r="B7601" t="str">
        <f t="shared" si="118"/>
        <v>ᶱ</v>
      </c>
    </row>
    <row r="7602" spans="1:2" x14ac:dyDescent="0.25">
      <c r="A7602">
        <v>7602</v>
      </c>
      <c r="B7602" t="str">
        <f t="shared" si="118"/>
        <v>ᶲ</v>
      </c>
    </row>
    <row r="7603" spans="1:2" x14ac:dyDescent="0.25">
      <c r="A7603">
        <v>7603</v>
      </c>
      <c r="B7603" t="str">
        <f t="shared" si="118"/>
        <v>ᶳ</v>
      </c>
    </row>
    <row r="7604" spans="1:2" x14ac:dyDescent="0.25">
      <c r="A7604">
        <v>7604</v>
      </c>
      <c r="B7604" t="str">
        <f t="shared" si="118"/>
        <v>ᶴ</v>
      </c>
    </row>
    <row r="7605" spans="1:2" x14ac:dyDescent="0.25">
      <c r="A7605">
        <v>7605</v>
      </c>
      <c r="B7605" t="str">
        <f t="shared" si="118"/>
        <v>ᶵ</v>
      </c>
    </row>
    <row r="7606" spans="1:2" x14ac:dyDescent="0.25">
      <c r="A7606">
        <v>7606</v>
      </c>
      <c r="B7606" t="str">
        <f t="shared" si="118"/>
        <v>ᶶ</v>
      </c>
    </row>
    <row r="7607" spans="1:2" x14ac:dyDescent="0.25">
      <c r="A7607">
        <v>7607</v>
      </c>
      <c r="B7607" t="str">
        <f t="shared" si="118"/>
        <v>ᶷ</v>
      </c>
    </row>
    <row r="7608" spans="1:2" x14ac:dyDescent="0.25">
      <c r="A7608">
        <v>7608</v>
      </c>
      <c r="B7608" t="str">
        <f t="shared" si="118"/>
        <v>ᶸ</v>
      </c>
    </row>
    <row r="7609" spans="1:2" x14ac:dyDescent="0.25">
      <c r="A7609">
        <v>7609</v>
      </c>
      <c r="B7609" t="str">
        <f t="shared" si="118"/>
        <v>ᶹ</v>
      </c>
    </row>
    <row r="7610" spans="1:2" x14ac:dyDescent="0.25">
      <c r="A7610">
        <v>7610</v>
      </c>
      <c r="B7610" t="str">
        <f t="shared" si="118"/>
        <v>ᶺ</v>
      </c>
    </row>
    <row r="7611" spans="1:2" x14ac:dyDescent="0.25">
      <c r="A7611">
        <v>7611</v>
      </c>
      <c r="B7611" t="str">
        <f t="shared" si="118"/>
        <v>ᶻ</v>
      </c>
    </row>
    <row r="7612" spans="1:2" x14ac:dyDescent="0.25">
      <c r="A7612">
        <v>7612</v>
      </c>
      <c r="B7612" t="str">
        <f t="shared" si="118"/>
        <v>ᶼ</v>
      </c>
    </row>
    <row r="7613" spans="1:2" x14ac:dyDescent="0.25">
      <c r="A7613">
        <v>7613</v>
      </c>
      <c r="B7613" t="str">
        <f t="shared" si="118"/>
        <v>ᶽ</v>
      </c>
    </row>
    <row r="7614" spans="1:2" x14ac:dyDescent="0.25">
      <c r="A7614">
        <v>7614</v>
      </c>
      <c r="B7614" t="str">
        <f t="shared" si="118"/>
        <v>ᶾ</v>
      </c>
    </row>
    <row r="7615" spans="1:2" x14ac:dyDescent="0.25">
      <c r="A7615">
        <v>7615</v>
      </c>
      <c r="B7615" t="str">
        <f t="shared" si="118"/>
        <v>ᶿ</v>
      </c>
    </row>
    <row r="7616" spans="1:2" x14ac:dyDescent="0.25">
      <c r="A7616">
        <v>7616</v>
      </c>
      <c r="B7616" t="str">
        <f t="shared" si="118"/>
        <v>᷀</v>
      </c>
    </row>
    <row r="7617" spans="1:2" x14ac:dyDescent="0.25">
      <c r="A7617">
        <v>7617</v>
      </c>
      <c r="B7617" t="str">
        <f t="shared" si="118"/>
        <v>᷁</v>
      </c>
    </row>
    <row r="7618" spans="1:2" x14ac:dyDescent="0.25">
      <c r="A7618">
        <v>7618</v>
      </c>
      <c r="B7618" t="str">
        <f t="shared" ref="B7618:B7681" si="119">_xlfn.UNICHAR(A7618)</f>
        <v>᷂</v>
      </c>
    </row>
    <row r="7619" spans="1:2" x14ac:dyDescent="0.25">
      <c r="A7619">
        <v>7619</v>
      </c>
      <c r="B7619" t="str">
        <f t="shared" si="119"/>
        <v>᷃</v>
      </c>
    </row>
    <row r="7620" spans="1:2" x14ac:dyDescent="0.25">
      <c r="A7620">
        <v>7620</v>
      </c>
      <c r="B7620" t="str">
        <f t="shared" si="119"/>
        <v>᷄</v>
      </c>
    </row>
    <row r="7621" spans="1:2" x14ac:dyDescent="0.25">
      <c r="A7621">
        <v>7621</v>
      </c>
      <c r="B7621" t="str">
        <f t="shared" si="119"/>
        <v>᷅</v>
      </c>
    </row>
    <row r="7622" spans="1:2" x14ac:dyDescent="0.25">
      <c r="A7622">
        <v>7622</v>
      </c>
      <c r="B7622" t="str">
        <f t="shared" si="119"/>
        <v>᷆</v>
      </c>
    </row>
    <row r="7623" spans="1:2" x14ac:dyDescent="0.25">
      <c r="A7623">
        <v>7623</v>
      </c>
      <c r="B7623" t="str">
        <f t="shared" si="119"/>
        <v>᷇</v>
      </c>
    </row>
    <row r="7624" spans="1:2" x14ac:dyDescent="0.25">
      <c r="A7624">
        <v>7624</v>
      </c>
      <c r="B7624" t="str">
        <f t="shared" si="119"/>
        <v>᷈</v>
      </c>
    </row>
    <row r="7625" spans="1:2" x14ac:dyDescent="0.25">
      <c r="A7625">
        <v>7625</v>
      </c>
      <c r="B7625" t="str">
        <f t="shared" si="119"/>
        <v>᷉</v>
      </c>
    </row>
    <row r="7626" spans="1:2" x14ac:dyDescent="0.25">
      <c r="A7626">
        <v>7626</v>
      </c>
      <c r="B7626" t="str">
        <f t="shared" si="119"/>
        <v>᷊</v>
      </c>
    </row>
    <row r="7627" spans="1:2" x14ac:dyDescent="0.25">
      <c r="A7627">
        <v>7627</v>
      </c>
      <c r="B7627" t="str">
        <f t="shared" si="119"/>
        <v>᷋</v>
      </c>
    </row>
    <row r="7628" spans="1:2" x14ac:dyDescent="0.25">
      <c r="A7628">
        <v>7628</v>
      </c>
      <c r="B7628" t="str">
        <f t="shared" si="119"/>
        <v>᷌</v>
      </c>
    </row>
    <row r="7629" spans="1:2" x14ac:dyDescent="0.25">
      <c r="A7629">
        <v>7629</v>
      </c>
      <c r="B7629" t="str">
        <f t="shared" si="119"/>
        <v>᷍</v>
      </c>
    </row>
    <row r="7630" spans="1:2" x14ac:dyDescent="0.25">
      <c r="A7630">
        <v>7630</v>
      </c>
      <c r="B7630" t="str">
        <f t="shared" si="119"/>
        <v>᷎</v>
      </c>
    </row>
    <row r="7631" spans="1:2" x14ac:dyDescent="0.25">
      <c r="A7631">
        <v>7631</v>
      </c>
      <c r="B7631" t="str">
        <f t="shared" si="119"/>
        <v>᷏</v>
      </c>
    </row>
    <row r="7632" spans="1:2" x14ac:dyDescent="0.25">
      <c r="A7632">
        <v>7632</v>
      </c>
      <c r="B7632" t="str">
        <f t="shared" si="119"/>
        <v>᷐</v>
      </c>
    </row>
    <row r="7633" spans="1:2" x14ac:dyDescent="0.25">
      <c r="A7633">
        <v>7633</v>
      </c>
      <c r="B7633" t="str">
        <f t="shared" si="119"/>
        <v>᷑</v>
      </c>
    </row>
    <row r="7634" spans="1:2" x14ac:dyDescent="0.25">
      <c r="A7634">
        <v>7634</v>
      </c>
      <c r="B7634" t="str">
        <f t="shared" si="119"/>
        <v>᷒</v>
      </c>
    </row>
    <row r="7635" spans="1:2" x14ac:dyDescent="0.25">
      <c r="A7635">
        <v>7635</v>
      </c>
      <c r="B7635" t="str">
        <f t="shared" si="119"/>
        <v>ᷓ</v>
      </c>
    </row>
    <row r="7636" spans="1:2" x14ac:dyDescent="0.25">
      <c r="A7636">
        <v>7636</v>
      </c>
      <c r="B7636" t="str">
        <f t="shared" si="119"/>
        <v>ᷔ</v>
      </c>
    </row>
    <row r="7637" spans="1:2" x14ac:dyDescent="0.25">
      <c r="A7637">
        <v>7637</v>
      </c>
      <c r="B7637" t="str">
        <f t="shared" si="119"/>
        <v>ᷕ</v>
      </c>
    </row>
    <row r="7638" spans="1:2" x14ac:dyDescent="0.25">
      <c r="A7638">
        <v>7638</v>
      </c>
      <c r="B7638" t="str">
        <f t="shared" si="119"/>
        <v>ᷖ</v>
      </c>
    </row>
    <row r="7639" spans="1:2" x14ac:dyDescent="0.25">
      <c r="A7639">
        <v>7639</v>
      </c>
      <c r="B7639" t="str">
        <f t="shared" si="119"/>
        <v>ᷗ</v>
      </c>
    </row>
    <row r="7640" spans="1:2" x14ac:dyDescent="0.25">
      <c r="A7640">
        <v>7640</v>
      </c>
      <c r="B7640" t="str">
        <f t="shared" si="119"/>
        <v>ᷘ</v>
      </c>
    </row>
    <row r="7641" spans="1:2" x14ac:dyDescent="0.25">
      <c r="A7641">
        <v>7641</v>
      </c>
      <c r="B7641" t="str">
        <f t="shared" si="119"/>
        <v>ᷙ</v>
      </c>
    </row>
    <row r="7642" spans="1:2" x14ac:dyDescent="0.25">
      <c r="A7642">
        <v>7642</v>
      </c>
      <c r="B7642" t="str">
        <f t="shared" si="119"/>
        <v>ᷚ</v>
      </c>
    </row>
    <row r="7643" spans="1:2" x14ac:dyDescent="0.25">
      <c r="A7643">
        <v>7643</v>
      </c>
      <c r="B7643" t="str">
        <f t="shared" si="119"/>
        <v>ᷛ</v>
      </c>
    </row>
    <row r="7644" spans="1:2" x14ac:dyDescent="0.25">
      <c r="A7644">
        <v>7644</v>
      </c>
      <c r="B7644" t="str">
        <f t="shared" si="119"/>
        <v>ᷜ</v>
      </c>
    </row>
    <row r="7645" spans="1:2" x14ac:dyDescent="0.25">
      <c r="A7645">
        <v>7645</v>
      </c>
      <c r="B7645" t="str">
        <f t="shared" si="119"/>
        <v>ᷝ</v>
      </c>
    </row>
    <row r="7646" spans="1:2" x14ac:dyDescent="0.25">
      <c r="A7646">
        <v>7646</v>
      </c>
      <c r="B7646" t="str">
        <f t="shared" si="119"/>
        <v>ᷞ</v>
      </c>
    </row>
    <row r="7647" spans="1:2" x14ac:dyDescent="0.25">
      <c r="A7647">
        <v>7647</v>
      </c>
      <c r="B7647" t="str">
        <f t="shared" si="119"/>
        <v>ᷟ</v>
      </c>
    </row>
    <row r="7648" spans="1:2" x14ac:dyDescent="0.25">
      <c r="A7648">
        <v>7648</v>
      </c>
      <c r="B7648" t="str">
        <f t="shared" si="119"/>
        <v>ᷠ</v>
      </c>
    </row>
    <row r="7649" spans="1:2" x14ac:dyDescent="0.25">
      <c r="A7649">
        <v>7649</v>
      </c>
      <c r="B7649" t="str">
        <f t="shared" si="119"/>
        <v>ᷡ</v>
      </c>
    </row>
    <row r="7650" spans="1:2" x14ac:dyDescent="0.25">
      <c r="A7650">
        <v>7650</v>
      </c>
      <c r="B7650" t="str">
        <f t="shared" si="119"/>
        <v>ᷢ</v>
      </c>
    </row>
    <row r="7651" spans="1:2" x14ac:dyDescent="0.25">
      <c r="A7651">
        <v>7651</v>
      </c>
      <c r="B7651" t="str">
        <f t="shared" si="119"/>
        <v>ᷣ</v>
      </c>
    </row>
    <row r="7652" spans="1:2" x14ac:dyDescent="0.25">
      <c r="A7652">
        <v>7652</v>
      </c>
      <c r="B7652" t="str">
        <f t="shared" si="119"/>
        <v>ᷤ</v>
      </c>
    </row>
    <row r="7653" spans="1:2" x14ac:dyDescent="0.25">
      <c r="A7653">
        <v>7653</v>
      </c>
      <c r="B7653" t="str">
        <f t="shared" si="119"/>
        <v>ᷥ</v>
      </c>
    </row>
    <row r="7654" spans="1:2" x14ac:dyDescent="0.25">
      <c r="A7654">
        <v>7654</v>
      </c>
      <c r="B7654" t="str">
        <f t="shared" si="119"/>
        <v>ᷦ</v>
      </c>
    </row>
    <row r="7655" spans="1:2" x14ac:dyDescent="0.25">
      <c r="A7655">
        <v>7655</v>
      </c>
      <c r="B7655" t="str">
        <f t="shared" si="119"/>
        <v>ᷧ</v>
      </c>
    </row>
    <row r="7656" spans="1:2" x14ac:dyDescent="0.25">
      <c r="A7656">
        <v>7656</v>
      </c>
      <c r="B7656" t="str">
        <f t="shared" si="119"/>
        <v>ᷨ</v>
      </c>
    </row>
    <row r="7657" spans="1:2" x14ac:dyDescent="0.25">
      <c r="A7657">
        <v>7657</v>
      </c>
      <c r="B7657" t="str">
        <f t="shared" si="119"/>
        <v>ᷩ</v>
      </c>
    </row>
    <row r="7658" spans="1:2" x14ac:dyDescent="0.25">
      <c r="A7658">
        <v>7658</v>
      </c>
      <c r="B7658" t="str">
        <f t="shared" si="119"/>
        <v>ᷪ</v>
      </c>
    </row>
    <row r="7659" spans="1:2" x14ac:dyDescent="0.25">
      <c r="A7659">
        <v>7659</v>
      </c>
      <c r="B7659" t="str">
        <f t="shared" si="119"/>
        <v>ᷫ</v>
      </c>
    </row>
    <row r="7660" spans="1:2" x14ac:dyDescent="0.25">
      <c r="A7660">
        <v>7660</v>
      </c>
      <c r="B7660" t="str">
        <f t="shared" si="119"/>
        <v>ᷬ</v>
      </c>
    </row>
    <row r="7661" spans="1:2" x14ac:dyDescent="0.25">
      <c r="A7661">
        <v>7661</v>
      </c>
      <c r="B7661" t="str">
        <f t="shared" si="119"/>
        <v>ᷭ</v>
      </c>
    </row>
    <row r="7662" spans="1:2" x14ac:dyDescent="0.25">
      <c r="A7662">
        <v>7662</v>
      </c>
      <c r="B7662" t="str">
        <f t="shared" si="119"/>
        <v>ᷮ</v>
      </c>
    </row>
    <row r="7663" spans="1:2" x14ac:dyDescent="0.25">
      <c r="A7663">
        <v>7663</v>
      </c>
      <c r="B7663" t="str">
        <f t="shared" si="119"/>
        <v>ᷯ</v>
      </c>
    </row>
    <row r="7664" spans="1:2" x14ac:dyDescent="0.25">
      <c r="A7664">
        <v>7664</v>
      </c>
      <c r="B7664" t="str">
        <f t="shared" si="119"/>
        <v>ᷰ</v>
      </c>
    </row>
    <row r="7665" spans="1:2" x14ac:dyDescent="0.25">
      <c r="A7665">
        <v>7665</v>
      </c>
      <c r="B7665" t="str">
        <f t="shared" si="119"/>
        <v>ᷱ</v>
      </c>
    </row>
    <row r="7666" spans="1:2" x14ac:dyDescent="0.25">
      <c r="A7666">
        <v>7666</v>
      </c>
      <c r="B7666" t="str">
        <f t="shared" si="119"/>
        <v>ᷲ</v>
      </c>
    </row>
    <row r="7667" spans="1:2" x14ac:dyDescent="0.25">
      <c r="A7667">
        <v>7667</v>
      </c>
      <c r="B7667" t="str">
        <f t="shared" si="119"/>
        <v>ᷳ</v>
      </c>
    </row>
    <row r="7668" spans="1:2" x14ac:dyDescent="0.25">
      <c r="A7668">
        <v>7668</v>
      </c>
      <c r="B7668" t="str">
        <f t="shared" si="119"/>
        <v>ᷴ</v>
      </c>
    </row>
    <row r="7669" spans="1:2" x14ac:dyDescent="0.25">
      <c r="A7669">
        <v>7669</v>
      </c>
      <c r="B7669" t="str">
        <f t="shared" si="119"/>
        <v>᷵</v>
      </c>
    </row>
    <row r="7670" spans="1:2" x14ac:dyDescent="0.25">
      <c r="A7670">
        <v>7670</v>
      </c>
      <c r="B7670" t="str">
        <f t="shared" si="119"/>
        <v>᷶</v>
      </c>
    </row>
    <row r="7671" spans="1:2" x14ac:dyDescent="0.25">
      <c r="A7671">
        <v>7671</v>
      </c>
      <c r="B7671" t="str">
        <f t="shared" si="119"/>
        <v>᷷</v>
      </c>
    </row>
    <row r="7672" spans="1:2" x14ac:dyDescent="0.25">
      <c r="A7672">
        <v>7672</v>
      </c>
      <c r="B7672" t="str">
        <f t="shared" si="119"/>
        <v>᷸</v>
      </c>
    </row>
    <row r="7673" spans="1:2" x14ac:dyDescent="0.25">
      <c r="A7673">
        <v>7673</v>
      </c>
      <c r="B7673" t="str">
        <f t="shared" si="119"/>
        <v>᷹</v>
      </c>
    </row>
    <row r="7674" spans="1:2" x14ac:dyDescent="0.25">
      <c r="A7674">
        <v>7674</v>
      </c>
      <c r="B7674" t="str">
        <f t="shared" si="119"/>
        <v>᷺</v>
      </c>
    </row>
    <row r="7675" spans="1:2" x14ac:dyDescent="0.25">
      <c r="A7675">
        <v>7675</v>
      </c>
      <c r="B7675" t="str">
        <f t="shared" si="119"/>
        <v>᷻</v>
      </c>
    </row>
    <row r="7676" spans="1:2" x14ac:dyDescent="0.25">
      <c r="A7676">
        <v>7676</v>
      </c>
      <c r="B7676" t="str">
        <f t="shared" si="119"/>
        <v>᷼</v>
      </c>
    </row>
    <row r="7677" spans="1:2" x14ac:dyDescent="0.25">
      <c r="A7677">
        <v>7677</v>
      </c>
      <c r="B7677" t="str">
        <f t="shared" si="119"/>
        <v>᷽</v>
      </c>
    </row>
    <row r="7678" spans="1:2" x14ac:dyDescent="0.25">
      <c r="A7678">
        <v>7678</v>
      </c>
      <c r="B7678" t="str">
        <f t="shared" si="119"/>
        <v>᷾</v>
      </c>
    </row>
    <row r="7679" spans="1:2" x14ac:dyDescent="0.25">
      <c r="A7679">
        <v>7679</v>
      </c>
      <c r="B7679" t="str">
        <f t="shared" si="119"/>
        <v>᷿</v>
      </c>
    </row>
    <row r="7680" spans="1:2" x14ac:dyDescent="0.25">
      <c r="A7680">
        <v>7680</v>
      </c>
      <c r="B7680" t="str">
        <f t="shared" si="119"/>
        <v>Ḁ</v>
      </c>
    </row>
    <row r="7681" spans="1:2" x14ac:dyDescent="0.25">
      <c r="A7681">
        <v>7681</v>
      </c>
      <c r="B7681" t="str">
        <f t="shared" si="119"/>
        <v>ḁ</v>
      </c>
    </row>
    <row r="7682" spans="1:2" x14ac:dyDescent="0.25">
      <c r="A7682">
        <v>7682</v>
      </c>
      <c r="B7682" t="str">
        <f t="shared" ref="B7682:B7745" si="120">_xlfn.UNICHAR(A7682)</f>
        <v>Ḃ</v>
      </c>
    </row>
    <row r="7683" spans="1:2" x14ac:dyDescent="0.25">
      <c r="A7683">
        <v>7683</v>
      </c>
      <c r="B7683" t="str">
        <f t="shared" si="120"/>
        <v>ḃ</v>
      </c>
    </row>
    <row r="7684" spans="1:2" x14ac:dyDescent="0.25">
      <c r="A7684">
        <v>7684</v>
      </c>
      <c r="B7684" t="str">
        <f t="shared" si="120"/>
        <v>Ḅ</v>
      </c>
    </row>
    <row r="7685" spans="1:2" x14ac:dyDescent="0.25">
      <c r="A7685">
        <v>7685</v>
      </c>
      <c r="B7685" t="str">
        <f t="shared" si="120"/>
        <v>ḅ</v>
      </c>
    </row>
    <row r="7686" spans="1:2" x14ac:dyDescent="0.25">
      <c r="A7686">
        <v>7686</v>
      </c>
      <c r="B7686" t="str">
        <f t="shared" si="120"/>
        <v>Ḇ</v>
      </c>
    </row>
    <row r="7687" spans="1:2" x14ac:dyDescent="0.25">
      <c r="A7687">
        <v>7687</v>
      </c>
      <c r="B7687" t="str">
        <f t="shared" si="120"/>
        <v>ḇ</v>
      </c>
    </row>
    <row r="7688" spans="1:2" x14ac:dyDescent="0.25">
      <c r="A7688">
        <v>7688</v>
      </c>
      <c r="B7688" t="str">
        <f t="shared" si="120"/>
        <v>Ḉ</v>
      </c>
    </row>
    <row r="7689" spans="1:2" x14ac:dyDescent="0.25">
      <c r="A7689">
        <v>7689</v>
      </c>
      <c r="B7689" t="str">
        <f t="shared" si="120"/>
        <v>ḉ</v>
      </c>
    </row>
    <row r="7690" spans="1:2" x14ac:dyDescent="0.25">
      <c r="A7690">
        <v>7690</v>
      </c>
      <c r="B7690" t="str">
        <f t="shared" si="120"/>
        <v>Ḋ</v>
      </c>
    </row>
    <row r="7691" spans="1:2" x14ac:dyDescent="0.25">
      <c r="A7691">
        <v>7691</v>
      </c>
      <c r="B7691" t="str">
        <f t="shared" si="120"/>
        <v>ḋ</v>
      </c>
    </row>
    <row r="7692" spans="1:2" x14ac:dyDescent="0.25">
      <c r="A7692">
        <v>7692</v>
      </c>
      <c r="B7692" t="str">
        <f t="shared" si="120"/>
        <v>Ḍ</v>
      </c>
    </row>
    <row r="7693" spans="1:2" x14ac:dyDescent="0.25">
      <c r="A7693">
        <v>7693</v>
      </c>
      <c r="B7693" t="str">
        <f t="shared" si="120"/>
        <v>ḍ</v>
      </c>
    </row>
    <row r="7694" spans="1:2" x14ac:dyDescent="0.25">
      <c r="A7694">
        <v>7694</v>
      </c>
      <c r="B7694" t="str">
        <f t="shared" si="120"/>
        <v>Ḏ</v>
      </c>
    </row>
    <row r="7695" spans="1:2" x14ac:dyDescent="0.25">
      <c r="A7695">
        <v>7695</v>
      </c>
      <c r="B7695" t="str">
        <f t="shared" si="120"/>
        <v>ḏ</v>
      </c>
    </row>
    <row r="7696" spans="1:2" x14ac:dyDescent="0.25">
      <c r="A7696">
        <v>7696</v>
      </c>
      <c r="B7696" t="str">
        <f t="shared" si="120"/>
        <v>Ḑ</v>
      </c>
    </row>
    <row r="7697" spans="1:2" x14ac:dyDescent="0.25">
      <c r="A7697">
        <v>7697</v>
      </c>
      <c r="B7697" t="str">
        <f t="shared" si="120"/>
        <v>ḑ</v>
      </c>
    </row>
    <row r="7698" spans="1:2" x14ac:dyDescent="0.25">
      <c r="A7698">
        <v>7698</v>
      </c>
      <c r="B7698" t="str">
        <f t="shared" si="120"/>
        <v>Ḓ</v>
      </c>
    </row>
    <row r="7699" spans="1:2" x14ac:dyDescent="0.25">
      <c r="A7699">
        <v>7699</v>
      </c>
      <c r="B7699" t="str">
        <f t="shared" si="120"/>
        <v>ḓ</v>
      </c>
    </row>
    <row r="7700" spans="1:2" x14ac:dyDescent="0.25">
      <c r="A7700">
        <v>7700</v>
      </c>
      <c r="B7700" t="str">
        <f t="shared" si="120"/>
        <v>Ḕ</v>
      </c>
    </row>
    <row r="7701" spans="1:2" x14ac:dyDescent="0.25">
      <c r="A7701">
        <v>7701</v>
      </c>
      <c r="B7701" t="str">
        <f t="shared" si="120"/>
        <v>ḕ</v>
      </c>
    </row>
    <row r="7702" spans="1:2" x14ac:dyDescent="0.25">
      <c r="A7702">
        <v>7702</v>
      </c>
      <c r="B7702" t="str">
        <f t="shared" si="120"/>
        <v>Ḗ</v>
      </c>
    </row>
    <row r="7703" spans="1:2" x14ac:dyDescent="0.25">
      <c r="A7703">
        <v>7703</v>
      </c>
      <c r="B7703" t="str">
        <f t="shared" si="120"/>
        <v>ḗ</v>
      </c>
    </row>
    <row r="7704" spans="1:2" x14ac:dyDescent="0.25">
      <c r="A7704">
        <v>7704</v>
      </c>
      <c r="B7704" t="str">
        <f t="shared" si="120"/>
        <v>Ḙ</v>
      </c>
    </row>
    <row r="7705" spans="1:2" x14ac:dyDescent="0.25">
      <c r="A7705">
        <v>7705</v>
      </c>
      <c r="B7705" t="str">
        <f t="shared" si="120"/>
        <v>ḙ</v>
      </c>
    </row>
    <row r="7706" spans="1:2" x14ac:dyDescent="0.25">
      <c r="A7706">
        <v>7706</v>
      </c>
      <c r="B7706" t="str">
        <f t="shared" si="120"/>
        <v>Ḛ</v>
      </c>
    </row>
    <row r="7707" spans="1:2" x14ac:dyDescent="0.25">
      <c r="A7707">
        <v>7707</v>
      </c>
      <c r="B7707" t="str">
        <f t="shared" si="120"/>
        <v>ḛ</v>
      </c>
    </row>
    <row r="7708" spans="1:2" x14ac:dyDescent="0.25">
      <c r="A7708">
        <v>7708</v>
      </c>
      <c r="B7708" t="str">
        <f t="shared" si="120"/>
        <v>Ḝ</v>
      </c>
    </row>
    <row r="7709" spans="1:2" x14ac:dyDescent="0.25">
      <c r="A7709">
        <v>7709</v>
      </c>
      <c r="B7709" t="str">
        <f t="shared" si="120"/>
        <v>ḝ</v>
      </c>
    </row>
    <row r="7710" spans="1:2" x14ac:dyDescent="0.25">
      <c r="A7710">
        <v>7710</v>
      </c>
      <c r="B7710" t="str">
        <f t="shared" si="120"/>
        <v>Ḟ</v>
      </c>
    </row>
    <row r="7711" spans="1:2" x14ac:dyDescent="0.25">
      <c r="A7711">
        <v>7711</v>
      </c>
      <c r="B7711" t="str">
        <f t="shared" si="120"/>
        <v>ḟ</v>
      </c>
    </row>
    <row r="7712" spans="1:2" x14ac:dyDescent="0.25">
      <c r="A7712">
        <v>7712</v>
      </c>
      <c r="B7712" t="str">
        <f t="shared" si="120"/>
        <v>Ḡ</v>
      </c>
    </row>
    <row r="7713" spans="1:2" x14ac:dyDescent="0.25">
      <c r="A7713">
        <v>7713</v>
      </c>
      <c r="B7713" t="str">
        <f t="shared" si="120"/>
        <v>ḡ</v>
      </c>
    </row>
    <row r="7714" spans="1:2" x14ac:dyDescent="0.25">
      <c r="A7714">
        <v>7714</v>
      </c>
      <c r="B7714" t="str">
        <f t="shared" si="120"/>
        <v>Ḣ</v>
      </c>
    </row>
    <row r="7715" spans="1:2" x14ac:dyDescent="0.25">
      <c r="A7715">
        <v>7715</v>
      </c>
      <c r="B7715" t="str">
        <f t="shared" si="120"/>
        <v>ḣ</v>
      </c>
    </row>
    <row r="7716" spans="1:2" x14ac:dyDescent="0.25">
      <c r="A7716">
        <v>7716</v>
      </c>
      <c r="B7716" t="str">
        <f t="shared" si="120"/>
        <v>Ḥ</v>
      </c>
    </row>
    <row r="7717" spans="1:2" x14ac:dyDescent="0.25">
      <c r="A7717">
        <v>7717</v>
      </c>
      <c r="B7717" t="str">
        <f t="shared" si="120"/>
        <v>ḥ</v>
      </c>
    </row>
    <row r="7718" spans="1:2" x14ac:dyDescent="0.25">
      <c r="A7718">
        <v>7718</v>
      </c>
      <c r="B7718" t="str">
        <f t="shared" si="120"/>
        <v>Ḧ</v>
      </c>
    </row>
    <row r="7719" spans="1:2" x14ac:dyDescent="0.25">
      <c r="A7719">
        <v>7719</v>
      </c>
      <c r="B7719" t="str">
        <f t="shared" si="120"/>
        <v>ḧ</v>
      </c>
    </row>
    <row r="7720" spans="1:2" x14ac:dyDescent="0.25">
      <c r="A7720">
        <v>7720</v>
      </c>
      <c r="B7720" t="str">
        <f t="shared" si="120"/>
        <v>Ḩ</v>
      </c>
    </row>
    <row r="7721" spans="1:2" x14ac:dyDescent="0.25">
      <c r="A7721">
        <v>7721</v>
      </c>
      <c r="B7721" t="str">
        <f t="shared" si="120"/>
        <v>ḩ</v>
      </c>
    </row>
    <row r="7722" spans="1:2" x14ac:dyDescent="0.25">
      <c r="A7722">
        <v>7722</v>
      </c>
      <c r="B7722" t="str">
        <f t="shared" si="120"/>
        <v>Ḫ</v>
      </c>
    </row>
    <row r="7723" spans="1:2" x14ac:dyDescent="0.25">
      <c r="A7723">
        <v>7723</v>
      </c>
      <c r="B7723" t="str">
        <f t="shared" si="120"/>
        <v>ḫ</v>
      </c>
    </row>
    <row r="7724" spans="1:2" x14ac:dyDescent="0.25">
      <c r="A7724">
        <v>7724</v>
      </c>
      <c r="B7724" t="str">
        <f t="shared" si="120"/>
        <v>Ḭ</v>
      </c>
    </row>
    <row r="7725" spans="1:2" x14ac:dyDescent="0.25">
      <c r="A7725">
        <v>7725</v>
      </c>
      <c r="B7725" t="str">
        <f t="shared" si="120"/>
        <v>ḭ</v>
      </c>
    </row>
    <row r="7726" spans="1:2" x14ac:dyDescent="0.25">
      <c r="A7726">
        <v>7726</v>
      </c>
      <c r="B7726" t="str">
        <f t="shared" si="120"/>
        <v>Ḯ</v>
      </c>
    </row>
    <row r="7727" spans="1:2" x14ac:dyDescent="0.25">
      <c r="A7727">
        <v>7727</v>
      </c>
      <c r="B7727" t="str">
        <f t="shared" si="120"/>
        <v>ḯ</v>
      </c>
    </row>
    <row r="7728" spans="1:2" x14ac:dyDescent="0.25">
      <c r="A7728">
        <v>7728</v>
      </c>
      <c r="B7728" t="str">
        <f t="shared" si="120"/>
        <v>Ḱ</v>
      </c>
    </row>
    <row r="7729" spans="1:2" x14ac:dyDescent="0.25">
      <c r="A7729">
        <v>7729</v>
      </c>
      <c r="B7729" t="str">
        <f t="shared" si="120"/>
        <v>ḱ</v>
      </c>
    </row>
    <row r="7730" spans="1:2" x14ac:dyDescent="0.25">
      <c r="A7730">
        <v>7730</v>
      </c>
      <c r="B7730" t="str">
        <f t="shared" si="120"/>
        <v>Ḳ</v>
      </c>
    </row>
    <row r="7731" spans="1:2" x14ac:dyDescent="0.25">
      <c r="A7731">
        <v>7731</v>
      </c>
      <c r="B7731" t="str">
        <f t="shared" si="120"/>
        <v>ḳ</v>
      </c>
    </row>
    <row r="7732" spans="1:2" x14ac:dyDescent="0.25">
      <c r="A7732">
        <v>7732</v>
      </c>
      <c r="B7732" t="str">
        <f t="shared" si="120"/>
        <v>Ḵ</v>
      </c>
    </row>
    <row r="7733" spans="1:2" x14ac:dyDescent="0.25">
      <c r="A7733">
        <v>7733</v>
      </c>
      <c r="B7733" t="str">
        <f t="shared" si="120"/>
        <v>ḵ</v>
      </c>
    </row>
    <row r="7734" spans="1:2" x14ac:dyDescent="0.25">
      <c r="A7734">
        <v>7734</v>
      </c>
      <c r="B7734" t="str">
        <f t="shared" si="120"/>
        <v>Ḷ</v>
      </c>
    </row>
    <row r="7735" spans="1:2" x14ac:dyDescent="0.25">
      <c r="A7735">
        <v>7735</v>
      </c>
      <c r="B7735" t="str">
        <f t="shared" si="120"/>
        <v>ḷ</v>
      </c>
    </row>
    <row r="7736" spans="1:2" x14ac:dyDescent="0.25">
      <c r="A7736">
        <v>7736</v>
      </c>
      <c r="B7736" t="str">
        <f t="shared" si="120"/>
        <v>Ḹ</v>
      </c>
    </row>
    <row r="7737" spans="1:2" x14ac:dyDescent="0.25">
      <c r="A7737">
        <v>7737</v>
      </c>
      <c r="B7737" t="str">
        <f t="shared" si="120"/>
        <v>ḹ</v>
      </c>
    </row>
    <row r="7738" spans="1:2" x14ac:dyDescent="0.25">
      <c r="A7738">
        <v>7738</v>
      </c>
      <c r="B7738" t="str">
        <f t="shared" si="120"/>
        <v>Ḻ</v>
      </c>
    </row>
    <row r="7739" spans="1:2" x14ac:dyDescent="0.25">
      <c r="A7739">
        <v>7739</v>
      </c>
      <c r="B7739" t="str">
        <f t="shared" si="120"/>
        <v>ḻ</v>
      </c>
    </row>
    <row r="7740" spans="1:2" x14ac:dyDescent="0.25">
      <c r="A7740">
        <v>7740</v>
      </c>
      <c r="B7740" t="str">
        <f t="shared" si="120"/>
        <v>Ḽ</v>
      </c>
    </row>
    <row r="7741" spans="1:2" x14ac:dyDescent="0.25">
      <c r="A7741">
        <v>7741</v>
      </c>
      <c r="B7741" t="str">
        <f t="shared" si="120"/>
        <v>ḽ</v>
      </c>
    </row>
    <row r="7742" spans="1:2" x14ac:dyDescent="0.25">
      <c r="A7742">
        <v>7742</v>
      </c>
      <c r="B7742" t="str">
        <f t="shared" si="120"/>
        <v>Ḿ</v>
      </c>
    </row>
    <row r="7743" spans="1:2" x14ac:dyDescent="0.25">
      <c r="A7743">
        <v>7743</v>
      </c>
      <c r="B7743" t="str">
        <f t="shared" si="120"/>
        <v>ḿ</v>
      </c>
    </row>
    <row r="7744" spans="1:2" x14ac:dyDescent="0.25">
      <c r="A7744">
        <v>7744</v>
      </c>
      <c r="B7744" t="str">
        <f t="shared" si="120"/>
        <v>Ṁ</v>
      </c>
    </row>
    <row r="7745" spans="1:2" x14ac:dyDescent="0.25">
      <c r="A7745">
        <v>7745</v>
      </c>
      <c r="B7745" t="str">
        <f t="shared" si="120"/>
        <v>ṁ</v>
      </c>
    </row>
    <row r="7746" spans="1:2" x14ac:dyDescent="0.25">
      <c r="A7746">
        <v>7746</v>
      </c>
      <c r="B7746" t="str">
        <f t="shared" ref="B7746:B7809" si="121">_xlfn.UNICHAR(A7746)</f>
        <v>Ṃ</v>
      </c>
    </row>
    <row r="7747" spans="1:2" x14ac:dyDescent="0.25">
      <c r="A7747">
        <v>7747</v>
      </c>
      <c r="B7747" t="str">
        <f t="shared" si="121"/>
        <v>ṃ</v>
      </c>
    </row>
    <row r="7748" spans="1:2" x14ac:dyDescent="0.25">
      <c r="A7748">
        <v>7748</v>
      </c>
      <c r="B7748" t="str">
        <f t="shared" si="121"/>
        <v>Ṅ</v>
      </c>
    </row>
    <row r="7749" spans="1:2" x14ac:dyDescent="0.25">
      <c r="A7749">
        <v>7749</v>
      </c>
      <c r="B7749" t="str">
        <f t="shared" si="121"/>
        <v>ṅ</v>
      </c>
    </row>
    <row r="7750" spans="1:2" x14ac:dyDescent="0.25">
      <c r="A7750">
        <v>7750</v>
      </c>
      <c r="B7750" t="str">
        <f t="shared" si="121"/>
        <v>Ṇ</v>
      </c>
    </row>
    <row r="7751" spans="1:2" x14ac:dyDescent="0.25">
      <c r="A7751">
        <v>7751</v>
      </c>
      <c r="B7751" t="str">
        <f t="shared" si="121"/>
        <v>ṇ</v>
      </c>
    </row>
    <row r="7752" spans="1:2" x14ac:dyDescent="0.25">
      <c r="A7752">
        <v>7752</v>
      </c>
      <c r="B7752" t="str">
        <f t="shared" si="121"/>
        <v>Ṉ</v>
      </c>
    </row>
    <row r="7753" spans="1:2" x14ac:dyDescent="0.25">
      <c r="A7753">
        <v>7753</v>
      </c>
      <c r="B7753" t="str">
        <f t="shared" si="121"/>
        <v>ṉ</v>
      </c>
    </row>
    <row r="7754" spans="1:2" x14ac:dyDescent="0.25">
      <c r="A7754">
        <v>7754</v>
      </c>
      <c r="B7754" t="str">
        <f t="shared" si="121"/>
        <v>Ṋ</v>
      </c>
    </row>
    <row r="7755" spans="1:2" x14ac:dyDescent="0.25">
      <c r="A7755">
        <v>7755</v>
      </c>
      <c r="B7755" t="str">
        <f t="shared" si="121"/>
        <v>ṋ</v>
      </c>
    </row>
    <row r="7756" spans="1:2" x14ac:dyDescent="0.25">
      <c r="A7756">
        <v>7756</v>
      </c>
      <c r="B7756" t="str">
        <f t="shared" si="121"/>
        <v>Ṍ</v>
      </c>
    </row>
    <row r="7757" spans="1:2" x14ac:dyDescent="0.25">
      <c r="A7757">
        <v>7757</v>
      </c>
      <c r="B7757" t="str">
        <f t="shared" si="121"/>
        <v>ṍ</v>
      </c>
    </row>
    <row r="7758" spans="1:2" x14ac:dyDescent="0.25">
      <c r="A7758">
        <v>7758</v>
      </c>
      <c r="B7758" t="str">
        <f t="shared" si="121"/>
        <v>Ṏ</v>
      </c>
    </row>
    <row r="7759" spans="1:2" x14ac:dyDescent="0.25">
      <c r="A7759">
        <v>7759</v>
      </c>
      <c r="B7759" t="str">
        <f t="shared" si="121"/>
        <v>ṏ</v>
      </c>
    </row>
    <row r="7760" spans="1:2" x14ac:dyDescent="0.25">
      <c r="A7760">
        <v>7760</v>
      </c>
      <c r="B7760" t="str">
        <f t="shared" si="121"/>
        <v>Ṑ</v>
      </c>
    </row>
    <row r="7761" spans="1:2" x14ac:dyDescent="0.25">
      <c r="A7761">
        <v>7761</v>
      </c>
      <c r="B7761" t="str">
        <f t="shared" si="121"/>
        <v>ṑ</v>
      </c>
    </row>
    <row r="7762" spans="1:2" x14ac:dyDescent="0.25">
      <c r="A7762">
        <v>7762</v>
      </c>
      <c r="B7762" t="str">
        <f t="shared" si="121"/>
        <v>Ṓ</v>
      </c>
    </row>
    <row r="7763" spans="1:2" x14ac:dyDescent="0.25">
      <c r="A7763">
        <v>7763</v>
      </c>
      <c r="B7763" t="str">
        <f t="shared" si="121"/>
        <v>ṓ</v>
      </c>
    </row>
    <row r="7764" spans="1:2" x14ac:dyDescent="0.25">
      <c r="A7764">
        <v>7764</v>
      </c>
      <c r="B7764" t="str">
        <f t="shared" si="121"/>
        <v>Ṕ</v>
      </c>
    </row>
    <row r="7765" spans="1:2" x14ac:dyDescent="0.25">
      <c r="A7765">
        <v>7765</v>
      </c>
      <c r="B7765" t="str">
        <f t="shared" si="121"/>
        <v>ṕ</v>
      </c>
    </row>
    <row r="7766" spans="1:2" x14ac:dyDescent="0.25">
      <c r="A7766">
        <v>7766</v>
      </c>
      <c r="B7766" t="str">
        <f t="shared" si="121"/>
        <v>Ṗ</v>
      </c>
    </row>
    <row r="7767" spans="1:2" x14ac:dyDescent="0.25">
      <c r="A7767">
        <v>7767</v>
      </c>
      <c r="B7767" t="str">
        <f t="shared" si="121"/>
        <v>ṗ</v>
      </c>
    </row>
    <row r="7768" spans="1:2" x14ac:dyDescent="0.25">
      <c r="A7768">
        <v>7768</v>
      </c>
      <c r="B7768" t="str">
        <f t="shared" si="121"/>
        <v>Ṙ</v>
      </c>
    </row>
    <row r="7769" spans="1:2" x14ac:dyDescent="0.25">
      <c r="A7769">
        <v>7769</v>
      </c>
      <c r="B7769" t="str">
        <f t="shared" si="121"/>
        <v>ṙ</v>
      </c>
    </row>
    <row r="7770" spans="1:2" x14ac:dyDescent="0.25">
      <c r="A7770">
        <v>7770</v>
      </c>
      <c r="B7770" t="str">
        <f t="shared" si="121"/>
        <v>Ṛ</v>
      </c>
    </row>
    <row r="7771" spans="1:2" x14ac:dyDescent="0.25">
      <c r="A7771">
        <v>7771</v>
      </c>
      <c r="B7771" t="str">
        <f t="shared" si="121"/>
        <v>ṛ</v>
      </c>
    </row>
    <row r="7772" spans="1:2" x14ac:dyDescent="0.25">
      <c r="A7772">
        <v>7772</v>
      </c>
      <c r="B7772" t="str">
        <f t="shared" si="121"/>
        <v>Ṝ</v>
      </c>
    </row>
    <row r="7773" spans="1:2" x14ac:dyDescent="0.25">
      <c r="A7773">
        <v>7773</v>
      </c>
      <c r="B7773" t="str">
        <f t="shared" si="121"/>
        <v>ṝ</v>
      </c>
    </row>
    <row r="7774" spans="1:2" x14ac:dyDescent="0.25">
      <c r="A7774">
        <v>7774</v>
      </c>
      <c r="B7774" t="str">
        <f t="shared" si="121"/>
        <v>Ṟ</v>
      </c>
    </row>
    <row r="7775" spans="1:2" x14ac:dyDescent="0.25">
      <c r="A7775">
        <v>7775</v>
      </c>
      <c r="B7775" t="str">
        <f t="shared" si="121"/>
        <v>ṟ</v>
      </c>
    </row>
    <row r="7776" spans="1:2" x14ac:dyDescent="0.25">
      <c r="A7776">
        <v>7776</v>
      </c>
      <c r="B7776" t="str">
        <f t="shared" si="121"/>
        <v>Ṡ</v>
      </c>
    </row>
    <row r="7777" spans="1:2" x14ac:dyDescent="0.25">
      <c r="A7777">
        <v>7777</v>
      </c>
      <c r="B7777" t="str">
        <f t="shared" si="121"/>
        <v>ṡ</v>
      </c>
    </row>
    <row r="7778" spans="1:2" x14ac:dyDescent="0.25">
      <c r="A7778">
        <v>7778</v>
      </c>
      <c r="B7778" t="str">
        <f t="shared" si="121"/>
        <v>Ṣ</v>
      </c>
    </row>
    <row r="7779" spans="1:2" x14ac:dyDescent="0.25">
      <c r="A7779">
        <v>7779</v>
      </c>
      <c r="B7779" t="str">
        <f t="shared" si="121"/>
        <v>ṣ</v>
      </c>
    </row>
    <row r="7780" spans="1:2" x14ac:dyDescent="0.25">
      <c r="A7780">
        <v>7780</v>
      </c>
      <c r="B7780" t="str">
        <f t="shared" si="121"/>
        <v>Ṥ</v>
      </c>
    </row>
    <row r="7781" spans="1:2" x14ac:dyDescent="0.25">
      <c r="A7781">
        <v>7781</v>
      </c>
      <c r="B7781" t="str">
        <f t="shared" si="121"/>
        <v>ṥ</v>
      </c>
    </row>
    <row r="7782" spans="1:2" x14ac:dyDescent="0.25">
      <c r="A7782">
        <v>7782</v>
      </c>
      <c r="B7782" t="str">
        <f t="shared" si="121"/>
        <v>Ṧ</v>
      </c>
    </row>
    <row r="7783" spans="1:2" x14ac:dyDescent="0.25">
      <c r="A7783">
        <v>7783</v>
      </c>
      <c r="B7783" t="str">
        <f t="shared" si="121"/>
        <v>ṧ</v>
      </c>
    </row>
    <row r="7784" spans="1:2" x14ac:dyDescent="0.25">
      <c r="A7784">
        <v>7784</v>
      </c>
      <c r="B7784" t="str">
        <f t="shared" si="121"/>
        <v>Ṩ</v>
      </c>
    </row>
    <row r="7785" spans="1:2" x14ac:dyDescent="0.25">
      <c r="A7785">
        <v>7785</v>
      </c>
      <c r="B7785" t="str">
        <f t="shared" si="121"/>
        <v>ṩ</v>
      </c>
    </row>
    <row r="7786" spans="1:2" x14ac:dyDescent="0.25">
      <c r="A7786">
        <v>7786</v>
      </c>
      <c r="B7786" t="str">
        <f t="shared" si="121"/>
        <v>Ṫ</v>
      </c>
    </row>
    <row r="7787" spans="1:2" x14ac:dyDescent="0.25">
      <c r="A7787">
        <v>7787</v>
      </c>
      <c r="B7787" t="str">
        <f t="shared" si="121"/>
        <v>ṫ</v>
      </c>
    </row>
    <row r="7788" spans="1:2" x14ac:dyDescent="0.25">
      <c r="A7788">
        <v>7788</v>
      </c>
      <c r="B7788" t="str">
        <f t="shared" si="121"/>
        <v>Ṭ</v>
      </c>
    </row>
    <row r="7789" spans="1:2" x14ac:dyDescent="0.25">
      <c r="A7789">
        <v>7789</v>
      </c>
      <c r="B7789" t="str">
        <f t="shared" si="121"/>
        <v>ṭ</v>
      </c>
    </row>
    <row r="7790" spans="1:2" x14ac:dyDescent="0.25">
      <c r="A7790">
        <v>7790</v>
      </c>
      <c r="B7790" t="str">
        <f t="shared" si="121"/>
        <v>Ṯ</v>
      </c>
    </row>
    <row r="7791" spans="1:2" x14ac:dyDescent="0.25">
      <c r="A7791">
        <v>7791</v>
      </c>
      <c r="B7791" t="str">
        <f t="shared" si="121"/>
        <v>ṯ</v>
      </c>
    </row>
    <row r="7792" spans="1:2" x14ac:dyDescent="0.25">
      <c r="A7792">
        <v>7792</v>
      </c>
      <c r="B7792" t="str">
        <f t="shared" si="121"/>
        <v>Ṱ</v>
      </c>
    </row>
    <row r="7793" spans="1:2" x14ac:dyDescent="0.25">
      <c r="A7793">
        <v>7793</v>
      </c>
      <c r="B7793" t="str">
        <f t="shared" si="121"/>
        <v>ṱ</v>
      </c>
    </row>
    <row r="7794" spans="1:2" x14ac:dyDescent="0.25">
      <c r="A7794">
        <v>7794</v>
      </c>
      <c r="B7794" t="str">
        <f t="shared" si="121"/>
        <v>Ṳ</v>
      </c>
    </row>
    <row r="7795" spans="1:2" x14ac:dyDescent="0.25">
      <c r="A7795">
        <v>7795</v>
      </c>
      <c r="B7795" t="str">
        <f t="shared" si="121"/>
        <v>ṳ</v>
      </c>
    </row>
    <row r="7796" spans="1:2" x14ac:dyDescent="0.25">
      <c r="A7796">
        <v>7796</v>
      </c>
      <c r="B7796" t="str">
        <f t="shared" si="121"/>
        <v>Ṵ</v>
      </c>
    </row>
    <row r="7797" spans="1:2" x14ac:dyDescent="0.25">
      <c r="A7797">
        <v>7797</v>
      </c>
      <c r="B7797" t="str">
        <f t="shared" si="121"/>
        <v>ṵ</v>
      </c>
    </row>
    <row r="7798" spans="1:2" x14ac:dyDescent="0.25">
      <c r="A7798">
        <v>7798</v>
      </c>
      <c r="B7798" t="str">
        <f t="shared" si="121"/>
        <v>Ṷ</v>
      </c>
    </row>
    <row r="7799" spans="1:2" x14ac:dyDescent="0.25">
      <c r="A7799">
        <v>7799</v>
      </c>
      <c r="B7799" t="str">
        <f t="shared" si="121"/>
        <v>ṷ</v>
      </c>
    </row>
    <row r="7800" spans="1:2" x14ac:dyDescent="0.25">
      <c r="A7800">
        <v>7800</v>
      </c>
      <c r="B7800" t="str">
        <f t="shared" si="121"/>
        <v>Ṹ</v>
      </c>
    </row>
    <row r="7801" spans="1:2" x14ac:dyDescent="0.25">
      <c r="A7801">
        <v>7801</v>
      </c>
      <c r="B7801" t="str">
        <f t="shared" si="121"/>
        <v>ṹ</v>
      </c>
    </row>
    <row r="7802" spans="1:2" x14ac:dyDescent="0.25">
      <c r="A7802">
        <v>7802</v>
      </c>
      <c r="B7802" t="str">
        <f t="shared" si="121"/>
        <v>Ṻ</v>
      </c>
    </row>
    <row r="7803" spans="1:2" x14ac:dyDescent="0.25">
      <c r="A7803">
        <v>7803</v>
      </c>
      <c r="B7803" t="str">
        <f t="shared" si="121"/>
        <v>ṻ</v>
      </c>
    </row>
    <row r="7804" spans="1:2" x14ac:dyDescent="0.25">
      <c r="A7804">
        <v>7804</v>
      </c>
      <c r="B7804" t="str">
        <f t="shared" si="121"/>
        <v>Ṽ</v>
      </c>
    </row>
    <row r="7805" spans="1:2" x14ac:dyDescent="0.25">
      <c r="A7805">
        <v>7805</v>
      </c>
      <c r="B7805" t="str">
        <f t="shared" si="121"/>
        <v>ṽ</v>
      </c>
    </row>
    <row r="7806" spans="1:2" x14ac:dyDescent="0.25">
      <c r="A7806">
        <v>7806</v>
      </c>
      <c r="B7806" t="str">
        <f t="shared" si="121"/>
        <v>Ṿ</v>
      </c>
    </row>
    <row r="7807" spans="1:2" x14ac:dyDescent="0.25">
      <c r="A7807">
        <v>7807</v>
      </c>
      <c r="B7807" t="str">
        <f t="shared" si="121"/>
        <v>ṿ</v>
      </c>
    </row>
    <row r="7808" spans="1:2" x14ac:dyDescent="0.25">
      <c r="A7808">
        <v>7808</v>
      </c>
      <c r="B7808" t="str">
        <f t="shared" si="121"/>
        <v>Ẁ</v>
      </c>
    </row>
    <row r="7809" spans="1:2" x14ac:dyDescent="0.25">
      <c r="A7809">
        <v>7809</v>
      </c>
      <c r="B7809" t="str">
        <f t="shared" si="121"/>
        <v>ẁ</v>
      </c>
    </row>
    <row r="7810" spans="1:2" x14ac:dyDescent="0.25">
      <c r="A7810">
        <v>7810</v>
      </c>
      <c r="B7810" t="str">
        <f t="shared" ref="B7810:B7873" si="122">_xlfn.UNICHAR(A7810)</f>
        <v>Ẃ</v>
      </c>
    </row>
    <row r="7811" spans="1:2" x14ac:dyDescent="0.25">
      <c r="A7811">
        <v>7811</v>
      </c>
      <c r="B7811" t="str">
        <f t="shared" si="122"/>
        <v>ẃ</v>
      </c>
    </row>
    <row r="7812" spans="1:2" x14ac:dyDescent="0.25">
      <c r="A7812">
        <v>7812</v>
      </c>
      <c r="B7812" t="str">
        <f t="shared" si="122"/>
        <v>Ẅ</v>
      </c>
    </row>
    <row r="7813" spans="1:2" x14ac:dyDescent="0.25">
      <c r="A7813">
        <v>7813</v>
      </c>
      <c r="B7813" t="str">
        <f t="shared" si="122"/>
        <v>ẅ</v>
      </c>
    </row>
    <row r="7814" spans="1:2" x14ac:dyDescent="0.25">
      <c r="A7814">
        <v>7814</v>
      </c>
      <c r="B7814" t="str">
        <f t="shared" si="122"/>
        <v>Ẇ</v>
      </c>
    </row>
    <row r="7815" spans="1:2" x14ac:dyDescent="0.25">
      <c r="A7815">
        <v>7815</v>
      </c>
      <c r="B7815" t="str">
        <f t="shared" si="122"/>
        <v>ẇ</v>
      </c>
    </row>
    <row r="7816" spans="1:2" x14ac:dyDescent="0.25">
      <c r="A7816">
        <v>7816</v>
      </c>
      <c r="B7816" t="str">
        <f t="shared" si="122"/>
        <v>Ẉ</v>
      </c>
    </row>
    <row r="7817" spans="1:2" x14ac:dyDescent="0.25">
      <c r="A7817">
        <v>7817</v>
      </c>
      <c r="B7817" t="str">
        <f t="shared" si="122"/>
        <v>ẉ</v>
      </c>
    </row>
    <row r="7818" spans="1:2" x14ac:dyDescent="0.25">
      <c r="A7818">
        <v>7818</v>
      </c>
      <c r="B7818" t="str">
        <f t="shared" si="122"/>
        <v>Ẋ</v>
      </c>
    </row>
    <row r="7819" spans="1:2" x14ac:dyDescent="0.25">
      <c r="A7819">
        <v>7819</v>
      </c>
      <c r="B7819" t="str">
        <f t="shared" si="122"/>
        <v>ẋ</v>
      </c>
    </row>
    <row r="7820" spans="1:2" x14ac:dyDescent="0.25">
      <c r="A7820">
        <v>7820</v>
      </c>
      <c r="B7820" t="str">
        <f t="shared" si="122"/>
        <v>Ẍ</v>
      </c>
    </row>
    <row r="7821" spans="1:2" x14ac:dyDescent="0.25">
      <c r="A7821">
        <v>7821</v>
      </c>
      <c r="B7821" t="str">
        <f t="shared" si="122"/>
        <v>ẍ</v>
      </c>
    </row>
    <row r="7822" spans="1:2" x14ac:dyDescent="0.25">
      <c r="A7822">
        <v>7822</v>
      </c>
      <c r="B7822" t="str">
        <f t="shared" si="122"/>
        <v>Ẏ</v>
      </c>
    </row>
    <row r="7823" spans="1:2" x14ac:dyDescent="0.25">
      <c r="A7823">
        <v>7823</v>
      </c>
      <c r="B7823" t="str">
        <f t="shared" si="122"/>
        <v>ẏ</v>
      </c>
    </row>
    <row r="7824" spans="1:2" x14ac:dyDescent="0.25">
      <c r="A7824">
        <v>7824</v>
      </c>
      <c r="B7824" t="str">
        <f t="shared" si="122"/>
        <v>Ẑ</v>
      </c>
    </row>
    <row r="7825" spans="1:2" x14ac:dyDescent="0.25">
      <c r="A7825">
        <v>7825</v>
      </c>
      <c r="B7825" t="str">
        <f t="shared" si="122"/>
        <v>ẑ</v>
      </c>
    </row>
    <row r="7826" spans="1:2" x14ac:dyDescent="0.25">
      <c r="A7826">
        <v>7826</v>
      </c>
      <c r="B7826" t="str">
        <f t="shared" si="122"/>
        <v>Ẓ</v>
      </c>
    </row>
    <row r="7827" spans="1:2" x14ac:dyDescent="0.25">
      <c r="A7827">
        <v>7827</v>
      </c>
      <c r="B7827" t="str">
        <f t="shared" si="122"/>
        <v>ẓ</v>
      </c>
    </row>
    <row r="7828" spans="1:2" x14ac:dyDescent="0.25">
      <c r="A7828">
        <v>7828</v>
      </c>
      <c r="B7828" t="str">
        <f t="shared" si="122"/>
        <v>Ẕ</v>
      </c>
    </row>
    <row r="7829" spans="1:2" x14ac:dyDescent="0.25">
      <c r="A7829">
        <v>7829</v>
      </c>
      <c r="B7829" t="str">
        <f t="shared" si="122"/>
        <v>ẕ</v>
      </c>
    </row>
    <row r="7830" spans="1:2" x14ac:dyDescent="0.25">
      <c r="A7830">
        <v>7830</v>
      </c>
      <c r="B7830" t="str">
        <f t="shared" si="122"/>
        <v>ẖ</v>
      </c>
    </row>
    <row r="7831" spans="1:2" x14ac:dyDescent="0.25">
      <c r="A7831">
        <v>7831</v>
      </c>
      <c r="B7831" t="str">
        <f t="shared" si="122"/>
        <v>ẗ</v>
      </c>
    </row>
    <row r="7832" spans="1:2" x14ac:dyDescent="0.25">
      <c r="A7832">
        <v>7832</v>
      </c>
      <c r="B7832" t="str">
        <f t="shared" si="122"/>
        <v>ẘ</v>
      </c>
    </row>
    <row r="7833" spans="1:2" x14ac:dyDescent="0.25">
      <c r="A7833">
        <v>7833</v>
      </c>
      <c r="B7833" t="str">
        <f t="shared" si="122"/>
        <v>ẙ</v>
      </c>
    </row>
    <row r="7834" spans="1:2" x14ac:dyDescent="0.25">
      <c r="A7834">
        <v>7834</v>
      </c>
      <c r="B7834" t="str">
        <f t="shared" si="122"/>
        <v>ẚ</v>
      </c>
    </row>
    <row r="7835" spans="1:2" x14ac:dyDescent="0.25">
      <c r="A7835">
        <v>7835</v>
      </c>
      <c r="B7835" t="str">
        <f t="shared" si="122"/>
        <v>ẛ</v>
      </c>
    </row>
    <row r="7836" spans="1:2" x14ac:dyDescent="0.25">
      <c r="A7836">
        <v>7836</v>
      </c>
      <c r="B7836" t="str">
        <f t="shared" si="122"/>
        <v>ẜ</v>
      </c>
    </row>
    <row r="7837" spans="1:2" x14ac:dyDescent="0.25">
      <c r="A7837">
        <v>7837</v>
      </c>
      <c r="B7837" t="str">
        <f t="shared" si="122"/>
        <v>ẝ</v>
      </c>
    </row>
    <row r="7838" spans="1:2" x14ac:dyDescent="0.25">
      <c r="A7838">
        <v>7838</v>
      </c>
      <c r="B7838" t="str">
        <f t="shared" si="122"/>
        <v>ẞ</v>
      </c>
    </row>
    <row r="7839" spans="1:2" x14ac:dyDescent="0.25">
      <c r="A7839">
        <v>7839</v>
      </c>
      <c r="B7839" t="str">
        <f t="shared" si="122"/>
        <v>ẟ</v>
      </c>
    </row>
    <row r="7840" spans="1:2" x14ac:dyDescent="0.25">
      <c r="A7840">
        <v>7840</v>
      </c>
      <c r="B7840" t="str">
        <f t="shared" si="122"/>
        <v>Ạ</v>
      </c>
    </row>
    <row r="7841" spans="1:2" x14ac:dyDescent="0.25">
      <c r="A7841">
        <v>7841</v>
      </c>
      <c r="B7841" t="str">
        <f t="shared" si="122"/>
        <v>ạ</v>
      </c>
    </row>
    <row r="7842" spans="1:2" x14ac:dyDescent="0.25">
      <c r="A7842">
        <v>7842</v>
      </c>
      <c r="B7842" t="str">
        <f t="shared" si="122"/>
        <v>Ả</v>
      </c>
    </row>
    <row r="7843" spans="1:2" x14ac:dyDescent="0.25">
      <c r="A7843">
        <v>7843</v>
      </c>
      <c r="B7843" t="str">
        <f t="shared" si="122"/>
        <v>ả</v>
      </c>
    </row>
    <row r="7844" spans="1:2" x14ac:dyDescent="0.25">
      <c r="A7844">
        <v>7844</v>
      </c>
      <c r="B7844" t="str">
        <f t="shared" si="122"/>
        <v>Ấ</v>
      </c>
    </row>
    <row r="7845" spans="1:2" x14ac:dyDescent="0.25">
      <c r="A7845">
        <v>7845</v>
      </c>
      <c r="B7845" t="str">
        <f t="shared" si="122"/>
        <v>ấ</v>
      </c>
    </row>
    <row r="7846" spans="1:2" x14ac:dyDescent="0.25">
      <c r="A7846">
        <v>7846</v>
      </c>
      <c r="B7846" t="str">
        <f t="shared" si="122"/>
        <v>Ầ</v>
      </c>
    </row>
    <row r="7847" spans="1:2" x14ac:dyDescent="0.25">
      <c r="A7847">
        <v>7847</v>
      </c>
      <c r="B7847" t="str">
        <f t="shared" si="122"/>
        <v>ầ</v>
      </c>
    </row>
    <row r="7848" spans="1:2" x14ac:dyDescent="0.25">
      <c r="A7848">
        <v>7848</v>
      </c>
      <c r="B7848" t="str">
        <f t="shared" si="122"/>
        <v>Ẩ</v>
      </c>
    </row>
    <row r="7849" spans="1:2" x14ac:dyDescent="0.25">
      <c r="A7849">
        <v>7849</v>
      </c>
      <c r="B7849" t="str">
        <f t="shared" si="122"/>
        <v>ẩ</v>
      </c>
    </row>
    <row r="7850" spans="1:2" x14ac:dyDescent="0.25">
      <c r="A7850">
        <v>7850</v>
      </c>
      <c r="B7850" t="str">
        <f t="shared" si="122"/>
        <v>Ẫ</v>
      </c>
    </row>
    <row r="7851" spans="1:2" x14ac:dyDescent="0.25">
      <c r="A7851">
        <v>7851</v>
      </c>
      <c r="B7851" t="str">
        <f t="shared" si="122"/>
        <v>ẫ</v>
      </c>
    </row>
    <row r="7852" spans="1:2" x14ac:dyDescent="0.25">
      <c r="A7852">
        <v>7852</v>
      </c>
      <c r="B7852" t="str">
        <f t="shared" si="122"/>
        <v>Ậ</v>
      </c>
    </row>
    <row r="7853" spans="1:2" x14ac:dyDescent="0.25">
      <c r="A7853">
        <v>7853</v>
      </c>
      <c r="B7853" t="str">
        <f t="shared" si="122"/>
        <v>ậ</v>
      </c>
    </row>
    <row r="7854" spans="1:2" x14ac:dyDescent="0.25">
      <c r="A7854">
        <v>7854</v>
      </c>
      <c r="B7854" t="str">
        <f t="shared" si="122"/>
        <v>Ắ</v>
      </c>
    </row>
    <row r="7855" spans="1:2" x14ac:dyDescent="0.25">
      <c r="A7855">
        <v>7855</v>
      </c>
      <c r="B7855" t="str">
        <f t="shared" si="122"/>
        <v>ắ</v>
      </c>
    </row>
    <row r="7856" spans="1:2" x14ac:dyDescent="0.25">
      <c r="A7856">
        <v>7856</v>
      </c>
      <c r="B7856" t="str">
        <f t="shared" si="122"/>
        <v>Ằ</v>
      </c>
    </row>
    <row r="7857" spans="1:2" x14ac:dyDescent="0.25">
      <c r="A7857">
        <v>7857</v>
      </c>
      <c r="B7857" t="str">
        <f t="shared" si="122"/>
        <v>ằ</v>
      </c>
    </row>
    <row r="7858" spans="1:2" x14ac:dyDescent="0.25">
      <c r="A7858">
        <v>7858</v>
      </c>
      <c r="B7858" t="str">
        <f t="shared" si="122"/>
        <v>Ẳ</v>
      </c>
    </row>
    <row r="7859" spans="1:2" x14ac:dyDescent="0.25">
      <c r="A7859">
        <v>7859</v>
      </c>
      <c r="B7859" t="str">
        <f t="shared" si="122"/>
        <v>ẳ</v>
      </c>
    </row>
    <row r="7860" spans="1:2" x14ac:dyDescent="0.25">
      <c r="A7860">
        <v>7860</v>
      </c>
      <c r="B7860" t="str">
        <f t="shared" si="122"/>
        <v>Ẵ</v>
      </c>
    </row>
    <row r="7861" spans="1:2" x14ac:dyDescent="0.25">
      <c r="A7861">
        <v>7861</v>
      </c>
      <c r="B7861" t="str">
        <f t="shared" si="122"/>
        <v>ẵ</v>
      </c>
    </row>
    <row r="7862" spans="1:2" x14ac:dyDescent="0.25">
      <c r="A7862">
        <v>7862</v>
      </c>
      <c r="B7862" t="str">
        <f t="shared" si="122"/>
        <v>Ặ</v>
      </c>
    </row>
    <row r="7863" spans="1:2" x14ac:dyDescent="0.25">
      <c r="A7863">
        <v>7863</v>
      </c>
      <c r="B7863" t="str">
        <f t="shared" si="122"/>
        <v>ặ</v>
      </c>
    </row>
    <row r="7864" spans="1:2" x14ac:dyDescent="0.25">
      <c r="A7864">
        <v>7864</v>
      </c>
      <c r="B7864" t="str">
        <f t="shared" si="122"/>
        <v>Ẹ</v>
      </c>
    </row>
    <row r="7865" spans="1:2" x14ac:dyDescent="0.25">
      <c r="A7865">
        <v>7865</v>
      </c>
      <c r="B7865" t="str">
        <f t="shared" si="122"/>
        <v>ẹ</v>
      </c>
    </row>
    <row r="7866" spans="1:2" x14ac:dyDescent="0.25">
      <c r="A7866">
        <v>7866</v>
      </c>
      <c r="B7866" t="str">
        <f t="shared" si="122"/>
        <v>Ẻ</v>
      </c>
    </row>
    <row r="7867" spans="1:2" x14ac:dyDescent="0.25">
      <c r="A7867">
        <v>7867</v>
      </c>
      <c r="B7867" t="str">
        <f t="shared" si="122"/>
        <v>ẻ</v>
      </c>
    </row>
    <row r="7868" spans="1:2" x14ac:dyDescent="0.25">
      <c r="A7868">
        <v>7868</v>
      </c>
      <c r="B7868" t="str">
        <f t="shared" si="122"/>
        <v>Ẽ</v>
      </c>
    </row>
    <row r="7869" spans="1:2" x14ac:dyDescent="0.25">
      <c r="A7869">
        <v>7869</v>
      </c>
      <c r="B7869" t="str">
        <f t="shared" si="122"/>
        <v>ẽ</v>
      </c>
    </row>
    <row r="7870" spans="1:2" x14ac:dyDescent="0.25">
      <c r="A7870">
        <v>7870</v>
      </c>
      <c r="B7870" t="str">
        <f t="shared" si="122"/>
        <v>Ế</v>
      </c>
    </row>
    <row r="7871" spans="1:2" x14ac:dyDescent="0.25">
      <c r="A7871">
        <v>7871</v>
      </c>
      <c r="B7871" t="str">
        <f t="shared" si="122"/>
        <v>ế</v>
      </c>
    </row>
    <row r="7872" spans="1:2" x14ac:dyDescent="0.25">
      <c r="A7872">
        <v>7872</v>
      </c>
      <c r="B7872" t="str">
        <f t="shared" si="122"/>
        <v>Ề</v>
      </c>
    </row>
    <row r="7873" spans="1:2" x14ac:dyDescent="0.25">
      <c r="A7873">
        <v>7873</v>
      </c>
      <c r="B7873" t="str">
        <f t="shared" si="122"/>
        <v>ề</v>
      </c>
    </row>
    <row r="7874" spans="1:2" x14ac:dyDescent="0.25">
      <c r="A7874">
        <v>7874</v>
      </c>
      <c r="B7874" t="str">
        <f t="shared" ref="B7874:B7937" si="123">_xlfn.UNICHAR(A7874)</f>
        <v>Ể</v>
      </c>
    </row>
    <row r="7875" spans="1:2" x14ac:dyDescent="0.25">
      <c r="A7875">
        <v>7875</v>
      </c>
      <c r="B7875" t="str">
        <f t="shared" si="123"/>
        <v>ể</v>
      </c>
    </row>
    <row r="7876" spans="1:2" x14ac:dyDescent="0.25">
      <c r="A7876">
        <v>7876</v>
      </c>
      <c r="B7876" t="str">
        <f t="shared" si="123"/>
        <v>Ễ</v>
      </c>
    </row>
    <row r="7877" spans="1:2" x14ac:dyDescent="0.25">
      <c r="A7877">
        <v>7877</v>
      </c>
      <c r="B7877" t="str">
        <f t="shared" si="123"/>
        <v>ễ</v>
      </c>
    </row>
    <row r="7878" spans="1:2" x14ac:dyDescent="0.25">
      <c r="A7878">
        <v>7878</v>
      </c>
      <c r="B7878" t="str">
        <f t="shared" si="123"/>
        <v>Ệ</v>
      </c>
    </row>
    <row r="7879" spans="1:2" x14ac:dyDescent="0.25">
      <c r="A7879">
        <v>7879</v>
      </c>
      <c r="B7879" t="str">
        <f t="shared" si="123"/>
        <v>ệ</v>
      </c>
    </row>
    <row r="7880" spans="1:2" x14ac:dyDescent="0.25">
      <c r="A7880">
        <v>7880</v>
      </c>
      <c r="B7880" t="str">
        <f t="shared" si="123"/>
        <v>Ỉ</v>
      </c>
    </row>
    <row r="7881" spans="1:2" x14ac:dyDescent="0.25">
      <c r="A7881">
        <v>7881</v>
      </c>
      <c r="B7881" t="str">
        <f t="shared" si="123"/>
        <v>ỉ</v>
      </c>
    </row>
    <row r="7882" spans="1:2" x14ac:dyDescent="0.25">
      <c r="A7882">
        <v>7882</v>
      </c>
      <c r="B7882" t="str">
        <f t="shared" si="123"/>
        <v>Ị</v>
      </c>
    </row>
    <row r="7883" spans="1:2" x14ac:dyDescent="0.25">
      <c r="A7883">
        <v>7883</v>
      </c>
      <c r="B7883" t="str">
        <f t="shared" si="123"/>
        <v>ị</v>
      </c>
    </row>
    <row r="7884" spans="1:2" x14ac:dyDescent="0.25">
      <c r="A7884">
        <v>7884</v>
      </c>
      <c r="B7884" t="str">
        <f t="shared" si="123"/>
        <v>Ọ</v>
      </c>
    </row>
    <row r="7885" spans="1:2" x14ac:dyDescent="0.25">
      <c r="A7885">
        <v>7885</v>
      </c>
      <c r="B7885" t="str">
        <f t="shared" si="123"/>
        <v>ọ</v>
      </c>
    </row>
    <row r="7886" spans="1:2" x14ac:dyDescent="0.25">
      <c r="A7886">
        <v>7886</v>
      </c>
      <c r="B7886" t="str">
        <f t="shared" si="123"/>
        <v>Ỏ</v>
      </c>
    </row>
    <row r="7887" spans="1:2" x14ac:dyDescent="0.25">
      <c r="A7887">
        <v>7887</v>
      </c>
      <c r="B7887" t="str">
        <f t="shared" si="123"/>
        <v>ỏ</v>
      </c>
    </row>
    <row r="7888" spans="1:2" x14ac:dyDescent="0.25">
      <c r="A7888">
        <v>7888</v>
      </c>
      <c r="B7888" t="str">
        <f t="shared" si="123"/>
        <v>Ố</v>
      </c>
    </row>
    <row r="7889" spans="1:2" x14ac:dyDescent="0.25">
      <c r="A7889">
        <v>7889</v>
      </c>
      <c r="B7889" t="str">
        <f t="shared" si="123"/>
        <v>ố</v>
      </c>
    </row>
    <row r="7890" spans="1:2" x14ac:dyDescent="0.25">
      <c r="A7890">
        <v>7890</v>
      </c>
      <c r="B7890" t="str">
        <f t="shared" si="123"/>
        <v>Ồ</v>
      </c>
    </row>
    <row r="7891" spans="1:2" x14ac:dyDescent="0.25">
      <c r="A7891">
        <v>7891</v>
      </c>
      <c r="B7891" t="str">
        <f t="shared" si="123"/>
        <v>ồ</v>
      </c>
    </row>
    <row r="7892" spans="1:2" x14ac:dyDescent="0.25">
      <c r="A7892">
        <v>7892</v>
      </c>
      <c r="B7892" t="str">
        <f t="shared" si="123"/>
        <v>Ổ</v>
      </c>
    </row>
    <row r="7893" spans="1:2" x14ac:dyDescent="0.25">
      <c r="A7893">
        <v>7893</v>
      </c>
      <c r="B7893" t="str">
        <f t="shared" si="123"/>
        <v>ổ</v>
      </c>
    </row>
    <row r="7894" spans="1:2" x14ac:dyDescent="0.25">
      <c r="A7894">
        <v>7894</v>
      </c>
      <c r="B7894" t="str">
        <f t="shared" si="123"/>
        <v>Ỗ</v>
      </c>
    </row>
    <row r="7895" spans="1:2" x14ac:dyDescent="0.25">
      <c r="A7895">
        <v>7895</v>
      </c>
      <c r="B7895" t="str">
        <f t="shared" si="123"/>
        <v>ỗ</v>
      </c>
    </row>
    <row r="7896" spans="1:2" x14ac:dyDescent="0.25">
      <c r="A7896">
        <v>7896</v>
      </c>
      <c r="B7896" t="str">
        <f t="shared" si="123"/>
        <v>Ộ</v>
      </c>
    </row>
    <row r="7897" spans="1:2" x14ac:dyDescent="0.25">
      <c r="A7897">
        <v>7897</v>
      </c>
      <c r="B7897" t="str">
        <f t="shared" si="123"/>
        <v>ộ</v>
      </c>
    </row>
    <row r="7898" spans="1:2" x14ac:dyDescent="0.25">
      <c r="A7898">
        <v>7898</v>
      </c>
      <c r="B7898" t="str">
        <f t="shared" si="123"/>
        <v>Ớ</v>
      </c>
    </row>
    <row r="7899" spans="1:2" x14ac:dyDescent="0.25">
      <c r="A7899">
        <v>7899</v>
      </c>
      <c r="B7899" t="str">
        <f t="shared" si="123"/>
        <v>ớ</v>
      </c>
    </row>
    <row r="7900" spans="1:2" x14ac:dyDescent="0.25">
      <c r="A7900">
        <v>7900</v>
      </c>
      <c r="B7900" t="str">
        <f t="shared" si="123"/>
        <v>Ờ</v>
      </c>
    </row>
    <row r="7901" spans="1:2" x14ac:dyDescent="0.25">
      <c r="A7901">
        <v>7901</v>
      </c>
      <c r="B7901" t="str">
        <f t="shared" si="123"/>
        <v>ờ</v>
      </c>
    </row>
    <row r="7902" spans="1:2" x14ac:dyDescent="0.25">
      <c r="A7902">
        <v>7902</v>
      </c>
      <c r="B7902" t="str">
        <f t="shared" si="123"/>
        <v>Ở</v>
      </c>
    </row>
    <row r="7903" spans="1:2" x14ac:dyDescent="0.25">
      <c r="A7903">
        <v>7903</v>
      </c>
      <c r="B7903" t="str">
        <f t="shared" si="123"/>
        <v>ở</v>
      </c>
    </row>
    <row r="7904" spans="1:2" x14ac:dyDescent="0.25">
      <c r="A7904">
        <v>7904</v>
      </c>
      <c r="B7904" t="str">
        <f t="shared" si="123"/>
        <v>Ỡ</v>
      </c>
    </row>
    <row r="7905" spans="1:2" x14ac:dyDescent="0.25">
      <c r="A7905">
        <v>7905</v>
      </c>
      <c r="B7905" t="str">
        <f t="shared" si="123"/>
        <v>ỡ</v>
      </c>
    </row>
    <row r="7906" spans="1:2" x14ac:dyDescent="0.25">
      <c r="A7906">
        <v>7906</v>
      </c>
      <c r="B7906" t="str">
        <f t="shared" si="123"/>
        <v>Ợ</v>
      </c>
    </row>
    <row r="7907" spans="1:2" x14ac:dyDescent="0.25">
      <c r="A7907">
        <v>7907</v>
      </c>
      <c r="B7907" t="str">
        <f t="shared" si="123"/>
        <v>ợ</v>
      </c>
    </row>
    <row r="7908" spans="1:2" x14ac:dyDescent="0.25">
      <c r="A7908">
        <v>7908</v>
      </c>
      <c r="B7908" t="str">
        <f t="shared" si="123"/>
        <v>Ụ</v>
      </c>
    </row>
    <row r="7909" spans="1:2" x14ac:dyDescent="0.25">
      <c r="A7909">
        <v>7909</v>
      </c>
      <c r="B7909" t="str">
        <f t="shared" si="123"/>
        <v>ụ</v>
      </c>
    </row>
    <row r="7910" spans="1:2" x14ac:dyDescent="0.25">
      <c r="A7910">
        <v>7910</v>
      </c>
      <c r="B7910" t="str">
        <f t="shared" si="123"/>
        <v>Ủ</v>
      </c>
    </row>
    <row r="7911" spans="1:2" x14ac:dyDescent="0.25">
      <c r="A7911">
        <v>7911</v>
      </c>
      <c r="B7911" t="str">
        <f t="shared" si="123"/>
        <v>ủ</v>
      </c>
    </row>
    <row r="7912" spans="1:2" x14ac:dyDescent="0.25">
      <c r="A7912">
        <v>7912</v>
      </c>
      <c r="B7912" t="str">
        <f t="shared" si="123"/>
        <v>Ứ</v>
      </c>
    </row>
    <row r="7913" spans="1:2" x14ac:dyDescent="0.25">
      <c r="A7913">
        <v>7913</v>
      </c>
      <c r="B7913" t="str">
        <f t="shared" si="123"/>
        <v>ứ</v>
      </c>
    </row>
    <row r="7914" spans="1:2" x14ac:dyDescent="0.25">
      <c r="A7914">
        <v>7914</v>
      </c>
      <c r="B7914" t="str">
        <f t="shared" si="123"/>
        <v>Ừ</v>
      </c>
    </row>
    <row r="7915" spans="1:2" x14ac:dyDescent="0.25">
      <c r="A7915">
        <v>7915</v>
      </c>
      <c r="B7915" t="str">
        <f t="shared" si="123"/>
        <v>ừ</v>
      </c>
    </row>
    <row r="7916" spans="1:2" x14ac:dyDescent="0.25">
      <c r="A7916">
        <v>7916</v>
      </c>
      <c r="B7916" t="str">
        <f t="shared" si="123"/>
        <v>Ử</v>
      </c>
    </row>
    <row r="7917" spans="1:2" x14ac:dyDescent="0.25">
      <c r="A7917">
        <v>7917</v>
      </c>
      <c r="B7917" t="str">
        <f t="shared" si="123"/>
        <v>ử</v>
      </c>
    </row>
    <row r="7918" spans="1:2" x14ac:dyDescent="0.25">
      <c r="A7918">
        <v>7918</v>
      </c>
      <c r="B7918" t="str">
        <f t="shared" si="123"/>
        <v>Ữ</v>
      </c>
    </row>
    <row r="7919" spans="1:2" x14ac:dyDescent="0.25">
      <c r="A7919">
        <v>7919</v>
      </c>
      <c r="B7919" t="str">
        <f t="shared" si="123"/>
        <v>ữ</v>
      </c>
    </row>
    <row r="7920" spans="1:2" x14ac:dyDescent="0.25">
      <c r="A7920">
        <v>7920</v>
      </c>
      <c r="B7920" t="str">
        <f t="shared" si="123"/>
        <v>Ự</v>
      </c>
    </row>
    <row r="7921" spans="1:2" x14ac:dyDescent="0.25">
      <c r="A7921">
        <v>7921</v>
      </c>
      <c r="B7921" t="str">
        <f t="shared" si="123"/>
        <v>ự</v>
      </c>
    </row>
    <row r="7922" spans="1:2" x14ac:dyDescent="0.25">
      <c r="A7922">
        <v>7922</v>
      </c>
      <c r="B7922" t="str">
        <f t="shared" si="123"/>
        <v>Ỳ</v>
      </c>
    </row>
    <row r="7923" spans="1:2" x14ac:dyDescent="0.25">
      <c r="A7923">
        <v>7923</v>
      </c>
      <c r="B7923" t="str">
        <f t="shared" si="123"/>
        <v>ỳ</v>
      </c>
    </row>
    <row r="7924" spans="1:2" x14ac:dyDescent="0.25">
      <c r="A7924">
        <v>7924</v>
      </c>
      <c r="B7924" t="str">
        <f t="shared" si="123"/>
        <v>Ỵ</v>
      </c>
    </row>
    <row r="7925" spans="1:2" x14ac:dyDescent="0.25">
      <c r="A7925">
        <v>7925</v>
      </c>
      <c r="B7925" t="str">
        <f t="shared" si="123"/>
        <v>ỵ</v>
      </c>
    </row>
    <row r="7926" spans="1:2" x14ac:dyDescent="0.25">
      <c r="A7926">
        <v>7926</v>
      </c>
      <c r="B7926" t="str">
        <f t="shared" si="123"/>
        <v>Ỷ</v>
      </c>
    </row>
    <row r="7927" spans="1:2" x14ac:dyDescent="0.25">
      <c r="A7927">
        <v>7927</v>
      </c>
      <c r="B7927" t="str">
        <f t="shared" si="123"/>
        <v>ỷ</v>
      </c>
    </row>
    <row r="7928" spans="1:2" x14ac:dyDescent="0.25">
      <c r="A7928">
        <v>7928</v>
      </c>
      <c r="B7928" t="str">
        <f t="shared" si="123"/>
        <v>Ỹ</v>
      </c>
    </row>
    <row r="7929" spans="1:2" x14ac:dyDescent="0.25">
      <c r="A7929">
        <v>7929</v>
      </c>
      <c r="B7929" t="str">
        <f t="shared" si="123"/>
        <v>ỹ</v>
      </c>
    </row>
    <row r="7930" spans="1:2" x14ac:dyDescent="0.25">
      <c r="A7930">
        <v>7930</v>
      </c>
      <c r="B7930" t="str">
        <f t="shared" si="123"/>
        <v>Ỻ</v>
      </c>
    </row>
    <row r="7931" spans="1:2" x14ac:dyDescent="0.25">
      <c r="A7931">
        <v>7931</v>
      </c>
      <c r="B7931" t="str">
        <f t="shared" si="123"/>
        <v>ỻ</v>
      </c>
    </row>
    <row r="7932" spans="1:2" x14ac:dyDescent="0.25">
      <c r="A7932">
        <v>7932</v>
      </c>
      <c r="B7932" t="str">
        <f t="shared" si="123"/>
        <v>Ỽ</v>
      </c>
    </row>
    <row r="7933" spans="1:2" x14ac:dyDescent="0.25">
      <c r="A7933">
        <v>7933</v>
      </c>
      <c r="B7933" t="str">
        <f t="shared" si="123"/>
        <v>ỽ</v>
      </c>
    </row>
    <row r="7934" spans="1:2" x14ac:dyDescent="0.25">
      <c r="A7934">
        <v>7934</v>
      </c>
      <c r="B7934" t="str">
        <f t="shared" si="123"/>
        <v>Ỿ</v>
      </c>
    </row>
    <row r="7935" spans="1:2" x14ac:dyDescent="0.25">
      <c r="A7935">
        <v>7935</v>
      </c>
      <c r="B7935" t="str">
        <f t="shared" si="123"/>
        <v>ỿ</v>
      </c>
    </row>
    <row r="7936" spans="1:2" x14ac:dyDescent="0.25">
      <c r="A7936">
        <v>7936</v>
      </c>
      <c r="B7936" t="str">
        <f t="shared" si="123"/>
        <v>ἀ</v>
      </c>
    </row>
    <row r="7937" spans="1:2" x14ac:dyDescent="0.25">
      <c r="A7937">
        <v>7937</v>
      </c>
      <c r="B7937" t="str">
        <f t="shared" si="123"/>
        <v>ἁ</v>
      </c>
    </row>
    <row r="7938" spans="1:2" x14ac:dyDescent="0.25">
      <c r="A7938">
        <v>7938</v>
      </c>
      <c r="B7938" t="str">
        <f t="shared" ref="B7938:B8001" si="124">_xlfn.UNICHAR(A7938)</f>
        <v>ἂ</v>
      </c>
    </row>
    <row r="7939" spans="1:2" x14ac:dyDescent="0.25">
      <c r="A7939">
        <v>7939</v>
      </c>
      <c r="B7939" t="str">
        <f t="shared" si="124"/>
        <v>ἃ</v>
      </c>
    </row>
    <row r="7940" spans="1:2" x14ac:dyDescent="0.25">
      <c r="A7940">
        <v>7940</v>
      </c>
      <c r="B7940" t="str">
        <f t="shared" si="124"/>
        <v>ἄ</v>
      </c>
    </row>
    <row r="7941" spans="1:2" x14ac:dyDescent="0.25">
      <c r="A7941">
        <v>7941</v>
      </c>
      <c r="B7941" t="str">
        <f t="shared" si="124"/>
        <v>ἅ</v>
      </c>
    </row>
    <row r="7942" spans="1:2" x14ac:dyDescent="0.25">
      <c r="A7942">
        <v>7942</v>
      </c>
      <c r="B7942" t="str">
        <f t="shared" si="124"/>
        <v>ἆ</v>
      </c>
    </row>
    <row r="7943" spans="1:2" x14ac:dyDescent="0.25">
      <c r="A7943">
        <v>7943</v>
      </c>
      <c r="B7943" t="str">
        <f t="shared" si="124"/>
        <v>ἇ</v>
      </c>
    </row>
    <row r="7944" spans="1:2" x14ac:dyDescent="0.25">
      <c r="A7944">
        <v>7944</v>
      </c>
      <c r="B7944" t="str">
        <f t="shared" si="124"/>
        <v>Ἀ</v>
      </c>
    </row>
    <row r="7945" spans="1:2" x14ac:dyDescent="0.25">
      <c r="A7945">
        <v>7945</v>
      </c>
      <c r="B7945" t="str">
        <f t="shared" si="124"/>
        <v>Ἁ</v>
      </c>
    </row>
    <row r="7946" spans="1:2" x14ac:dyDescent="0.25">
      <c r="A7946">
        <v>7946</v>
      </c>
      <c r="B7946" t="str">
        <f t="shared" si="124"/>
        <v>Ἂ</v>
      </c>
    </row>
    <row r="7947" spans="1:2" x14ac:dyDescent="0.25">
      <c r="A7947">
        <v>7947</v>
      </c>
      <c r="B7947" t="str">
        <f t="shared" si="124"/>
        <v>Ἃ</v>
      </c>
    </row>
    <row r="7948" spans="1:2" x14ac:dyDescent="0.25">
      <c r="A7948">
        <v>7948</v>
      </c>
      <c r="B7948" t="str">
        <f t="shared" si="124"/>
        <v>Ἄ</v>
      </c>
    </row>
    <row r="7949" spans="1:2" x14ac:dyDescent="0.25">
      <c r="A7949">
        <v>7949</v>
      </c>
      <c r="B7949" t="str">
        <f t="shared" si="124"/>
        <v>Ἅ</v>
      </c>
    </row>
    <row r="7950" spans="1:2" x14ac:dyDescent="0.25">
      <c r="A7950">
        <v>7950</v>
      </c>
      <c r="B7950" t="str">
        <f t="shared" si="124"/>
        <v>Ἆ</v>
      </c>
    </row>
    <row r="7951" spans="1:2" x14ac:dyDescent="0.25">
      <c r="A7951">
        <v>7951</v>
      </c>
      <c r="B7951" t="str">
        <f t="shared" si="124"/>
        <v>Ἇ</v>
      </c>
    </row>
    <row r="7952" spans="1:2" x14ac:dyDescent="0.25">
      <c r="A7952">
        <v>7952</v>
      </c>
      <c r="B7952" t="str">
        <f t="shared" si="124"/>
        <v>ἐ</v>
      </c>
    </row>
    <row r="7953" spans="1:2" x14ac:dyDescent="0.25">
      <c r="A7953">
        <v>7953</v>
      </c>
      <c r="B7953" t="str">
        <f t="shared" si="124"/>
        <v>ἑ</v>
      </c>
    </row>
    <row r="7954" spans="1:2" x14ac:dyDescent="0.25">
      <c r="A7954">
        <v>7954</v>
      </c>
      <c r="B7954" t="str">
        <f t="shared" si="124"/>
        <v>ἒ</v>
      </c>
    </row>
    <row r="7955" spans="1:2" x14ac:dyDescent="0.25">
      <c r="A7955">
        <v>7955</v>
      </c>
      <c r="B7955" t="str">
        <f t="shared" si="124"/>
        <v>ἓ</v>
      </c>
    </row>
    <row r="7956" spans="1:2" x14ac:dyDescent="0.25">
      <c r="A7956">
        <v>7956</v>
      </c>
      <c r="B7956" t="str">
        <f t="shared" si="124"/>
        <v>ἔ</v>
      </c>
    </row>
    <row r="7957" spans="1:2" x14ac:dyDescent="0.25">
      <c r="A7957">
        <v>7957</v>
      </c>
      <c r="B7957" t="str">
        <f t="shared" si="124"/>
        <v>ἕ</v>
      </c>
    </row>
    <row r="7958" spans="1:2" x14ac:dyDescent="0.25">
      <c r="A7958">
        <v>7958</v>
      </c>
      <c r="B7958" t="str">
        <f t="shared" si="124"/>
        <v>἖</v>
      </c>
    </row>
    <row r="7959" spans="1:2" x14ac:dyDescent="0.25">
      <c r="A7959">
        <v>7959</v>
      </c>
      <c r="B7959" t="str">
        <f t="shared" si="124"/>
        <v>἗</v>
      </c>
    </row>
    <row r="7960" spans="1:2" x14ac:dyDescent="0.25">
      <c r="A7960">
        <v>7960</v>
      </c>
      <c r="B7960" t="str">
        <f t="shared" si="124"/>
        <v>Ἐ</v>
      </c>
    </row>
    <row r="7961" spans="1:2" x14ac:dyDescent="0.25">
      <c r="A7961">
        <v>7961</v>
      </c>
      <c r="B7961" t="str">
        <f t="shared" si="124"/>
        <v>Ἑ</v>
      </c>
    </row>
    <row r="7962" spans="1:2" x14ac:dyDescent="0.25">
      <c r="A7962">
        <v>7962</v>
      </c>
      <c r="B7962" t="str">
        <f t="shared" si="124"/>
        <v>Ἒ</v>
      </c>
    </row>
    <row r="7963" spans="1:2" x14ac:dyDescent="0.25">
      <c r="A7963">
        <v>7963</v>
      </c>
      <c r="B7963" t="str">
        <f t="shared" si="124"/>
        <v>Ἓ</v>
      </c>
    </row>
    <row r="7964" spans="1:2" x14ac:dyDescent="0.25">
      <c r="A7964">
        <v>7964</v>
      </c>
      <c r="B7964" t="str">
        <f t="shared" si="124"/>
        <v>Ἔ</v>
      </c>
    </row>
    <row r="7965" spans="1:2" x14ac:dyDescent="0.25">
      <c r="A7965">
        <v>7965</v>
      </c>
      <c r="B7965" t="str">
        <f t="shared" si="124"/>
        <v>Ἕ</v>
      </c>
    </row>
    <row r="7966" spans="1:2" x14ac:dyDescent="0.25">
      <c r="A7966">
        <v>7966</v>
      </c>
      <c r="B7966" t="str">
        <f t="shared" si="124"/>
        <v>἞</v>
      </c>
    </row>
    <row r="7967" spans="1:2" x14ac:dyDescent="0.25">
      <c r="A7967">
        <v>7967</v>
      </c>
      <c r="B7967" t="str">
        <f t="shared" si="124"/>
        <v>἟</v>
      </c>
    </row>
    <row r="7968" spans="1:2" x14ac:dyDescent="0.25">
      <c r="A7968">
        <v>7968</v>
      </c>
      <c r="B7968" t="str">
        <f t="shared" si="124"/>
        <v>ἠ</v>
      </c>
    </row>
    <row r="7969" spans="1:2" x14ac:dyDescent="0.25">
      <c r="A7969">
        <v>7969</v>
      </c>
      <c r="B7969" t="str">
        <f t="shared" si="124"/>
        <v>ἡ</v>
      </c>
    </row>
    <row r="7970" spans="1:2" x14ac:dyDescent="0.25">
      <c r="A7970">
        <v>7970</v>
      </c>
      <c r="B7970" t="str">
        <f t="shared" si="124"/>
        <v>ἢ</v>
      </c>
    </row>
    <row r="7971" spans="1:2" x14ac:dyDescent="0.25">
      <c r="A7971">
        <v>7971</v>
      </c>
      <c r="B7971" t="str">
        <f t="shared" si="124"/>
        <v>ἣ</v>
      </c>
    </row>
    <row r="7972" spans="1:2" x14ac:dyDescent="0.25">
      <c r="A7972">
        <v>7972</v>
      </c>
      <c r="B7972" t="str">
        <f t="shared" si="124"/>
        <v>ἤ</v>
      </c>
    </row>
    <row r="7973" spans="1:2" x14ac:dyDescent="0.25">
      <c r="A7973">
        <v>7973</v>
      </c>
      <c r="B7973" t="str">
        <f t="shared" si="124"/>
        <v>ἥ</v>
      </c>
    </row>
    <row r="7974" spans="1:2" x14ac:dyDescent="0.25">
      <c r="A7974">
        <v>7974</v>
      </c>
      <c r="B7974" t="str">
        <f t="shared" si="124"/>
        <v>ἦ</v>
      </c>
    </row>
    <row r="7975" spans="1:2" x14ac:dyDescent="0.25">
      <c r="A7975">
        <v>7975</v>
      </c>
      <c r="B7975" t="str">
        <f t="shared" si="124"/>
        <v>ἧ</v>
      </c>
    </row>
    <row r="7976" spans="1:2" x14ac:dyDescent="0.25">
      <c r="A7976">
        <v>7976</v>
      </c>
      <c r="B7976" t="str">
        <f t="shared" si="124"/>
        <v>Ἠ</v>
      </c>
    </row>
    <row r="7977" spans="1:2" x14ac:dyDescent="0.25">
      <c r="A7977">
        <v>7977</v>
      </c>
      <c r="B7977" t="str">
        <f t="shared" si="124"/>
        <v>Ἡ</v>
      </c>
    </row>
    <row r="7978" spans="1:2" x14ac:dyDescent="0.25">
      <c r="A7978">
        <v>7978</v>
      </c>
      <c r="B7978" t="str">
        <f t="shared" si="124"/>
        <v>Ἢ</v>
      </c>
    </row>
    <row r="7979" spans="1:2" x14ac:dyDescent="0.25">
      <c r="A7979">
        <v>7979</v>
      </c>
      <c r="B7979" t="str">
        <f t="shared" si="124"/>
        <v>Ἣ</v>
      </c>
    </row>
    <row r="7980" spans="1:2" x14ac:dyDescent="0.25">
      <c r="A7980">
        <v>7980</v>
      </c>
      <c r="B7980" t="str">
        <f t="shared" si="124"/>
        <v>Ἤ</v>
      </c>
    </row>
    <row r="7981" spans="1:2" x14ac:dyDescent="0.25">
      <c r="A7981">
        <v>7981</v>
      </c>
      <c r="B7981" t="str">
        <f t="shared" si="124"/>
        <v>Ἥ</v>
      </c>
    </row>
    <row r="7982" spans="1:2" x14ac:dyDescent="0.25">
      <c r="A7982">
        <v>7982</v>
      </c>
      <c r="B7982" t="str">
        <f t="shared" si="124"/>
        <v>Ἦ</v>
      </c>
    </row>
    <row r="7983" spans="1:2" x14ac:dyDescent="0.25">
      <c r="A7983">
        <v>7983</v>
      </c>
      <c r="B7983" t="str">
        <f t="shared" si="124"/>
        <v>Ἧ</v>
      </c>
    </row>
    <row r="7984" spans="1:2" x14ac:dyDescent="0.25">
      <c r="A7984">
        <v>7984</v>
      </c>
      <c r="B7984" t="str">
        <f t="shared" si="124"/>
        <v>ἰ</v>
      </c>
    </row>
    <row r="7985" spans="1:2" x14ac:dyDescent="0.25">
      <c r="A7985">
        <v>7985</v>
      </c>
      <c r="B7985" t="str">
        <f t="shared" si="124"/>
        <v>ἱ</v>
      </c>
    </row>
    <row r="7986" spans="1:2" x14ac:dyDescent="0.25">
      <c r="A7986">
        <v>7986</v>
      </c>
      <c r="B7986" t="str">
        <f t="shared" si="124"/>
        <v>ἲ</v>
      </c>
    </row>
    <row r="7987" spans="1:2" x14ac:dyDescent="0.25">
      <c r="A7987">
        <v>7987</v>
      </c>
      <c r="B7987" t="str">
        <f t="shared" si="124"/>
        <v>ἳ</v>
      </c>
    </row>
    <row r="7988" spans="1:2" x14ac:dyDescent="0.25">
      <c r="A7988">
        <v>7988</v>
      </c>
      <c r="B7988" t="str">
        <f t="shared" si="124"/>
        <v>ἴ</v>
      </c>
    </row>
    <row r="7989" spans="1:2" x14ac:dyDescent="0.25">
      <c r="A7989">
        <v>7989</v>
      </c>
      <c r="B7989" t="str">
        <f t="shared" si="124"/>
        <v>ἵ</v>
      </c>
    </row>
    <row r="7990" spans="1:2" x14ac:dyDescent="0.25">
      <c r="A7990">
        <v>7990</v>
      </c>
      <c r="B7990" t="str">
        <f t="shared" si="124"/>
        <v>ἶ</v>
      </c>
    </row>
    <row r="7991" spans="1:2" x14ac:dyDescent="0.25">
      <c r="A7991">
        <v>7991</v>
      </c>
      <c r="B7991" t="str">
        <f t="shared" si="124"/>
        <v>ἷ</v>
      </c>
    </row>
    <row r="7992" spans="1:2" x14ac:dyDescent="0.25">
      <c r="A7992">
        <v>7992</v>
      </c>
      <c r="B7992" t="str">
        <f t="shared" si="124"/>
        <v>Ἰ</v>
      </c>
    </row>
    <row r="7993" spans="1:2" x14ac:dyDescent="0.25">
      <c r="A7993">
        <v>7993</v>
      </c>
      <c r="B7993" t="str">
        <f t="shared" si="124"/>
        <v>Ἱ</v>
      </c>
    </row>
    <row r="7994" spans="1:2" x14ac:dyDescent="0.25">
      <c r="A7994">
        <v>7994</v>
      </c>
      <c r="B7994" t="str">
        <f t="shared" si="124"/>
        <v>Ἲ</v>
      </c>
    </row>
    <row r="7995" spans="1:2" x14ac:dyDescent="0.25">
      <c r="A7995">
        <v>7995</v>
      </c>
      <c r="B7995" t="str">
        <f t="shared" si="124"/>
        <v>Ἳ</v>
      </c>
    </row>
    <row r="7996" spans="1:2" x14ac:dyDescent="0.25">
      <c r="A7996">
        <v>7996</v>
      </c>
      <c r="B7996" t="str">
        <f t="shared" si="124"/>
        <v>Ἴ</v>
      </c>
    </row>
    <row r="7997" spans="1:2" x14ac:dyDescent="0.25">
      <c r="A7997">
        <v>7997</v>
      </c>
      <c r="B7997" t="str">
        <f t="shared" si="124"/>
        <v>Ἵ</v>
      </c>
    </row>
    <row r="7998" spans="1:2" x14ac:dyDescent="0.25">
      <c r="A7998">
        <v>7998</v>
      </c>
      <c r="B7998" t="str">
        <f t="shared" si="124"/>
        <v>Ἶ</v>
      </c>
    </row>
    <row r="7999" spans="1:2" x14ac:dyDescent="0.25">
      <c r="A7999">
        <v>7999</v>
      </c>
      <c r="B7999" t="str">
        <f t="shared" si="124"/>
        <v>Ἷ</v>
      </c>
    </row>
    <row r="8000" spans="1:2" x14ac:dyDescent="0.25">
      <c r="A8000">
        <v>8000</v>
      </c>
      <c r="B8000" t="str">
        <f t="shared" si="124"/>
        <v>ὀ</v>
      </c>
    </row>
    <row r="8001" spans="1:2" x14ac:dyDescent="0.25">
      <c r="A8001">
        <v>8001</v>
      </c>
      <c r="B8001" t="str">
        <f t="shared" si="124"/>
        <v>ὁ</v>
      </c>
    </row>
    <row r="8002" spans="1:2" x14ac:dyDescent="0.25">
      <c r="A8002">
        <v>8002</v>
      </c>
      <c r="B8002" t="str">
        <f t="shared" ref="B8002:B8065" si="125">_xlfn.UNICHAR(A8002)</f>
        <v>ὂ</v>
      </c>
    </row>
    <row r="8003" spans="1:2" x14ac:dyDescent="0.25">
      <c r="A8003">
        <v>8003</v>
      </c>
      <c r="B8003" t="str">
        <f t="shared" si="125"/>
        <v>ὃ</v>
      </c>
    </row>
    <row r="8004" spans="1:2" x14ac:dyDescent="0.25">
      <c r="A8004">
        <v>8004</v>
      </c>
      <c r="B8004" t="str">
        <f t="shared" si="125"/>
        <v>ὄ</v>
      </c>
    </row>
    <row r="8005" spans="1:2" x14ac:dyDescent="0.25">
      <c r="A8005">
        <v>8005</v>
      </c>
      <c r="B8005" t="str">
        <f t="shared" si="125"/>
        <v>ὅ</v>
      </c>
    </row>
    <row r="8006" spans="1:2" x14ac:dyDescent="0.25">
      <c r="A8006">
        <v>8006</v>
      </c>
      <c r="B8006" t="str">
        <f t="shared" si="125"/>
        <v>὆</v>
      </c>
    </row>
    <row r="8007" spans="1:2" x14ac:dyDescent="0.25">
      <c r="A8007">
        <v>8007</v>
      </c>
      <c r="B8007" t="str">
        <f t="shared" si="125"/>
        <v>὇</v>
      </c>
    </row>
    <row r="8008" spans="1:2" x14ac:dyDescent="0.25">
      <c r="A8008">
        <v>8008</v>
      </c>
      <c r="B8008" t="str">
        <f t="shared" si="125"/>
        <v>Ὀ</v>
      </c>
    </row>
    <row r="8009" spans="1:2" x14ac:dyDescent="0.25">
      <c r="A8009">
        <v>8009</v>
      </c>
      <c r="B8009" t="str">
        <f t="shared" si="125"/>
        <v>Ὁ</v>
      </c>
    </row>
    <row r="8010" spans="1:2" x14ac:dyDescent="0.25">
      <c r="A8010">
        <v>8010</v>
      </c>
      <c r="B8010" t="str">
        <f t="shared" si="125"/>
        <v>Ὂ</v>
      </c>
    </row>
    <row r="8011" spans="1:2" x14ac:dyDescent="0.25">
      <c r="A8011">
        <v>8011</v>
      </c>
      <c r="B8011" t="str">
        <f t="shared" si="125"/>
        <v>Ὃ</v>
      </c>
    </row>
    <row r="8012" spans="1:2" x14ac:dyDescent="0.25">
      <c r="A8012">
        <v>8012</v>
      </c>
      <c r="B8012" t="str">
        <f t="shared" si="125"/>
        <v>Ὄ</v>
      </c>
    </row>
    <row r="8013" spans="1:2" x14ac:dyDescent="0.25">
      <c r="A8013">
        <v>8013</v>
      </c>
      <c r="B8013" t="str">
        <f t="shared" si="125"/>
        <v>Ὅ</v>
      </c>
    </row>
    <row r="8014" spans="1:2" x14ac:dyDescent="0.25">
      <c r="A8014">
        <v>8014</v>
      </c>
      <c r="B8014" t="str">
        <f t="shared" si="125"/>
        <v>὎</v>
      </c>
    </row>
    <row r="8015" spans="1:2" x14ac:dyDescent="0.25">
      <c r="A8015">
        <v>8015</v>
      </c>
      <c r="B8015" t="str">
        <f t="shared" si="125"/>
        <v>὏</v>
      </c>
    </row>
    <row r="8016" spans="1:2" x14ac:dyDescent="0.25">
      <c r="A8016">
        <v>8016</v>
      </c>
      <c r="B8016" t="str">
        <f t="shared" si="125"/>
        <v>ὐ</v>
      </c>
    </row>
    <row r="8017" spans="1:2" x14ac:dyDescent="0.25">
      <c r="A8017">
        <v>8017</v>
      </c>
      <c r="B8017" t="str">
        <f t="shared" si="125"/>
        <v>ὑ</v>
      </c>
    </row>
    <row r="8018" spans="1:2" x14ac:dyDescent="0.25">
      <c r="A8018">
        <v>8018</v>
      </c>
      <c r="B8018" t="str">
        <f t="shared" si="125"/>
        <v>ὒ</v>
      </c>
    </row>
    <row r="8019" spans="1:2" x14ac:dyDescent="0.25">
      <c r="A8019">
        <v>8019</v>
      </c>
      <c r="B8019" t="str">
        <f t="shared" si="125"/>
        <v>ὓ</v>
      </c>
    </row>
    <row r="8020" spans="1:2" x14ac:dyDescent="0.25">
      <c r="A8020">
        <v>8020</v>
      </c>
      <c r="B8020" t="str">
        <f t="shared" si="125"/>
        <v>ὔ</v>
      </c>
    </row>
    <row r="8021" spans="1:2" x14ac:dyDescent="0.25">
      <c r="A8021">
        <v>8021</v>
      </c>
      <c r="B8021" t="str">
        <f t="shared" si="125"/>
        <v>ὕ</v>
      </c>
    </row>
    <row r="8022" spans="1:2" x14ac:dyDescent="0.25">
      <c r="A8022">
        <v>8022</v>
      </c>
      <c r="B8022" t="str">
        <f t="shared" si="125"/>
        <v>ὖ</v>
      </c>
    </row>
    <row r="8023" spans="1:2" x14ac:dyDescent="0.25">
      <c r="A8023">
        <v>8023</v>
      </c>
      <c r="B8023" t="str">
        <f t="shared" si="125"/>
        <v>ὗ</v>
      </c>
    </row>
    <row r="8024" spans="1:2" x14ac:dyDescent="0.25">
      <c r="A8024">
        <v>8024</v>
      </c>
      <c r="B8024" t="str">
        <f t="shared" si="125"/>
        <v>὘</v>
      </c>
    </row>
    <row r="8025" spans="1:2" x14ac:dyDescent="0.25">
      <c r="A8025">
        <v>8025</v>
      </c>
      <c r="B8025" t="str">
        <f t="shared" si="125"/>
        <v>Ὑ</v>
      </c>
    </row>
    <row r="8026" spans="1:2" x14ac:dyDescent="0.25">
      <c r="A8026">
        <v>8026</v>
      </c>
      <c r="B8026" t="str">
        <f t="shared" si="125"/>
        <v>὚</v>
      </c>
    </row>
    <row r="8027" spans="1:2" x14ac:dyDescent="0.25">
      <c r="A8027">
        <v>8027</v>
      </c>
      <c r="B8027" t="str">
        <f t="shared" si="125"/>
        <v>Ὓ</v>
      </c>
    </row>
    <row r="8028" spans="1:2" x14ac:dyDescent="0.25">
      <c r="A8028">
        <v>8028</v>
      </c>
      <c r="B8028" t="str">
        <f t="shared" si="125"/>
        <v>὜</v>
      </c>
    </row>
    <row r="8029" spans="1:2" x14ac:dyDescent="0.25">
      <c r="A8029">
        <v>8029</v>
      </c>
      <c r="B8029" t="str">
        <f t="shared" si="125"/>
        <v>Ὕ</v>
      </c>
    </row>
    <row r="8030" spans="1:2" x14ac:dyDescent="0.25">
      <c r="A8030">
        <v>8030</v>
      </c>
      <c r="B8030" t="str">
        <f t="shared" si="125"/>
        <v>὞</v>
      </c>
    </row>
    <row r="8031" spans="1:2" x14ac:dyDescent="0.25">
      <c r="A8031">
        <v>8031</v>
      </c>
      <c r="B8031" t="str">
        <f t="shared" si="125"/>
        <v>Ὗ</v>
      </c>
    </row>
    <row r="8032" spans="1:2" x14ac:dyDescent="0.25">
      <c r="A8032">
        <v>8032</v>
      </c>
      <c r="B8032" t="str">
        <f t="shared" si="125"/>
        <v>ὠ</v>
      </c>
    </row>
    <row r="8033" spans="1:2" x14ac:dyDescent="0.25">
      <c r="A8033">
        <v>8033</v>
      </c>
      <c r="B8033" t="str">
        <f t="shared" si="125"/>
        <v>ὡ</v>
      </c>
    </row>
    <row r="8034" spans="1:2" x14ac:dyDescent="0.25">
      <c r="A8034">
        <v>8034</v>
      </c>
      <c r="B8034" t="str">
        <f t="shared" si="125"/>
        <v>ὢ</v>
      </c>
    </row>
    <row r="8035" spans="1:2" x14ac:dyDescent="0.25">
      <c r="A8035">
        <v>8035</v>
      </c>
      <c r="B8035" t="str">
        <f t="shared" si="125"/>
        <v>ὣ</v>
      </c>
    </row>
    <row r="8036" spans="1:2" x14ac:dyDescent="0.25">
      <c r="A8036">
        <v>8036</v>
      </c>
      <c r="B8036" t="str">
        <f t="shared" si="125"/>
        <v>ὤ</v>
      </c>
    </row>
    <row r="8037" spans="1:2" x14ac:dyDescent="0.25">
      <c r="A8037">
        <v>8037</v>
      </c>
      <c r="B8037" t="str">
        <f t="shared" si="125"/>
        <v>ὥ</v>
      </c>
    </row>
    <row r="8038" spans="1:2" x14ac:dyDescent="0.25">
      <c r="A8038">
        <v>8038</v>
      </c>
      <c r="B8038" t="str">
        <f t="shared" si="125"/>
        <v>ὦ</v>
      </c>
    </row>
    <row r="8039" spans="1:2" x14ac:dyDescent="0.25">
      <c r="A8039">
        <v>8039</v>
      </c>
      <c r="B8039" t="str">
        <f t="shared" si="125"/>
        <v>ὧ</v>
      </c>
    </row>
    <row r="8040" spans="1:2" x14ac:dyDescent="0.25">
      <c r="A8040">
        <v>8040</v>
      </c>
      <c r="B8040" t="str">
        <f t="shared" si="125"/>
        <v>Ὠ</v>
      </c>
    </row>
    <row r="8041" spans="1:2" x14ac:dyDescent="0.25">
      <c r="A8041">
        <v>8041</v>
      </c>
      <c r="B8041" t="str">
        <f t="shared" si="125"/>
        <v>Ὡ</v>
      </c>
    </row>
    <row r="8042" spans="1:2" x14ac:dyDescent="0.25">
      <c r="A8042">
        <v>8042</v>
      </c>
      <c r="B8042" t="str">
        <f t="shared" si="125"/>
        <v>Ὢ</v>
      </c>
    </row>
    <row r="8043" spans="1:2" x14ac:dyDescent="0.25">
      <c r="A8043">
        <v>8043</v>
      </c>
      <c r="B8043" t="str">
        <f t="shared" si="125"/>
        <v>Ὣ</v>
      </c>
    </row>
    <row r="8044" spans="1:2" x14ac:dyDescent="0.25">
      <c r="A8044">
        <v>8044</v>
      </c>
      <c r="B8044" t="str">
        <f t="shared" si="125"/>
        <v>Ὤ</v>
      </c>
    </row>
    <row r="8045" spans="1:2" x14ac:dyDescent="0.25">
      <c r="A8045">
        <v>8045</v>
      </c>
      <c r="B8045" t="str">
        <f t="shared" si="125"/>
        <v>Ὥ</v>
      </c>
    </row>
    <row r="8046" spans="1:2" x14ac:dyDescent="0.25">
      <c r="A8046">
        <v>8046</v>
      </c>
      <c r="B8046" t="str">
        <f t="shared" si="125"/>
        <v>Ὦ</v>
      </c>
    </row>
    <row r="8047" spans="1:2" x14ac:dyDescent="0.25">
      <c r="A8047">
        <v>8047</v>
      </c>
      <c r="B8047" t="str">
        <f t="shared" si="125"/>
        <v>Ὧ</v>
      </c>
    </row>
    <row r="8048" spans="1:2" x14ac:dyDescent="0.25">
      <c r="A8048">
        <v>8048</v>
      </c>
      <c r="B8048" t="str">
        <f t="shared" si="125"/>
        <v>ὰ</v>
      </c>
    </row>
    <row r="8049" spans="1:2" x14ac:dyDescent="0.25">
      <c r="A8049">
        <v>8049</v>
      </c>
      <c r="B8049" t="str">
        <f t="shared" si="125"/>
        <v>ά</v>
      </c>
    </row>
    <row r="8050" spans="1:2" x14ac:dyDescent="0.25">
      <c r="A8050">
        <v>8050</v>
      </c>
      <c r="B8050" t="str">
        <f t="shared" si="125"/>
        <v>ὲ</v>
      </c>
    </row>
    <row r="8051" spans="1:2" x14ac:dyDescent="0.25">
      <c r="A8051">
        <v>8051</v>
      </c>
      <c r="B8051" t="str">
        <f t="shared" si="125"/>
        <v>έ</v>
      </c>
    </row>
    <row r="8052" spans="1:2" x14ac:dyDescent="0.25">
      <c r="A8052">
        <v>8052</v>
      </c>
      <c r="B8052" t="str">
        <f t="shared" si="125"/>
        <v>ὴ</v>
      </c>
    </row>
    <row r="8053" spans="1:2" x14ac:dyDescent="0.25">
      <c r="A8053">
        <v>8053</v>
      </c>
      <c r="B8053" t="str">
        <f t="shared" si="125"/>
        <v>ή</v>
      </c>
    </row>
    <row r="8054" spans="1:2" x14ac:dyDescent="0.25">
      <c r="A8054">
        <v>8054</v>
      </c>
      <c r="B8054" t="str">
        <f t="shared" si="125"/>
        <v>ὶ</v>
      </c>
    </row>
    <row r="8055" spans="1:2" x14ac:dyDescent="0.25">
      <c r="A8055">
        <v>8055</v>
      </c>
      <c r="B8055" t="str">
        <f t="shared" si="125"/>
        <v>ί</v>
      </c>
    </row>
    <row r="8056" spans="1:2" x14ac:dyDescent="0.25">
      <c r="A8056">
        <v>8056</v>
      </c>
      <c r="B8056" t="str">
        <f t="shared" si="125"/>
        <v>ὸ</v>
      </c>
    </row>
    <row r="8057" spans="1:2" x14ac:dyDescent="0.25">
      <c r="A8057">
        <v>8057</v>
      </c>
      <c r="B8057" t="str">
        <f t="shared" si="125"/>
        <v>ό</v>
      </c>
    </row>
    <row r="8058" spans="1:2" x14ac:dyDescent="0.25">
      <c r="A8058">
        <v>8058</v>
      </c>
      <c r="B8058" t="str">
        <f t="shared" si="125"/>
        <v>ὺ</v>
      </c>
    </row>
    <row r="8059" spans="1:2" x14ac:dyDescent="0.25">
      <c r="A8059">
        <v>8059</v>
      </c>
      <c r="B8059" t="str">
        <f t="shared" si="125"/>
        <v>ύ</v>
      </c>
    </row>
    <row r="8060" spans="1:2" x14ac:dyDescent="0.25">
      <c r="A8060">
        <v>8060</v>
      </c>
      <c r="B8060" t="str">
        <f t="shared" si="125"/>
        <v>ὼ</v>
      </c>
    </row>
    <row r="8061" spans="1:2" x14ac:dyDescent="0.25">
      <c r="A8061">
        <v>8061</v>
      </c>
      <c r="B8061" t="str">
        <f t="shared" si="125"/>
        <v>ώ</v>
      </c>
    </row>
    <row r="8062" spans="1:2" x14ac:dyDescent="0.25">
      <c r="A8062">
        <v>8062</v>
      </c>
      <c r="B8062" t="str">
        <f t="shared" si="125"/>
        <v>὾</v>
      </c>
    </row>
    <row r="8063" spans="1:2" x14ac:dyDescent="0.25">
      <c r="A8063">
        <v>8063</v>
      </c>
      <c r="B8063" t="str">
        <f t="shared" si="125"/>
        <v>὿</v>
      </c>
    </row>
    <row r="8064" spans="1:2" x14ac:dyDescent="0.25">
      <c r="A8064">
        <v>8064</v>
      </c>
      <c r="B8064" t="str">
        <f t="shared" si="125"/>
        <v>ᾀ</v>
      </c>
    </row>
    <row r="8065" spans="1:2" x14ac:dyDescent="0.25">
      <c r="A8065">
        <v>8065</v>
      </c>
      <c r="B8065" t="str">
        <f t="shared" si="125"/>
        <v>ᾁ</v>
      </c>
    </row>
    <row r="8066" spans="1:2" x14ac:dyDescent="0.25">
      <c r="A8066">
        <v>8066</v>
      </c>
      <c r="B8066" t="str">
        <f t="shared" ref="B8066:B8129" si="126">_xlfn.UNICHAR(A8066)</f>
        <v>ᾂ</v>
      </c>
    </row>
    <row r="8067" spans="1:2" x14ac:dyDescent="0.25">
      <c r="A8067">
        <v>8067</v>
      </c>
      <c r="B8067" t="str">
        <f t="shared" si="126"/>
        <v>ᾃ</v>
      </c>
    </row>
    <row r="8068" spans="1:2" x14ac:dyDescent="0.25">
      <c r="A8068">
        <v>8068</v>
      </c>
      <c r="B8068" t="str">
        <f t="shared" si="126"/>
        <v>ᾄ</v>
      </c>
    </row>
    <row r="8069" spans="1:2" x14ac:dyDescent="0.25">
      <c r="A8069">
        <v>8069</v>
      </c>
      <c r="B8069" t="str">
        <f t="shared" si="126"/>
        <v>ᾅ</v>
      </c>
    </row>
    <row r="8070" spans="1:2" x14ac:dyDescent="0.25">
      <c r="A8070">
        <v>8070</v>
      </c>
      <c r="B8070" t="str">
        <f t="shared" si="126"/>
        <v>ᾆ</v>
      </c>
    </row>
    <row r="8071" spans="1:2" x14ac:dyDescent="0.25">
      <c r="A8071">
        <v>8071</v>
      </c>
      <c r="B8071" t="str">
        <f t="shared" si="126"/>
        <v>ᾇ</v>
      </c>
    </row>
    <row r="8072" spans="1:2" x14ac:dyDescent="0.25">
      <c r="A8072">
        <v>8072</v>
      </c>
      <c r="B8072" t="str">
        <f t="shared" si="126"/>
        <v>ᾈ</v>
      </c>
    </row>
    <row r="8073" spans="1:2" x14ac:dyDescent="0.25">
      <c r="A8073">
        <v>8073</v>
      </c>
      <c r="B8073" t="str">
        <f t="shared" si="126"/>
        <v>ᾉ</v>
      </c>
    </row>
    <row r="8074" spans="1:2" x14ac:dyDescent="0.25">
      <c r="A8074">
        <v>8074</v>
      </c>
      <c r="B8074" t="str">
        <f t="shared" si="126"/>
        <v>ᾊ</v>
      </c>
    </row>
    <row r="8075" spans="1:2" x14ac:dyDescent="0.25">
      <c r="A8075">
        <v>8075</v>
      </c>
      <c r="B8075" t="str">
        <f t="shared" si="126"/>
        <v>ᾋ</v>
      </c>
    </row>
    <row r="8076" spans="1:2" x14ac:dyDescent="0.25">
      <c r="A8076">
        <v>8076</v>
      </c>
      <c r="B8076" t="str">
        <f t="shared" si="126"/>
        <v>ᾌ</v>
      </c>
    </row>
    <row r="8077" spans="1:2" x14ac:dyDescent="0.25">
      <c r="A8077">
        <v>8077</v>
      </c>
      <c r="B8077" t="str">
        <f t="shared" si="126"/>
        <v>ᾍ</v>
      </c>
    </row>
    <row r="8078" spans="1:2" x14ac:dyDescent="0.25">
      <c r="A8078">
        <v>8078</v>
      </c>
      <c r="B8078" t="str">
        <f t="shared" si="126"/>
        <v>ᾎ</v>
      </c>
    </row>
    <row r="8079" spans="1:2" x14ac:dyDescent="0.25">
      <c r="A8079">
        <v>8079</v>
      </c>
      <c r="B8079" t="str">
        <f t="shared" si="126"/>
        <v>ᾏ</v>
      </c>
    </row>
    <row r="8080" spans="1:2" x14ac:dyDescent="0.25">
      <c r="A8080">
        <v>8080</v>
      </c>
      <c r="B8080" t="str">
        <f t="shared" si="126"/>
        <v>ᾐ</v>
      </c>
    </row>
    <row r="8081" spans="1:2" x14ac:dyDescent="0.25">
      <c r="A8081">
        <v>8081</v>
      </c>
      <c r="B8081" t="str">
        <f t="shared" si="126"/>
        <v>ᾑ</v>
      </c>
    </row>
    <row r="8082" spans="1:2" x14ac:dyDescent="0.25">
      <c r="A8082">
        <v>8082</v>
      </c>
      <c r="B8082" t="str">
        <f t="shared" si="126"/>
        <v>ᾒ</v>
      </c>
    </row>
    <row r="8083" spans="1:2" x14ac:dyDescent="0.25">
      <c r="A8083">
        <v>8083</v>
      </c>
      <c r="B8083" t="str">
        <f t="shared" si="126"/>
        <v>ᾓ</v>
      </c>
    </row>
    <row r="8084" spans="1:2" x14ac:dyDescent="0.25">
      <c r="A8084">
        <v>8084</v>
      </c>
      <c r="B8084" t="str">
        <f t="shared" si="126"/>
        <v>ᾔ</v>
      </c>
    </row>
    <row r="8085" spans="1:2" x14ac:dyDescent="0.25">
      <c r="A8085">
        <v>8085</v>
      </c>
      <c r="B8085" t="str">
        <f t="shared" si="126"/>
        <v>ᾕ</v>
      </c>
    </row>
    <row r="8086" spans="1:2" x14ac:dyDescent="0.25">
      <c r="A8086">
        <v>8086</v>
      </c>
      <c r="B8086" t="str">
        <f t="shared" si="126"/>
        <v>ᾖ</v>
      </c>
    </row>
    <row r="8087" spans="1:2" x14ac:dyDescent="0.25">
      <c r="A8087">
        <v>8087</v>
      </c>
      <c r="B8087" t="str">
        <f t="shared" si="126"/>
        <v>ᾗ</v>
      </c>
    </row>
    <row r="8088" spans="1:2" x14ac:dyDescent="0.25">
      <c r="A8088">
        <v>8088</v>
      </c>
      <c r="B8088" t="str">
        <f t="shared" si="126"/>
        <v>ᾘ</v>
      </c>
    </row>
    <row r="8089" spans="1:2" x14ac:dyDescent="0.25">
      <c r="A8089">
        <v>8089</v>
      </c>
      <c r="B8089" t="str">
        <f t="shared" si="126"/>
        <v>ᾙ</v>
      </c>
    </row>
    <row r="8090" spans="1:2" x14ac:dyDescent="0.25">
      <c r="A8090">
        <v>8090</v>
      </c>
      <c r="B8090" t="str">
        <f t="shared" si="126"/>
        <v>ᾚ</v>
      </c>
    </row>
    <row r="8091" spans="1:2" x14ac:dyDescent="0.25">
      <c r="A8091">
        <v>8091</v>
      </c>
      <c r="B8091" t="str">
        <f t="shared" si="126"/>
        <v>ᾛ</v>
      </c>
    </row>
    <row r="8092" spans="1:2" x14ac:dyDescent="0.25">
      <c r="A8092">
        <v>8092</v>
      </c>
      <c r="B8092" t="str">
        <f t="shared" si="126"/>
        <v>ᾜ</v>
      </c>
    </row>
    <row r="8093" spans="1:2" x14ac:dyDescent="0.25">
      <c r="A8093">
        <v>8093</v>
      </c>
      <c r="B8093" t="str">
        <f t="shared" si="126"/>
        <v>ᾝ</v>
      </c>
    </row>
    <row r="8094" spans="1:2" x14ac:dyDescent="0.25">
      <c r="A8094">
        <v>8094</v>
      </c>
      <c r="B8094" t="str">
        <f t="shared" si="126"/>
        <v>ᾞ</v>
      </c>
    </row>
    <row r="8095" spans="1:2" x14ac:dyDescent="0.25">
      <c r="A8095">
        <v>8095</v>
      </c>
      <c r="B8095" t="str">
        <f t="shared" si="126"/>
        <v>ᾟ</v>
      </c>
    </row>
    <row r="8096" spans="1:2" x14ac:dyDescent="0.25">
      <c r="A8096">
        <v>8096</v>
      </c>
      <c r="B8096" t="str">
        <f t="shared" si="126"/>
        <v>ᾠ</v>
      </c>
    </row>
    <row r="8097" spans="1:2" x14ac:dyDescent="0.25">
      <c r="A8097">
        <v>8097</v>
      </c>
      <c r="B8097" t="str">
        <f t="shared" si="126"/>
        <v>ᾡ</v>
      </c>
    </row>
    <row r="8098" spans="1:2" x14ac:dyDescent="0.25">
      <c r="A8098">
        <v>8098</v>
      </c>
      <c r="B8098" t="str">
        <f t="shared" si="126"/>
        <v>ᾢ</v>
      </c>
    </row>
    <row r="8099" spans="1:2" x14ac:dyDescent="0.25">
      <c r="A8099">
        <v>8099</v>
      </c>
      <c r="B8099" t="str">
        <f t="shared" si="126"/>
        <v>ᾣ</v>
      </c>
    </row>
    <row r="8100" spans="1:2" x14ac:dyDescent="0.25">
      <c r="A8100">
        <v>8100</v>
      </c>
      <c r="B8100" t="str">
        <f t="shared" si="126"/>
        <v>ᾤ</v>
      </c>
    </row>
    <row r="8101" spans="1:2" x14ac:dyDescent="0.25">
      <c r="A8101">
        <v>8101</v>
      </c>
      <c r="B8101" t="str">
        <f t="shared" si="126"/>
        <v>ᾥ</v>
      </c>
    </row>
    <row r="8102" spans="1:2" x14ac:dyDescent="0.25">
      <c r="A8102">
        <v>8102</v>
      </c>
      <c r="B8102" t="str">
        <f t="shared" si="126"/>
        <v>ᾦ</v>
      </c>
    </row>
    <row r="8103" spans="1:2" x14ac:dyDescent="0.25">
      <c r="A8103">
        <v>8103</v>
      </c>
      <c r="B8103" t="str">
        <f t="shared" si="126"/>
        <v>ᾧ</v>
      </c>
    </row>
    <row r="8104" spans="1:2" x14ac:dyDescent="0.25">
      <c r="A8104">
        <v>8104</v>
      </c>
      <c r="B8104" t="str">
        <f t="shared" si="126"/>
        <v>ᾨ</v>
      </c>
    </row>
    <row r="8105" spans="1:2" x14ac:dyDescent="0.25">
      <c r="A8105">
        <v>8105</v>
      </c>
      <c r="B8105" t="str">
        <f t="shared" si="126"/>
        <v>ᾩ</v>
      </c>
    </row>
    <row r="8106" spans="1:2" x14ac:dyDescent="0.25">
      <c r="A8106">
        <v>8106</v>
      </c>
      <c r="B8106" t="str">
        <f t="shared" si="126"/>
        <v>ᾪ</v>
      </c>
    </row>
    <row r="8107" spans="1:2" x14ac:dyDescent="0.25">
      <c r="A8107">
        <v>8107</v>
      </c>
      <c r="B8107" t="str">
        <f t="shared" si="126"/>
        <v>ᾫ</v>
      </c>
    </row>
    <row r="8108" spans="1:2" x14ac:dyDescent="0.25">
      <c r="A8108">
        <v>8108</v>
      </c>
      <c r="B8108" t="str">
        <f t="shared" si="126"/>
        <v>ᾬ</v>
      </c>
    </row>
    <row r="8109" spans="1:2" x14ac:dyDescent="0.25">
      <c r="A8109">
        <v>8109</v>
      </c>
      <c r="B8109" t="str">
        <f t="shared" si="126"/>
        <v>ᾭ</v>
      </c>
    </row>
    <row r="8110" spans="1:2" x14ac:dyDescent="0.25">
      <c r="A8110">
        <v>8110</v>
      </c>
      <c r="B8110" t="str">
        <f t="shared" si="126"/>
        <v>ᾮ</v>
      </c>
    </row>
    <row r="8111" spans="1:2" x14ac:dyDescent="0.25">
      <c r="A8111">
        <v>8111</v>
      </c>
      <c r="B8111" t="str">
        <f t="shared" si="126"/>
        <v>ᾯ</v>
      </c>
    </row>
    <row r="8112" spans="1:2" x14ac:dyDescent="0.25">
      <c r="A8112">
        <v>8112</v>
      </c>
      <c r="B8112" t="str">
        <f t="shared" si="126"/>
        <v>ᾰ</v>
      </c>
    </row>
    <row r="8113" spans="1:2" x14ac:dyDescent="0.25">
      <c r="A8113">
        <v>8113</v>
      </c>
      <c r="B8113" t="str">
        <f t="shared" si="126"/>
        <v>ᾱ</v>
      </c>
    </row>
    <row r="8114" spans="1:2" x14ac:dyDescent="0.25">
      <c r="A8114">
        <v>8114</v>
      </c>
      <c r="B8114" t="str">
        <f t="shared" si="126"/>
        <v>ᾲ</v>
      </c>
    </row>
    <row r="8115" spans="1:2" x14ac:dyDescent="0.25">
      <c r="A8115">
        <v>8115</v>
      </c>
      <c r="B8115" t="str">
        <f t="shared" si="126"/>
        <v>ᾳ</v>
      </c>
    </row>
    <row r="8116" spans="1:2" x14ac:dyDescent="0.25">
      <c r="A8116">
        <v>8116</v>
      </c>
      <c r="B8116" t="str">
        <f t="shared" si="126"/>
        <v>ᾴ</v>
      </c>
    </row>
    <row r="8117" spans="1:2" x14ac:dyDescent="0.25">
      <c r="A8117">
        <v>8117</v>
      </c>
      <c r="B8117" t="str">
        <f t="shared" si="126"/>
        <v>᾵</v>
      </c>
    </row>
    <row r="8118" spans="1:2" x14ac:dyDescent="0.25">
      <c r="A8118">
        <v>8118</v>
      </c>
      <c r="B8118" t="str">
        <f t="shared" si="126"/>
        <v>ᾶ</v>
      </c>
    </row>
    <row r="8119" spans="1:2" x14ac:dyDescent="0.25">
      <c r="A8119">
        <v>8119</v>
      </c>
      <c r="B8119" t="str">
        <f t="shared" si="126"/>
        <v>ᾷ</v>
      </c>
    </row>
    <row r="8120" spans="1:2" x14ac:dyDescent="0.25">
      <c r="A8120">
        <v>8120</v>
      </c>
      <c r="B8120" t="str">
        <f t="shared" si="126"/>
        <v>Ᾰ</v>
      </c>
    </row>
    <row r="8121" spans="1:2" x14ac:dyDescent="0.25">
      <c r="A8121">
        <v>8121</v>
      </c>
      <c r="B8121" t="str">
        <f t="shared" si="126"/>
        <v>Ᾱ</v>
      </c>
    </row>
    <row r="8122" spans="1:2" x14ac:dyDescent="0.25">
      <c r="A8122">
        <v>8122</v>
      </c>
      <c r="B8122" t="str">
        <f t="shared" si="126"/>
        <v>Ὰ</v>
      </c>
    </row>
    <row r="8123" spans="1:2" x14ac:dyDescent="0.25">
      <c r="A8123">
        <v>8123</v>
      </c>
      <c r="B8123" t="str">
        <f t="shared" si="126"/>
        <v>Ά</v>
      </c>
    </row>
    <row r="8124" spans="1:2" x14ac:dyDescent="0.25">
      <c r="A8124">
        <v>8124</v>
      </c>
      <c r="B8124" t="str">
        <f t="shared" si="126"/>
        <v>ᾼ</v>
      </c>
    </row>
    <row r="8125" spans="1:2" x14ac:dyDescent="0.25">
      <c r="A8125">
        <v>8125</v>
      </c>
      <c r="B8125" t="str">
        <f t="shared" si="126"/>
        <v>᾽</v>
      </c>
    </row>
    <row r="8126" spans="1:2" x14ac:dyDescent="0.25">
      <c r="A8126">
        <v>8126</v>
      </c>
      <c r="B8126" t="str">
        <f t="shared" si="126"/>
        <v>ι</v>
      </c>
    </row>
    <row r="8127" spans="1:2" x14ac:dyDescent="0.25">
      <c r="A8127">
        <v>8127</v>
      </c>
      <c r="B8127" t="str">
        <f t="shared" si="126"/>
        <v>᾿</v>
      </c>
    </row>
    <row r="8128" spans="1:2" x14ac:dyDescent="0.25">
      <c r="A8128">
        <v>8128</v>
      </c>
      <c r="B8128" t="str">
        <f t="shared" si="126"/>
        <v>῀</v>
      </c>
    </row>
    <row r="8129" spans="1:2" x14ac:dyDescent="0.25">
      <c r="A8129">
        <v>8129</v>
      </c>
      <c r="B8129" t="str">
        <f t="shared" si="126"/>
        <v>῁</v>
      </c>
    </row>
    <row r="8130" spans="1:2" x14ac:dyDescent="0.25">
      <c r="A8130">
        <v>8130</v>
      </c>
      <c r="B8130" t="str">
        <f t="shared" ref="B8130:B8193" si="127">_xlfn.UNICHAR(A8130)</f>
        <v>ῂ</v>
      </c>
    </row>
    <row r="8131" spans="1:2" x14ac:dyDescent="0.25">
      <c r="A8131">
        <v>8131</v>
      </c>
      <c r="B8131" t="str">
        <f t="shared" si="127"/>
        <v>ῃ</v>
      </c>
    </row>
    <row r="8132" spans="1:2" x14ac:dyDescent="0.25">
      <c r="A8132">
        <v>8132</v>
      </c>
      <c r="B8132" t="str">
        <f t="shared" si="127"/>
        <v>ῄ</v>
      </c>
    </row>
    <row r="8133" spans="1:2" x14ac:dyDescent="0.25">
      <c r="A8133">
        <v>8133</v>
      </c>
      <c r="B8133" t="str">
        <f t="shared" si="127"/>
        <v>῅</v>
      </c>
    </row>
    <row r="8134" spans="1:2" x14ac:dyDescent="0.25">
      <c r="A8134">
        <v>8134</v>
      </c>
      <c r="B8134" t="str">
        <f t="shared" si="127"/>
        <v>ῆ</v>
      </c>
    </row>
    <row r="8135" spans="1:2" x14ac:dyDescent="0.25">
      <c r="A8135">
        <v>8135</v>
      </c>
      <c r="B8135" t="str">
        <f t="shared" si="127"/>
        <v>ῇ</v>
      </c>
    </row>
    <row r="8136" spans="1:2" x14ac:dyDescent="0.25">
      <c r="A8136">
        <v>8136</v>
      </c>
      <c r="B8136" t="str">
        <f t="shared" si="127"/>
        <v>Ὲ</v>
      </c>
    </row>
    <row r="8137" spans="1:2" x14ac:dyDescent="0.25">
      <c r="A8137">
        <v>8137</v>
      </c>
      <c r="B8137" t="str">
        <f t="shared" si="127"/>
        <v>Έ</v>
      </c>
    </row>
    <row r="8138" spans="1:2" x14ac:dyDescent="0.25">
      <c r="A8138">
        <v>8138</v>
      </c>
      <c r="B8138" t="str">
        <f t="shared" si="127"/>
        <v>Ὴ</v>
      </c>
    </row>
    <row r="8139" spans="1:2" x14ac:dyDescent="0.25">
      <c r="A8139">
        <v>8139</v>
      </c>
      <c r="B8139" t="str">
        <f t="shared" si="127"/>
        <v>Ή</v>
      </c>
    </row>
    <row r="8140" spans="1:2" x14ac:dyDescent="0.25">
      <c r="A8140">
        <v>8140</v>
      </c>
      <c r="B8140" t="str">
        <f t="shared" si="127"/>
        <v>ῌ</v>
      </c>
    </row>
    <row r="8141" spans="1:2" x14ac:dyDescent="0.25">
      <c r="A8141">
        <v>8141</v>
      </c>
      <c r="B8141" t="str">
        <f t="shared" si="127"/>
        <v>῍</v>
      </c>
    </row>
    <row r="8142" spans="1:2" x14ac:dyDescent="0.25">
      <c r="A8142">
        <v>8142</v>
      </c>
      <c r="B8142" t="str">
        <f t="shared" si="127"/>
        <v>῎</v>
      </c>
    </row>
    <row r="8143" spans="1:2" x14ac:dyDescent="0.25">
      <c r="A8143">
        <v>8143</v>
      </c>
      <c r="B8143" t="str">
        <f t="shared" si="127"/>
        <v>῏</v>
      </c>
    </row>
    <row r="8144" spans="1:2" x14ac:dyDescent="0.25">
      <c r="A8144">
        <v>8144</v>
      </c>
      <c r="B8144" t="str">
        <f t="shared" si="127"/>
        <v>ῐ</v>
      </c>
    </row>
    <row r="8145" spans="1:2" x14ac:dyDescent="0.25">
      <c r="A8145">
        <v>8145</v>
      </c>
      <c r="B8145" t="str">
        <f t="shared" si="127"/>
        <v>ῑ</v>
      </c>
    </row>
    <row r="8146" spans="1:2" x14ac:dyDescent="0.25">
      <c r="A8146">
        <v>8146</v>
      </c>
      <c r="B8146" t="str">
        <f t="shared" si="127"/>
        <v>ῒ</v>
      </c>
    </row>
    <row r="8147" spans="1:2" x14ac:dyDescent="0.25">
      <c r="A8147">
        <v>8147</v>
      </c>
      <c r="B8147" t="str">
        <f t="shared" si="127"/>
        <v>ΐ</v>
      </c>
    </row>
    <row r="8148" spans="1:2" x14ac:dyDescent="0.25">
      <c r="A8148">
        <v>8148</v>
      </c>
      <c r="B8148" t="str">
        <f t="shared" si="127"/>
        <v>῔</v>
      </c>
    </row>
    <row r="8149" spans="1:2" x14ac:dyDescent="0.25">
      <c r="A8149">
        <v>8149</v>
      </c>
      <c r="B8149" t="str">
        <f t="shared" si="127"/>
        <v>῕</v>
      </c>
    </row>
    <row r="8150" spans="1:2" x14ac:dyDescent="0.25">
      <c r="A8150">
        <v>8150</v>
      </c>
      <c r="B8150" t="str">
        <f t="shared" si="127"/>
        <v>ῖ</v>
      </c>
    </row>
    <row r="8151" spans="1:2" x14ac:dyDescent="0.25">
      <c r="A8151">
        <v>8151</v>
      </c>
      <c r="B8151" t="str">
        <f t="shared" si="127"/>
        <v>ῗ</v>
      </c>
    </row>
    <row r="8152" spans="1:2" x14ac:dyDescent="0.25">
      <c r="A8152">
        <v>8152</v>
      </c>
      <c r="B8152" t="str">
        <f t="shared" si="127"/>
        <v>Ῐ</v>
      </c>
    </row>
    <row r="8153" spans="1:2" x14ac:dyDescent="0.25">
      <c r="A8153">
        <v>8153</v>
      </c>
      <c r="B8153" t="str">
        <f t="shared" si="127"/>
        <v>Ῑ</v>
      </c>
    </row>
    <row r="8154" spans="1:2" x14ac:dyDescent="0.25">
      <c r="A8154">
        <v>8154</v>
      </c>
      <c r="B8154" t="str">
        <f t="shared" si="127"/>
        <v>Ὶ</v>
      </c>
    </row>
    <row r="8155" spans="1:2" x14ac:dyDescent="0.25">
      <c r="A8155">
        <v>8155</v>
      </c>
      <c r="B8155" t="str">
        <f t="shared" si="127"/>
        <v>Ί</v>
      </c>
    </row>
    <row r="8156" spans="1:2" x14ac:dyDescent="0.25">
      <c r="A8156">
        <v>8156</v>
      </c>
      <c r="B8156" t="str">
        <f t="shared" si="127"/>
        <v>῜</v>
      </c>
    </row>
    <row r="8157" spans="1:2" x14ac:dyDescent="0.25">
      <c r="A8157">
        <v>8157</v>
      </c>
      <c r="B8157" t="str">
        <f t="shared" si="127"/>
        <v>῝</v>
      </c>
    </row>
    <row r="8158" spans="1:2" x14ac:dyDescent="0.25">
      <c r="A8158">
        <v>8158</v>
      </c>
      <c r="B8158" t="str">
        <f t="shared" si="127"/>
        <v>῞</v>
      </c>
    </row>
    <row r="8159" spans="1:2" x14ac:dyDescent="0.25">
      <c r="A8159">
        <v>8159</v>
      </c>
      <c r="B8159" t="str">
        <f t="shared" si="127"/>
        <v>῟</v>
      </c>
    </row>
    <row r="8160" spans="1:2" x14ac:dyDescent="0.25">
      <c r="A8160">
        <v>8160</v>
      </c>
      <c r="B8160" t="str">
        <f t="shared" si="127"/>
        <v>ῠ</v>
      </c>
    </row>
    <row r="8161" spans="1:2" x14ac:dyDescent="0.25">
      <c r="A8161">
        <v>8161</v>
      </c>
      <c r="B8161" t="str">
        <f t="shared" si="127"/>
        <v>ῡ</v>
      </c>
    </row>
    <row r="8162" spans="1:2" x14ac:dyDescent="0.25">
      <c r="A8162">
        <v>8162</v>
      </c>
      <c r="B8162" t="str">
        <f t="shared" si="127"/>
        <v>ῢ</v>
      </c>
    </row>
    <row r="8163" spans="1:2" x14ac:dyDescent="0.25">
      <c r="A8163">
        <v>8163</v>
      </c>
      <c r="B8163" t="str">
        <f t="shared" si="127"/>
        <v>ΰ</v>
      </c>
    </row>
    <row r="8164" spans="1:2" x14ac:dyDescent="0.25">
      <c r="A8164">
        <v>8164</v>
      </c>
      <c r="B8164" t="str">
        <f t="shared" si="127"/>
        <v>ῤ</v>
      </c>
    </row>
    <row r="8165" spans="1:2" x14ac:dyDescent="0.25">
      <c r="A8165">
        <v>8165</v>
      </c>
      <c r="B8165" t="str">
        <f t="shared" si="127"/>
        <v>ῥ</v>
      </c>
    </row>
    <row r="8166" spans="1:2" x14ac:dyDescent="0.25">
      <c r="A8166">
        <v>8166</v>
      </c>
      <c r="B8166" t="str">
        <f t="shared" si="127"/>
        <v>ῦ</v>
      </c>
    </row>
    <row r="8167" spans="1:2" x14ac:dyDescent="0.25">
      <c r="A8167">
        <v>8167</v>
      </c>
      <c r="B8167" t="str">
        <f t="shared" si="127"/>
        <v>ῧ</v>
      </c>
    </row>
    <row r="8168" spans="1:2" x14ac:dyDescent="0.25">
      <c r="A8168">
        <v>8168</v>
      </c>
      <c r="B8168" t="str">
        <f t="shared" si="127"/>
        <v>Ῠ</v>
      </c>
    </row>
    <row r="8169" spans="1:2" x14ac:dyDescent="0.25">
      <c r="A8169">
        <v>8169</v>
      </c>
      <c r="B8169" t="str">
        <f t="shared" si="127"/>
        <v>Ῡ</v>
      </c>
    </row>
    <row r="8170" spans="1:2" x14ac:dyDescent="0.25">
      <c r="A8170">
        <v>8170</v>
      </c>
      <c r="B8170" t="str">
        <f t="shared" si="127"/>
        <v>Ὺ</v>
      </c>
    </row>
    <row r="8171" spans="1:2" x14ac:dyDescent="0.25">
      <c r="A8171">
        <v>8171</v>
      </c>
      <c r="B8171" t="str">
        <f t="shared" si="127"/>
        <v>Ύ</v>
      </c>
    </row>
    <row r="8172" spans="1:2" x14ac:dyDescent="0.25">
      <c r="A8172">
        <v>8172</v>
      </c>
      <c r="B8172" t="str">
        <f t="shared" si="127"/>
        <v>Ῥ</v>
      </c>
    </row>
    <row r="8173" spans="1:2" x14ac:dyDescent="0.25">
      <c r="A8173">
        <v>8173</v>
      </c>
      <c r="B8173" t="str">
        <f t="shared" si="127"/>
        <v>῭</v>
      </c>
    </row>
    <row r="8174" spans="1:2" x14ac:dyDescent="0.25">
      <c r="A8174">
        <v>8174</v>
      </c>
      <c r="B8174" t="str">
        <f t="shared" si="127"/>
        <v>΅</v>
      </c>
    </row>
    <row r="8175" spans="1:2" x14ac:dyDescent="0.25">
      <c r="A8175">
        <v>8175</v>
      </c>
      <c r="B8175" t="str">
        <f t="shared" si="127"/>
        <v>`</v>
      </c>
    </row>
    <row r="8176" spans="1:2" x14ac:dyDescent="0.25">
      <c r="A8176">
        <v>8176</v>
      </c>
      <c r="B8176" t="str">
        <f t="shared" si="127"/>
        <v>῰</v>
      </c>
    </row>
    <row r="8177" spans="1:2" x14ac:dyDescent="0.25">
      <c r="A8177">
        <v>8177</v>
      </c>
      <c r="B8177" t="str">
        <f t="shared" si="127"/>
        <v>῱</v>
      </c>
    </row>
    <row r="8178" spans="1:2" x14ac:dyDescent="0.25">
      <c r="A8178">
        <v>8178</v>
      </c>
      <c r="B8178" t="str">
        <f t="shared" si="127"/>
        <v>ῲ</v>
      </c>
    </row>
    <row r="8179" spans="1:2" x14ac:dyDescent="0.25">
      <c r="A8179">
        <v>8179</v>
      </c>
      <c r="B8179" t="str">
        <f t="shared" si="127"/>
        <v>ῳ</v>
      </c>
    </row>
    <row r="8180" spans="1:2" x14ac:dyDescent="0.25">
      <c r="A8180">
        <v>8180</v>
      </c>
      <c r="B8180" t="str">
        <f t="shared" si="127"/>
        <v>ῴ</v>
      </c>
    </row>
    <row r="8181" spans="1:2" x14ac:dyDescent="0.25">
      <c r="A8181">
        <v>8181</v>
      </c>
      <c r="B8181" t="str">
        <f t="shared" si="127"/>
        <v>῵</v>
      </c>
    </row>
    <row r="8182" spans="1:2" x14ac:dyDescent="0.25">
      <c r="A8182">
        <v>8182</v>
      </c>
      <c r="B8182" t="str">
        <f t="shared" si="127"/>
        <v>ῶ</v>
      </c>
    </row>
    <row r="8183" spans="1:2" x14ac:dyDescent="0.25">
      <c r="A8183">
        <v>8183</v>
      </c>
      <c r="B8183" t="str">
        <f t="shared" si="127"/>
        <v>ῷ</v>
      </c>
    </row>
    <row r="8184" spans="1:2" x14ac:dyDescent="0.25">
      <c r="A8184">
        <v>8184</v>
      </c>
      <c r="B8184" t="str">
        <f t="shared" si="127"/>
        <v>Ὸ</v>
      </c>
    </row>
    <row r="8185" spans="1:2" x14ac:dyDescent="0.25">
      <c r="A8185">
        <v>8185</v>
      </c>
      <c r="B8185" t="str">
        <f t="shared" si="127"/>
        <v>Ό</v>
      </c>
    </row>
    <row r="8186" spans="1:2" x14ac:dyDescent="0.25">
      <c r="A8186">
        <v>8186</v>
      </c>
      <c r="B8186" t="str">
        <f t="shared" si="127"/>
        <v>Ὼ</v>
      </c>
    </row>
    <row r="8187" spans="1:2" x14ac:dyDescent="0.25">
      <c r="A8187">
        <v>8187</v>
      </c>
      <c r="B8187" t="str">
        <f t="shared" si="127"/>
        <v>Ώ</v>
      </c>
    </row>
    <row r="8188" spans="1:2" x14ac:dyDescent="0.25">
      <c r="A8188">
        <v>8188</v>
      </c>
      <c r="B8188" t="str">
        <f t="shared" si="127"/>
        <v>ῼ</v>
      </c>
    </row>
    <row r="8189" spans="1:2" x14ac:dyDescent="0.25">
      <c r="A8189">
        <v>8189</v>
      </c>
      <c r="B8189" t="str">
        <f t="shared" si="127"/>
        <v>´</v>
      </c>
    </row>
    <row r="8190" spans="1:2" x14ac:dyDescent="0.25">
      <c r="A8190">
        <v>8190</v>
      </c>
      <c r="B8190" t="str">
        <f t="shared" si="127"/>
        <v>῾</v>
      </c>
    </row>
    <row r="8191" spans="1:2" x14ac:dyDescent="0.25">
      <c r="A8191">
        <v>8191</v>
      </c>
      <c r="B8191" t="str">
        <f t="shared" si="127"/>
        <v>῿</v>
      </c>
    </row>
    <row r="8192" spans="1:2" x14ac:dyDescent="0.25">
      <c r="A8192">
        <v>8192</v>
      </c>
      <c r="B8192" t="str">
        <f t="shared" si="127"/>
        <v> </v>
      </c>
    </row>
    <row r="8193" spans="1:2" x14ac:dyDescent="0.25">
      <c r="A8193">
        <v>8193</v>
      </c>
      <c r="B8193" t="str">
        <f t="shared" si="127"/>
        <v> </v>
      </c>
    </row>
    <row r="8194" spans="1:2" x14ac:dyDescent="0.25">
      <c r="A8194">
        <v>8194</v>
      </c>
      <c r="B8194" t="str">
        <f t="shared" ref="B8194:B8257" si="128">_xlfn.UNICHAR(A8194)</f>
        <v> </v>
      </c>
    </row>
    <row r="8195" spans="1:2" x14ac:dyDescent="0.25">
      <c r="A8195">
        <v>8195</v>
      </c>
      <c r="B8195" t="str">
        <f t="shared" si="128"/>
        <v> </v>
      </c>
    </row>
    <row r="8196" spans="1:2" x14ac:dyDescent="0.25">
      <c r="A8196">
        <v>8196</v>
      </c>
      <c r="B8196" t="str">
        <f t="shared" si="128"/>
        <v> </v>
      </c>
    </row>
    <row r="8197" spans="1:2" x14ac:dyDescent="0.25">
      <c r="A8197">
        <v>8197</v>
      </c>
      <c r="B8197" t="str">
        <f t="shared" si="128"/>
        <v> </v>
      </c>
    </row>
    <row r="8198" spans="1:2" x14ac:dyDescent="0.25">
      <c r="A8198">
        <v>8198</v>
      </c>
      <c r="B8198" t="str">
        <f t="shared" si="128"/>
        <v> </v>
      </c>
    </row>
    <row r="8199" spans="1:2" x14ac:dyDescent="0.25">
      <c r="A8199">
        <v>8199</v>
      </c>
      <c r="B8199" t="str">
        <f t="shared" si="128"/>
        <v> </v>
      </c>
    </row>
    <row r="8200" spans="1:2" x14ac:dyDescent="0.25">
      <c r="A8200">
        <v>8200</v>
      </c>
      <c r="B8200" t="str">
        <f t="shared" si="128"/>
        <v> </v>
      </c>
    </row>
    <row r="8201" spans="1:2" x14ac:dyDescent="0.25">
      <c r="A8201">
        <v>8201</v>
      </c>
      <c r="B8201" t="str">
        <f t="shared" si="128"/>
        <v> </v>
      </c>
    </row>
    <row r="8202" spans="1:2" x14ac:dyDescent="0.25">
      <c r="A8202">
        <v>8202</v>
      </c>
      <c r="B8202" t="str">
        <f t="shared" si="128"/>
        <v> </v>
      </c>
    </row>
    <row r="8203" spans="1:2" x14ac:dyDescent="0.25">
      <c r="A8203">
        <v>8203</v>
      </c>
      <c r="B8203" t="str">
        <f t="shared" si="128"/>
        <v>​</v>
      </c>
    </row>
    <row r="8204" spans="1:2" x14ac:dyDescent="0.25">
      <c r="A8204">
        <v>8204</v>
      </c>
      <c r="B8204" t="str">
        <f t="shared" si="128"/>
        <v>‌</v>
      </c>
    </row>
    <row r="8205" spans="1:2" x14ac:dyDescent="0.25">
      <c r="A8205">
        <v>8205</v>
      </c>
      <c r="B8205" t="str">
        <f t="shared" si="128"/>
        <v>‍</v>
      </c>
    </row>
    <row r="8206" spans="1:2" x14ac:dyDescent="0.25">
      <c r="A8206">
        <v>8206</v>
      </c>
      <c r="B8206" t="str">
        <f t="shared" si="128"/>
        <v>‎</v>
      </c>
    </row>
    <row r="8207" spans="1:2" x14ac:dyDescent="0.25">
      <c r="A8207">
        <v>8207</v>
      </c>
      <c r="B8207" t="str">
        <f t="shared" si="128"/>
        <v>‏</v>
      </c>
    </row>
    <row r="8208" spans="1:2" x14ac:dyDescent="0.25">
      <c r="A8208">
        <v>8208</v>
      </c>
      <c r="B8208" t="str">
        <f t="shared" si="128"/>
        <v>‐</v>
      </c>
    </row>
    <row r="8209" spans="1:2" x14ac:dyDescent="0.25">
      <c r="A8209">
        <v>8209</v>
      </c>
      <c r="B8209" t="str">
        <f t="shared" si="128"/>
        <v>‑</v>
      </c>
    </row>
    <row r="8210" spans="1:2" x14ac:dyDescent="0.25">
      <c r="A8210">
        <v>8210</v>
      </c>
      <c r="B8210" t="str">
        <f t="shared" si="128"/>
        <v>‒</v>
      </c>
    </row>
    <row r="8211" spans="1:2" x14ac:dyDescent="0.25">
      <c r="A8211">
        <v>8211</v>
      </c>
      <c r="B8211" t="str">
        <f t="shared" si="128"/>
        <v>–</v>
      </c>
    </row>
    <row r="8212" spans="1:2" x14ac:dyDescent="0.25">
      <c r="A8212">
        <v>8212</v>
      </c>
      <c r="B8212" t="str">
        <f t="shared" si="128"/>
        <v>—</v>
      </c>
    </row>
    <row r="8213" spans="1:2" x14ac:dyDescent="0.25">
      <c r="A8213">
        <v>8213</v>
      </c>
      <c r="B8213" t="str">
        <f t="shared" si="128"/>
        <v>―</v>
      </c>
    </row>
    <row r="8214" spans="1:2" x14ac:dyDescent="0.25">
      <c r="A8214">
        <v>8214</v>
      </c>
      <c r="B8214" t="str">
        <f t="shared" si="128"/>
        <v>‖</v>
      </c>
    </row>
    <row r="8215" spans="1:2" x14ac:dyDescent="0.25">
      <c r="A8215">
        <v>8215</v>
      </c>
      <c r="B8215" t="str">
        <f t="shared" si="128"/>
        <v>‗</v>
      </c>
    </row>
    <row r="8216" spans="1:2" x14ac:dyDescent="0.25">
      <c r="A8216">
        <v>8216</v>
      </c>
      <c r="B8216" t="str">
        <f t="shared" si="128"/>
        <v>‘</v>
      </c>
    </row>
    <row r="8217" spans="1:2" x14ac:dyDescent="0.25">
      <c r="A8217">
        <v>8217</v>
      </c>
      <c r="B8217" t="str">
        <f t="shared" si="128"/>
        <v>’</v>
      </c>
    </row>
    <row r="8218" spans="1:2" x14ac:dyDescent="0.25">
      <c r="A8218">
        <v>8218</v>
      </c>
      <c r="B8218" t="str">
        <f t="shared" si="128"/>
        <v>‚</v>
      </c>
    </row>
    <row r="8219" spans="1:2" x14ac:dyDescent="0.25">
      <c r="A8219">
        <v>8219</v>
      </c>
      <c r="B8219" t="str">
        <f t="shared" si="128"/>
        <v>‛</v>
      </c>
    </row>
    <row r="8220" spans="1:2" x14ac:dyDescent="0.25">
      <c r="A8220">
        <v>8220</v>
      </c>
      <c r="B8220" t="str">
        <f t="shared" si="128"/>
        <v>“</v>
      </c>
    </row>
    <row r="8221" spans="1:2" x14ac:dyDescent="0.25">
      <c r="A8221">
        <v>8221</v>
      </c>
      <c r="B8221" t="str">
        <f t="shared" si="128"/>
        <v>”</v>
      </c>
    </row>
    <row r="8222" spans="1:2" x14ac:dyDescent="0.25">
      <c r="A8222">
        <v>8222</v>
      </c>
      <c r="B8222" t="str">
        <f t="shared" si="128"/>
        <v>„</v>
      </c>
    </row>
    <row r="8223" spans="1:2" x14ac:dyDescent="0.25">
      <c r="A8223">
        <v>8223</v>
      </c>
      <c r="B8223" t="str">
        <f t="shared" si="128"/>
        <v>‟</v>
      </c>
    </row>
    <row r="8224" spans="1:2" x14ac:dyDescent="0.25">
      <c r="A8224">
        <v>8224</v>
      </c>
      <c r="B8224" t="str">
        <f t="shared" si="128"/>
        <v>†</v>
      </c>
    </row>
    <row r="8225" spans="1:2" x14ac:dyDescent="0.25">
      <c r="A8225">
        <v>8225</v>
      </c>
      <c r="B8225" t="str">
        <f t="shared" si="128"/>
        <v>‡</v>
      </c>
    </row>
    <row r="8226" spans="1:2" x14ac:dyDescent="0.25">
      <c r="A8226">
        <v>8226</v>
      </c>
      <c r="B8226" t="str">
        <f t="shared" si="128"/>
        <v>•</v>
      </c>
    </row>
    <row r="8227" spans="1:2" x14ac:dyDescent="0.25">
      <c r="A8227">
        <v>8227</v>
      </c>
      <c r="B8227" t="str">
        <f t="shared" si="128"/>
        <v>‣</v>
      </c>
    </row>
    <row r="8228" spans="1:2" x14ac:dyDescent="0.25">
      <c r="A8228">
        <v>8228</v>
      </c>
      <c r="B8228" t="str">
        <f t="shared" si="128"/>
        <v>․</v>
      </c>
    </row>
    <row r="8229" spans="1:2" x14ac:dyDescent="0.25">
      <c r="A8229">
        <v>8229</v>
      </c>
      <c r="B8229" t="str">
        <f t="shared" si="128"/>
        <v>‥</v>
      </c>
    </row>
    <row r="8230" spans="1:2" x14ac:dyDescent="0.25">
      <c r="A8230">
        <v>8230</v>
      </c>
      <c r="B8230" t="str">
        <f t="shared" si="128"/>
        <v>…</v>
      </c>
    </row>
    <row r="8231" spans="1:2" x14ac:dyDescent="0.25">
      <c r="A8231">
        <v>8231</v>
      </c>
      <c r="B8231" t="str">
        <f t="shared" si="128"/>
        <v>‧</v>
      </c>
    </row>
    <row r="8232" spans="1:2" x14ac:dyDescent="0.25">
      <c r="A8232">
        <v>8232</v>
      </c>
      <c r="B8232" t="str">
        <f t="shared" si="128"/>
        <v> </v>
      </c>
    </row>
    <row r="8233" spans="1:2" x14ac:dyDescent="0.25">
      <c r="A8233">
        <v>8233</v>
      </c>
      <c r="B8233" t="str">
        <f t="shared" si="128"/>
        <v> </v>
      </c>
    </row>
    <row r="8234" spans="1:2" x14ac:dyDescent="0.25">
      <c r="A8234">
        <v>8234</v>
      </c>
      <c r="B8234" t="str">
        <f t="shared" si="128"/>
        <v>‪</v>
      </c>
    </row>
    <row r="8235" spans="1:2" x14ac:dyDescent="0.25">
      <c r="A8235">
        <v>8235</v>
      </c>
      <c r="B8235" t="str">
        <f t="shared" si="128"/>
        <v>‫</v>
      </c>
    </row>
    <row r="8236" spans="1:2" x14ac:dyDescent="0.25">
      <c r="A8236">
        <v>8236</v>
      </c>
      <c r="B8236" t="str">
        <f t="shared" si="128"/>
        <v>‬</v>
      </c>
    </row>
    <row r="8237" spans="1:2" x14ac:dyDescent="0.25">
      <c r="A8237">
        <v>8237</v>
      </c>
      <c r="B8237" t="str">
        <f t="shared" si="128"/>
        <v>‭</v>
      </c>
    </row>
    <row r="8238" spans="1:2" x14ac:dyDescent="0.25">
      <c r="A8238">
        <v>8238</v>
      </c>
      <c r="B8238" t="str">
        <f t="shared" si="128"/>
        <v>‮</v>
      </c>
    </row>
    <row r="8239" spans="1:2" x14ac:dyDescent="0.25">
      <c r="A8239">
        <v>8239</v>
      </c>
      <c r="B8239" t="str">
        <f t="shared" si="128"/>
        <v> </v>
      </c>
    </row>
    <row r="8240" spans="1:2" x14ac:dyDescent="0.25">
      <c r="A8240">
        <v>8240</v>
      </c>
      <c r="B8240" t="str">
        <f t="shared" si="128"/>
        <v>‰</v>
      </c>
    </row>
    <row r="8241" spans="1:2" x14ac:dyDescent="0.25">
      <c r="A8241">
        <v>8241</v>
      </c>
      <c r="B8241" t="str">
        <f t="shared" si="128"/>
        <v>‱</v>
      </c>
    </row>
    <row r="8242" spans="1:2" x14ac:dyDescent="0.25">
      <c r="A8242">
        <v>8242</v>
      </c>
      <c r="B8242" t="str">
        <f t="shared" si="128"/>
        <v>′</v>
      </c>
    </row>
    <row r="8243" spans="1:2" x14ac:dyDescent="0.25">
      <c r="A8243">
        <v>8243</v>
      </c>
      <c r="B8243" t="str">
        <f t="shared" si="128"/>
        <v>″</v>
      </c>
    </row>
    <row r="8244" spans="1:2" x14ac:dyDescent="0.25">
      <c r="A8244">
        <v>8244</v>
      </c>
      <c r="B8244" t="str">
        <f t="shared" si="128"/>
        <v>‴</v>
      </c>
    </row>
    <row r="8245" spans="1:2" x14ac:dyDescent="0.25">
      <c r="A8245">
        <v>8245</v>
      </c>
      <c r="B8245" t="str">
        <f t="shared" si="128"/>
        <v>‵</v>
      </c>
    </row>
    <row r="8246" spans="1:2" x14ac:dyDescent="0.25">
      <c r="A8246">
        <v>8246</v>
      </c>
      <c r="B8246" t="str">
        <f t="shared" si="128"/>
        <v>‶</v>
      </c>
    </row>
    <row r="8247" spans="1:2" x14ac:dyDescent="0.25">
      <c r="A8247">
        <v>8247</v>
      </c>
      <c r="B8247" t="str">
        <f t="shared" si="128"/>
        <v>‷</v>
      </c>
    </row>
    <row r="8248" spans="1:2" x14ac:dyDescent="0.25">
      <c r="A8248">
        <v>8248</v>
      </c>
      <c r="B8248" t="str">
        <f t="shared" si="128"/>
        <v>‸</v>
      </c>
    </row>
    <row r="8249" spans="1:2" x14ac:dyDescent="0.25">
      <c r="A8249">
        <v>8249</v>
      </c>
      <c r="B8249" t="str">
        <f t="shared" si="128"/>
        <v>‹</v>
      </c>
    </row>
    <row r="8250" spans="1:2" x14ac:dyDescent="0.25">
      <c r="A8250">
        <v>8250</v>
      </c>
      <c r="B8250" t="str">
        <f t="shared" si="128"/>
        <v>›</v>
      </c>
    </row>
    <row r="8251" spans="1:2" x14ac:dyDescent="0.25">
      <c r="A8251">
        <v>8251</v>
      </c>
      <c r="B8251" t="str">
        <f t="shared" si="128"/>
        <v>※</v>
      </c>
    </row>
    <row r="8252" spans="1:2" x14ac:dyDescent="0.25">
      <c r="A8252">
        <v>8252</v>
      </c>
      <c r="B8252" t="str">
        <f t="shared" si="128"/>
        <v>‼</v>
      </c>
    </row>
    <row r="8253" spans="1:2" x14ac:dyDescent="0.25">
      <c r="A8253">
        <v>8253</v>
      </c>
      <c r="B8253" t="str">
        <f t="shared" si="128"/>
        <v>‽</v>
      </c>
    </row>
    <row r="8254" spans="1:2" x14ac:dyDescent="0.25">
      <c r="A8254">
        <v>8254</v>
      </c>
      <c r="B8254" t="str">
        <f t="shared" si="128"/>
        <v>‾</v>
      </c>
    </row>
    <row r="8255" spans="1:2" x14ac:dyDescent="0.25">
      <c r="A8255">
        <v>8255</v>
      </c>
      <c r="B8255" t="str">
        <f t="shared" si="128"/>
        <v>‿</v>
      </c>
    </row>
    <row r="8256" spans="1:2" x14ac:dyDescent="0.25">
      <c r="A8256">
        <v>8256</v>
      </c>
      <c r="B8256" t="str">
        <f t="shared" si="128"/>
        <v>⁀</v>
      </c>
    </row>
    <row r="8257" spans="1:2" x14ac:dyDescent="0.25">
      <c r="A8257">
        <v>8257</v>
      </c>
      <c r="B8257" t="str">
        <f t="shared" si="128"/>
        <v>⁁</v>
      </c>
    </row>
    <row r="8258" spans="1:2" x14ac:dyDescent="0.25">
      <c r="A8258">
        <v>8258</v>
      </c>
      <c r="B8258" t="str">
        <f t="shared" ref="B8258:B8321" si="129">_xlfn.UNICHAR(A8258)</f>
        <v>⁂</v>
      </c>
    </row>
    <row r="8259" spans="1:2" x14ac:dyDescent="0.25">
      <c r="A8259">
        <v>8259</v>
      </c>
      <c r="B8259" t="str">
        <f t="shared" si="129"/>
        <v>⁃</v>
      </c>
    </row>
    <row r="8260" spans="1:2" x14ac:dyDescent="0.25">
      <c r="A8260">
        <v>8260</v>
      </c>
      <c r="B8260" t="str">
        <f t="shared" si="129"/>
        <v>⁄</v>
      </c>
    </row>
    <row r="8261" spans="1:2" x14ac:dyDescent="0.25">
      <c r="A8261">
        <v>8261</v>
      </c>
      <c r="B8261" t="str">
        <f t="shared" si="129"/>
        <v>⁅</v>
      </c>
    </row>
    <row r="8262" spans="1:2" x14ac:dyDescent="0.25">
      <c r="A8262">
        <v>8262</v>
      </c>
      <c r="B8262" t="str">
        <f t="shared" si="129"/>
        <v>⁆</v>
      </c>
    </row>
    <row r="8263" spans="1:2" x14ac:dyDescent="0.25">
      <c r="A8263">
        <v>8263</v>
      </c>
      <c r="B8263" t="str">
        <f t="shared" si="129"/>
        <v>⁇</v>
      </c>
    </row>
    <row r="8264" spans="1:2" x14ac:dyDescent="0.25">
      <c r="A8264">
        <v>8264</v>
      </c>
      <c r="B8264" t="str">
        <f t="shared" si="129"/>
        <v>⁈</v>
      </c>
    </row>
    <row r="8265" spans="1:2" x14ac:dyDescent="0.25">
      <c r="A8265">
        <v>8265</v>
      </c>
      <c r="B8265" t="str">
        <f t="shared" si="129"/>
        <v>⁉</v>
      </c>
    </row>
    <row r="8266" spans="1:2" x14ac:dyDescent="0.25">
      <c r="A8266">
        <v>8266</v>
      </c>
      <c r="B8266" t="str">
        <f t="shared" si="129"/>
        <v>⁊</v>
      </c>
    </row>
    <row r="8267" spans="1:2" x14ac:dyDescent="0.25">
      <c r="A8267">
        <v>8267</v>
      </c>
      <c r="B8267" t="str">
        <f t="shared" si="129"/>
        <v>⁋</v>
      </c>
    </row>
    <row r="8268" spans="1:2" x14ac:dyDescent="0.25">
      <c r="A8268">
        <v>8268</v>
      </c>
      <c r="B8268" t="str">
        <f t="shared" si="129"/>
        <v>⁌</v>
      </c>
    </row>
    <row r="8269" spans="1:2" x14ac:dyDescent="0.25">
      <c r="A8269">
        <v>8269</v>
      </c>
      <c r="B8269" t="str">
        <f t="shared" si="129"/>
        <v>⁍</v>
      </c>
    </row>
    <row r="8270" spans="1:2" x14ac:dyDescent="0.25">
      <c r="A8270">
        <v>8270</v>
      </c>
      <c r="B8270" t="str">
        <f t="shared" si="129"/>
        <v>⁎</v>
      </c>
    </row>
    <row r="8271" spans="1:2" x14ac:dyDescent="0.25">
      <c r="A8271">
        <v>8271</v>
      </c>
      <c r="B8271" t="str">
        <f t="shared" si="129"/>
        <v>⁏</v>
      </c>
    </row>
    <row r="8272" spans="1:2" x14ac:dyDescent="0.25">
      <c r="A8272">
        <v>8272</v>
      </c>
      <c r="B8272" t="str">
        <f t="shared" si="129"/>
        <v>⁐</v>
      </c>
    </row>
    <row r="8273" spans="1:2" x14ac:dyDescent="0.25">
      <c r="A8273">
        <v>8273</v>
      </c>
      <c r="B8273" t="str">
        <f t="shared" si="129"/>
        <v>⁑</v>
      </c>
    </row>
    <row r="8274" spans="1:2" x14ac:dyDescent="0.25">
      <c r="A8274">
        <v>8274</v>
      </c>
      <c r="B8274" t="str">
        <f t="shared" si="129"/>
        <v>⁒</v>
      </c>
    </row>
    <row r="8275" spans="1:2" x14ac:dyDescent="0.25">
      <c r="A8275">
        <v>8275</v>
      </c>
      <c r="B8275" t="str">
        <f t="shared" si="129"/>
        <v>⁓</v>
      </c>
    </row>
    <row r="8276" spans="1:2" x14ac:dyDescent="0.25">
      <c r="A8276">
        <v>8276</v>
      </c>
      <c r="B8276" t="str">
        <f t="shared" si="129"/>
        <v>⁔</v>
      </c>
    </row>
    <row r="8277" spans="1:2" x14ac:dyDescent="0.25">
      <c r="A8277">
        <v>8277</v>
      </c>
      <c r="B8277" t="str">
        <f t="shared" si="129"/>
        <v>⁕</v>
      </c>
    </row>
    <row r="8278" spans="1:2" x14ac:dyDescent="0.25">
      <c r="A8278">
        <v>8278</v>
      </c>
      <c r="B8278" t="str">
        <f t="shared" si="129"/>
        <v>⁖</v>
      </c>
    </row>
    <row r="8279" spans="1:2" x14ac:dyDescent="0.25">
      <c r="A8279">
        <v>8279</v>
      </c>
      <c r="B8279" t="str">
        <f t="shared" si="129"/>
        <v>⁗</v>
      </c>
    </row>
    <row r="8280" spans="1:2" x14ac:dyDescent="0.25">
      <c r="A8280">
        <v>8280</v>
      </c>
      <c r="B8280" t="str">
        <f t="shared" si="129"/>
        <v>⁘</v>
      </c>
    </row>
    <row r="8281" spans="1:2" x14ac:dyDescent="0.25">
      <c r="A8281">
        <v>8281</v>
      </c>
      <c r="B8281" t="str">
        <f t="shared" si="129"/>
        <v>⁙</v>
      </c>
    </row>
    <row r="8282" spans="1:2" x14ac:dyDescent="0.25">
      <c r="A8282">
        <v>8282</v>
      </c>
      <c r="B8282" t="str">
        <f t="shared" si="129"/>
        <v>⁚</v>
      </c>
    </row>
    <row r="8283" spans="1:2" x14ac:dyDescent="0.25">
      <c r="A8283">
        <v>8283</v>
      </c>
      <c r="B8283" t="str">
        <f t="shared" si="129"/>
        <v>⁛</v>
      </c>
    </row>
    <row r="8284" spans="1:2" x14ac:dyDescent="0.25">
      <c r="A8284">
        <v>8284</v>
      </c>
      <c r="B8284" t="str">
        <f t="shared" si="129"/>
        <v>⁜</v>
      </c>
    </row>
    <row r="8285" spans="1:2" x14ac:dyDescent="0.25">
      <c r="A8285">
        <v>8285</v>
      </c>
      <c r="B8285" t="str">
        <f t="shared" si="129"/>
        <v>⁝</v>
      </c>
    </row>
    <row r="8286" spans="1:2" x14ac:dyDescent="0.25">
      <c r="A8286">
        <v>8286</v>
      </c>
      <c r="B8286" t="str">
        <f t="shared" si="129"/>
        <v>⁞</v>
      </c>
    </row>
    <row r="8287" spans="1:2" x14ac:dyDescent="0.25">
      <c r="A8287">
        <v>8287</v>
      </c>
      <c r="B8287" t="str">
        <f t="shared" si="129"/>
        <v> </v>
      </c>
    </row>
    <row r="8288" spans="1:2" x14ac:dyDescent="0.25">
      <c r="A8288">
        <v>8288</v>
      </c>
      <c r="B8288" t="str">
        <f t="shared" si="129"/>
        <v>⁠</v>
      </c>
    </row>
    <row r="8289" spans="1:2" x14ac:dyDescent="0.25">
      <c r="A8289">
        <v>8289</v>
      </c>
      <c r="B8289" t="str">
        <f t="shared" si="129"/>
        <v>⁡</v>
      </c>
    </row>
    <row r="8290" spans="1:2" x14ac:dyDescent="0.25">
      <c r="A8290">
        <v>8290</v>
      </c>
      <c r="B8290" t="str">
        <f t="shared" si="129"/>
        <v>⁢</v>
      </c>
    </row>
    <row r="8291" spans="1:2" x14ac:dyDescent="0.25">
      <c r="A8291">
        <v>8291</v>
      </c>
      <c r="B8291" t="str">
        <f t="shared" si="129"/>
        <v>⁣</v>
      </c>
    </row>
    <row r="8292" spans="1:2" x14ac:dyDescent="0.25">
      <c r="A8292">
        <v>8292</v>
      </c>
      <c r="B8292" t="str">
        <f t="shared" si="129"/>
        <v>⁤</v>
      </c>
    </row>
    <row r="8293" spans="1:2" x14ac:dyDescent="0.25">
      <c r="A8293">
        <v>8293</v>
      </c>
      <c r="B8293" t="str">
        <f t="shared" si="129"/>
        <v>⁥</v>
      </c>
    </row>
    <row r="8294" spans="1:2" x14ac:dyDescent="0.25">
      <c r="A8294">
        <v>8294</v>
      </c>
      <c r="B8294" t="str">
        <f t="shared" si="129"/>
        <v>⁦</v>
      </c>
    </row>
    <row r="8295" spans="1:2" x14ac:dyDescent="0.25">
      <c r="A8295">
        <v>8295</v>
      </c>
      <c r="B8295" t="str">
        <f t="shared" si="129"/>
        <v>⁧</v>
      </c>
    </row>
    <row r="8296" spans="1:2" x14ac:dyDescent="0.25">
      <c r="A8296">
        <v>8296</v>
      </c>
      <c r="B8296" t="str">
        <f t="shared" si="129"/>
        <v>⁨</v>
      </c>
    </row>
    <row r="8297" spans="1:2" x14ac:dyDescent="0.25">
      <c r="A8297">
        <v>8297</v>
      </c>
      <c r="B8297" t="str">
        <f t="shared" si="129"/>
        <v>⁩</v>
      </c>
    </row>
    <row r="8298" spans="1:2" x14ac:dyDescent="0.25">
      <c r="A8298">
        <v>8298</v>
      </c>
      <c r="B8298" t="str">
        <f t="shared" si="129"/>
        <v>⁪</v>
      </c>
    </row>
    <row r="8299" spans="1:2" x14ac:dyDescent="0.25">
      <c r="A8299">
        <v>8299</v>
      </c>
      <c r="B8299" t="str">
        <f t="shared" si="129"/>
        <v>⁫</v>
      </c>
    </row>
    <row r="8300" spans="1:2" x14ac:dyDescent="0.25">
      <c r="A8300">
        <v>8300</v>
      </c>
      <c r="B8300" t="str">
        <f t="shared" si="129"/>
        <v>⁬</v>
      </c>
    </row>
    <row r="8301" spans="1:2" x14ac:dyDescent="0.25">
      <c r="A8301">
        <v>8301</v>
      </c>
      <c r="B8301" t="str">
        <f t="shared" si="129"/>
        <v>⁭</v>
      </c>
    </row>
    <row r="8302" spans="1:2" x14ac:dyDescent="0.25">
      <c r="A8302">
        <v>8302</v>
      </c>
      <c r="B8302" t="str">
        <f t="shared" si="129"/>
        <v>⁮</v>
      </c>
    </row>
    <row r="8303" spans="1:2" x14ac:dyDescent="0.25">
      <c r="A8303">
        <v>8303</v>
      </c>
      <c r="B8303" t="str">
        <f t="shared" si="129"/>
        <v>⁯</v>
      </c>
    </row>
    <row r="8304" spans="1:2" x14ac:dyDescent="0.25">
      <c r="A8304">
        <v>8304</v>
      </c>
      <c r="B8304" t="str">
        <f t="shared" si="129"/>
        <v>⁰</v>
      </c>
    </row>
    <row r="8305" spans="1:2" x14ac:dyDescent="0.25">
      <c r="A8305">
        <v>8305</v>
      </c>
      <c r="B8305" t="str">
        <f t="shared" si="129"/>
        <v>ⁱ</v>
      </c>
    </row>
    <row r="8306" spans="1:2" x14ac:dyDescent="0.25">
      <c r="A8306">
        <v>8306</v>
      </c>
      <c r="B8306" t="str">
        <f t="shared" si="129"/>
        <v>⁲</v>
      </c>
    </row>
    <row r="8307" spans="1:2" x14ac:dyDescent="0.25">
      <c r="A8307">
        <v>8307</v>
      </c>
      <c r="B8307" t="str">
        <f t="shared" si="129"/>
        <v>⁳</v>
      </c>
    </row>
    <row r="8308" spans="1:2" x14ac:dyDescent="0.25">
      <c r="A8308">
        <v>8308</v>
      </c>
      <c r="B8308" t="str">
        <f t="shared" si="129"/>
        <v>⁴</v>
      </c>
    </row>
    <row r="8309" spans="1:2" x14ac:dyDescent="0.25">
      <c r="A8309">
        <v>8309</v>
      </c>
      <c r="B8309" t="str">
        <f t="shared" si="129"/>
        <v>⁵</v>
      </c>
    </row>
    <row r="8310" spans="1:2" x14ac:dyDescent="0.25">
      <c r="A8310">
        <v>8310</v>
      </c>
      <c r="B8310" t="str">
        <f t="shared" si="129"/>
        <v>⁶</v>
      </c>
    </row>
    <row r="8311" spans="1:2" x14ac:dyDescent="0.25">
      <c r="A8311">
        <v>8311</v>
      </c>
      <c r="B8311" t="str">
        <f t="shared" si="129"/>
        <v>⁷</v>
      </c>
    </row>
    <row r="8312" spans="1:2" x14ac:dyDescent="0.25">
      <c r="A8312">
        <v>8312</v>
      </c>
      <c r="B8312" t="str">
        <f t="shared" si="129"/>
        <v>⁸</v>
      </c>
    </row>
    <row r="8313" spans="1:2" x14ac:dyDescent="0.25">
      <c r="A8313">
        <v>8313</v>
      </c>
      <c r="B8313" t="str">
        <f t="shared" si="129"/>
        <v>⁹</v>
      </c>
    </row>
    <row r="8314" spans="1:2" x14ac:dyDescent="0.25">
      <c r="A8314">
        <v>8314</v>
      </c>
      <c r="B8314" t="str">
        <f t="shared" si="129"/>
        <v>⁺</v>
      </c>
    </row>
    <row r="8315" spans="1:2" x14ac:dyDescent="0.25">
      <c r="A8315">
        <v>8315</v>
      </c>
      <c r="B8315" t="str">
        <f t="shared" si="129"/>
        <v>⁻</v>
      </c>
    </row>
    <row r="8316" spans="1:2" x14ac:dyDescent="0.25">
      <c r="A8316">
        <v>8316</v>
      </c>
      <c r="B8316" t="str">
        <f t="shared" si="129"/>
        <v>⁼</v>
      </c>
    </row>
    <row r="8317" spans="1:2" x14ac:dyDescent="0.25">
      <c r="A8317">
        <v>8317</v>
      </c>
      <c r="B8317" t="str">
        <f t="shared" si="129"/>
        <v>⁽</v>
      </c>
    </row>
    <row r="8318" spans="1:2" x14ac:dyDescent="0.25">
      <c r="A8318">
        <v>8318</v>
      </c>
      <c r="B8318" t="str">
        <f t="shared" si="129"/>
        <v>⁾</v>
      </c>
    </row>
    <row r="8319" spans="1:2" x14ac:dyDescent="0.25">
      <c r="A8319">
        <v>8319</v>
      </c>
      <c r="B8319" t="str">
        <f t="shared" si="129"/>
        <v>ⁿ</v>
      </c>
    </row>
    <row r="8320" spans="1:2" x14ac:dyDescent="0.25">
      <c r="A8320">
        <v>8320</v>
      </c>
      <c r="B8320" t="str">
        <f t="shared" si="129"/>
        <v>₀</v>
      </c>
    </row>
    <row r="8321" spans="1:2" x14ac:dyDescent="0.25">
      <c r="A8321">
        <v>8321</v>
      </c>
      <c r="B8321" t="str">
        <f t="shared" si="129"/>
        <v>₁</v>
      </c>
    </row>
    <row r="8322" spans="1:2" x14ac:dyDescent="0.25">
      <c r="A8322">
        <v>8322</v>
      </c>
      <c r="B8322" t="str">
        <f t="shared" ref="B8322:B8385" si="130">_xlfn.UNICHAR(A8322)</f>
        <v>₂</v>
      </c>
    </row>
    <row r="8323" spans="1:2" x14ac:dyDescent="0.25">
      <c r="A8323">
        <v>8323</v>
      </c>
      <c r="B8323" t="str">
        <f t="shared" si="130"/>
        <v>₃</v>
      </c>
    </row>
    <row r="8324" spans="1:2" x14ac:dyDescent="0.25">
      <c r="A8324">
        <v>8324</v>
      </c>
      <c r="B8324" t="str">
        <f t="shared" si="130"/>
        <v>₄</v>
      </c>
    </row>
    <row r="8325" spans="1:2" x14ac:dyDescent="0.25">
      <c r="A8325">
        <v>8325</v>
      </c>
      <c r="B8325" t="str">
        <f t="shared" si="130"/>
        <v>₅</v>
      </c>
    </row>
    <row r="8326" spans="1:2" x14ac:dyDescent="0.25">
      <c r="A8326">
        <v>8326</v>
      </c>
      <c r="B8326" t="str">
        <f t="shared" si="130"/>
        <v>₆</v>
      </c>
    </row>
    <row r="8327" spans="1:2" x14ac:dyDescent="0.25">
      <c r="A8327">
        <v>8327</v>
      </c>
      <c r="B8327" t="str">
        <f t="shared" si="130"/>
        <v>₇</v>
      </c>
    </row>
    <row r="8328" spans="1:2" x14ac:dyDescent="0.25">
      <c r="A8328">
        <v>8328</v>
      </c>
      <c r="B8328" t="str">
        <f t="shared" si="130"/>
        <v>₈</v>
      </c>
    </row>
    <row r="8329" spans="1:2" x14ac:dyDescent="0.25">
      <c r="A8329">
        <v>8329</v>
      </c>
      <c r="B8329" t="str">
        <f t="shared" si="130"/>
        <v>₉</v>
      </c>
    </row>
    <row r="8330" spans="1:2" x14ac:dyDescent="0.25">
      <c r="A8330">
        <v>8330</v>
      </c>
      <c r="B8330" t="str">
        <f t="shared" si="130"/>
        <v>₊</v>
      </c>
    </row>
    <row r="8331" spans="1:2" x14ac:dyDescent="0.25">
      <c r="A8331">
        <v>8331</v>
      </c>
      <c r="B8331" t="str">
        <f t="shared" si="130"/>
        <v>₋</v>
      </c>
    </row>
    <row r="8332" spans="1:2" x14ac:dyDescent="0.25">
      <c r="A8332">
        <v>8332</v>
      </c>
      <c r="B8332" t="str">
        <f t="shared" si="130"/>
        <v>₌</v>
      </c>
    </row>
    <row r="8333" spans="1:2" x14ac:dyDescent="0.25">
      <c r="A8333">
        <v>8333</v>
      </c>
      <c r="B8333" t="str">
        <f t="shared" si="130"/>
        <v>₍</v>
      </c>
    </row>
    <row r="8334" spans="1:2" x14ac:dyDescent="0.25">
      <c r="A8334">
        <v>8334</v>
      </c>
      <c r="B8334" t="str">
        <f t="shared" si="130"/>
        <v>₎</v>
      </c>
    </row>
    <row r="8335" spans="1:2" x14ac:dyDescent="0.25">
      <c r="A8335">
        <v>8335</v>
      </c>
      <c r="B8335" t="str">
        <f t="shared" si="130"/>
        <v>₏</v>
      </c>
    </row>
    <row r="8336" spans="1:2" x14ac:dyDescent="0.25">
      <c r="A8336">
        <v>8336</v>
      </c>
      <c r="B8336" t="str">
        <f t="shared" si="130"/>
        <v>ₐ</v>
      </c>
    </row>
    <row r="8337" spans="1:2" x14ac:dyDescent="0.25">
      <c r="A8337">
        <v>8337</v>
      </c>
      <c r="B8337" t="str">
        <f t="shared" si="130"/>
        <v>ₑ</v>
      </c>
    </row>
    <row r="8338" spans="1:2" x14ac:dyDescent="0.25">
      <c r="A8338">
        <v>8338</v>
      </c>
      <c r="B8338" t="str">
        <f t="shared" si="130"/>
        <v>ₒ</v>
      </c>
    </row>
    <row r="8339" spans="1:2" x14ac:dyDescent="0.25">
      <c r="A8339">
        <v>8339</v>
      </c>
      <c r="B8339" t="str">
        <f t="shared" si="130"/>
        <v>ₓ</v>
      </c>
    </row>
    <row r="8340" spans="1:2" x14ac:dyDescent="0.25">
      <c r="A8340">
        <v>8340</v>
      </c>
      <c r="B8340" t="str">
        <f t="shared" si="130"/>
        <v>ₔ</v>
      </c>
    </row>
    <row r="8341" spans="1:2" x14ac:dyDescent="0.25">
      <c r="A8341">
        <v>8341</v>
      </c>
      <c r="B8341" t="str">
        <f t="shared" si="130"/>
        <v>ₕ</v>
      </c>
    </row>
    <row r="8342" spans="1:2" x14ac:dyDescent="0.25">
      <c r="A8342">
        <v>8342</v>
      </c>
      <c r="B8342" t="str">
        <f t="shared" si="130"/>
        <v>ₖ</v>
      </c>
    </row>
    <row r="8343" spans="1:2" x14ac:dyDescent="0.25">
      <c r="A8343">
        <v>8343</v>
      </c>
      <c r="B8343" t="str">
        <f t="shared" si="130"/>
        <v>ₗ</v>
      </c>
    </row>
    <row r="8344" spans="1:2" x14ac:dyDescent="0.25">
      <c r="A8344">
        <v>8344</v>
      </c>
      <c r="B8344" t="str">
        <f t="shared" si="130"/>
        <v>ₘ</v>
      </c>
    </row>
    <row r="8345" spans="1:2" x14ac:dyDescent="0.25">
      <c r="A8345">
        <v>8345</v>
      </c>
      <c r="B8345" t="str">
        <f t="shared" si="130"/>
        <v>ₙ</v>
      </c>
    </row>
    <row r="8346" spans="1:2" x14ac:dyDescent="0.25">
      <c r="A8346">
        <v>8346</v>
      </c>
      <c r="B8346" t="str">
        <f t="shared" si="130"/>
        <v>ₚ</v>
      </c>
    </row>
    <row r="8347" spans="1:2" x14ac:dyDescent="0.25">
      <c r="A8347">
        <v>8347</v>
      </c>
      <c r="B8347" t="str">
        <f t="shared" si="130"/>
        <v>ₛ</v>
      </c>
    </row>
    <row r="8348" spans="1:2" x14ac:dyDescent="0.25">
      <c r="A8348">
        <v>8348</v>
      </c>
      <c r="B8348" t="str">
        <f t="shared" si="130"/>
        <v>ₜ</v>
      </c>
    </row>
    <row r="8349" spans="1:2" x14ac:dyDescent="0.25">
      <c r="A8349">
        <v>8349</v>
      </c>
      <c r="B8349" t="str">
        <f t="shared" si="130"/>
        <v>₝</v>
      </c>
    </row>
    <row r="8350" spans="1:2" x14ac:dyDescent="0.25">
      <c r="A8350">
        <v>8350</v>
      </c>
      <c r="B8350" t="str">
        <f t="shared" si="130"/>
        <v>₞</v>
      </c>
    </row>
    <row r="8351" spans="1:2" x14ac:dyDescent="0.25">
      <c r="A8351">
        <v>8351</v>
      </c>
      <c r="B8351" t="str">
        <f t="shared" si="130"/>
        <v>₟</v>
      </c>
    </row>
    <row r="8352" spans="1:2" x14ac:dyDescent="0.25">
      <c r="A8352">
        <v>8352</v>
      </c>
      <c r="B8352" t="str">
        <f t="shared" si="130"/>
        <v>₠</v>
      </c>
    </row>
    <row r="8353" spans="1:2" x14ac:dyDescent="0.25">
      <c r="A8353">
        <v>8353</v>
      </c>
      <c r="B8353" t="str">
        <f t="shared" si="130"/>
        <v>₡</v>
      </c>
    </row>
    <row r="8354" spans="1:2" x14ac:dyDescent="0.25">
      <c r="A8354">
        <v>8354</v>
      </c>
      <c r="B8354" t="str">
        <f t="shared" si="130"/>
        <v>₢</v>
      </c>
    </row>
    <row r="8355" spans="1:2" x14ac:dyDescent="0.25">
      <c r="A8355">
        <v>8355</v>
      </c>
      <c r="B8355" t="str">
        <f t="shared" si="130"/>
        <v>₣</v>
      </c>
    </row>
    <row r="8356" spans="1:2" x14ac:dyDescent="0.25">
      <c r="A8356">
        <v>8356</v>
      </c>
      <c r="B8356" t="str">
        <f t="shared" si="130"/>
        <v>₤</v>
      </c>
    </row>
    <row r="8357" spans="1:2" x14ac:dyDescent="0.25">
      <c r="A8357">
        <v>8357</v>
      </c>
      <c r="B8357" t="str">
        <f t="shared" si="130"/>
        <v>₥</v>
      </c>
    </row>
    <row r="8358" spans="1:2" x14ac:dyDescent="0.25">
      <c r="A8358">
        <v>8358</v>
      </c>
      <c r="B8358" t="str">
        <f t="shared" si="130"/>
        <v>₦</v>
      </c>
    </row>
    <row r="8359" spans="1:2" x14ac:dyDescent="0.25">
      <c r="A8359">
        <v>8359</v>
      </c>
      <c r="B8359" t="str">
        <f t="shared" si="130"/>
        <v>₧</v>
      </c>
    </row>
    <row r="8360" spans="1:2" x14ac:dyDescent="0.25">
      <c r="A8360">
        <v>8360</v>
      </c>
      <c r="B8360" t="str">
        <f t="shared" si="130"/>
        <v>₨</v>
      </c>
    </row>
    <row r="8361" spans="1:2" x14ac:dyDescent="0.25">
      <c r="A8361">
        <v>8361</v>
      </c>
      <c r="B8361" t="str">
        <f t="shared" si="130"/>
        <v>₩</v>
      </c>
    </row>
    <row r="8362" spans="1:2" x14ac:dyDescent="0.25">
      <c r="A8362">
        <v>8362</v>
      </c>
      <c r="B8362" t="str">
        <f t="shared" si="130"/>
        <v>₪</v>
      </c>
    </row>
    <row r="8363" spans="1:2" x14ac:dyDescent="0.25">
      <c r="A8363">
        <v>8363</v>
      </c>
      <c r="B8363" t="str">
        <f t="shared" si="130"/>
        <v>₫</v>
      </c>
    </row>
    <row r="8364" spans="1:2" x14ac:dyDescent="0.25">
      <c r="A8364">
        <v>8364</v>
      </c>
      <c r="B8364" t="str">
        <f t="shared" si="130"/>
        <v>€</v>
      </c>
    </row>
    <row r="8365" spans="1:2" x14ac:dyDescent="0.25">
      <c r="A8365">
        <v>8365</v>
      </c>
      <c r="B8365" t="str">
        <f t="shared" si="130"/>
        <v>₭</v>
      </c>
    </row>
    <row r="8366" spans="1:2" x14ac:dyDescent="0.25">
      <c r="A8366">
        <v>8366</v>
      </c>
      <c r="B8366" t="str">
        <f t="shared" si="130"/>
        <v>₮</v>
      </c>
    </row>
    <row r="8367" spans="1:2" x14ac:dyDescent="0.25">
      <c r="A8367">
        <v>8367</v>
      </c>
      <c r="B8367" t="str">
        <f t="shared" si="130"/>
        <v>₯</v>
      </c>
    </row>
    <row r="8368" spans="1:2" x14ac:dyDescent="0.25">
      <c r="A8368">
        <v>8368</v>
      </c>
      <c r="B8368" t="str">
        <f t="shared" si="130"/>
        <v>₰</v>
      </c>
    </row>
    <row r="8369" spans="1:2" x14ac:dyDescent="0.25">
      <c r="A8369">
        <v>8369</v>
      </c>
      <c r="B8369" t="str">
        <f t="shared" si="130"/>
        <v>₱</v>
      </c>
    </row>
    <row r="8370" spans="1:2" x14ac:dyDescent="0.25">
      <c r="A8370">
        <v>8370</v>
      </c>
      <c r="B8370" t="str">
        <f t="shared" si="130"/>
        <v>₲</v>
      </c>
    </row>
    <row r="8371" spans="1:2" x14ac:dyDescent="0.25">
      <c r="A8371">
        <v>8371</v>
      </c>
      <c r="B8371" t="str">
        <f t="shared" si="130"/>
        <v>₳</v>
      </c>
    </row>
    <row r="8372" spans="1:2" x14ac:dyDescent="0.25">
      <c r="A8372">
        <v>8372</v>
      </c>
      <c r="B8372" t="str">
        <f t="shared" si="130"/>
        <v>₴</v>
      </c>
    </row>
    <row r="8373" spans="1:2" x14ac:dyDescent="0.25">
      <c r="A8373">
        <v>8373</v>
      </c>
      <c r="B8373" t="str">
        <f t="shared" si="130"/>
        <v>₵</v>
      </c>
    </row>
    <row r="8374" spans="1:2" x14ac:dyDescent="0.25">
      <c r="A8374">
        <v>8374</v>
      </c>
      <c r="B8374" t="str">
        <f t="shared" si="130"/>
        <v>₶</v>
      </c>
    </row>
    <row r="8375" spans="1:2" x14ac:dyDescent="0.25">
      <c r="A8375">
        <v>8375</v>
      </c>
      <c r="B8375" t="str">
        <f t="shared" si="130"/>
        <v>₷</v>
      </c>
    </row>
    <row r="8376" spans="1:2" x14ac:dyDescent="0.25">
      <c r="A8376">
        <v>8376</v>
      </c>
      <c r="B8376" t="str">
        <f t="shared" si="130"/>
        <v>₸</v>
      </c>
    </row>
    <row r="8377" spans="1:2" x14ac:dyDescent="0.25">
      <c r="A8377">
        <v>8377</v>
      </c>
      <c r="B8377" t="str">
        <f t="shared" si="130"/>
        <v>₹</v>
      </c>
    </row>
    <row r="8378" spans="1:2" x14ac:dyDescent="0.25">
      <c r="A8378">
        <v>8378</v>
      </c>
      <c r="B8378" t="str">
        <f t="shared" si="130"/>
        <v>₺</v>
      </c>
    </row>
    <row r="8379" spans="1:2" x14ac:dyDescent="0.25">
      <c r="A8379">
        <v>8379</v>
      </c>
      <c r="B8379" t="str">
        <f t="shared" si="130"/>
        <v>₻</v>
      </c>
    </row>
    <row r="8380" spans="1:2" x14ac:dyDescent="0.25">
      <c r="A8380">
        <v>8380</v>
      </c>
      <c r="B8380" t="str">
        <f t="shared" si="130"/>
        <v>₼</v>
      </c>
    </row>
    <row r="8381" spans="1:2" x14ac:dyDescent="0.25">
      <c r="A8381">
        <v>8381</v>
      </c>
      <c r="B8381" t="str">
        <f t="shared" si="130"/>
        <v>₽</v>
      </c>
    </row>
    <row r="8382" spans="1:2" x14ac:dyDescent="0.25">
      <c r="A8382">
        <v>8382</v>
      </c>
      <c r="B8382" t="str">
        <f t="shared" si="130"/>
        <v>₾</v>
      </c>
    </row>
    <row r="8383" spans="1:2" x14ac:dyDescent="0.25">
      <c r="A8383">
        <v>8383</v>
      </c>
      <c r="B8383" t="str">
        <f t="shared" si="130"/>
        <v>₿</v>
      </c>
    </row>
    <row r="8384" spans="1:2" x14ac:dyDescent="0.25">
      <c r="A8384">
        <v>8384</v>
      </c>
      <c r="B8384" t="str">
        <f t="shared" si="130"/>
        <v>⃀</v>
      </c>
    </row>
    <row r="8385" spans="1:2" x14ac:dyDescent="0.25">
      <c r="A8385">
        <v>8385</v>
      </c>
      <c r="B8385" t="str">
        <f t="shared" si="130"/>
        <v>⃁</v>
      </c>
    </row>
    <row r="8386" spans="1:2" x14ac:dyDescent="0.25">
      <c r="A8386">
        <v>8386</v>
      </c>
      <c r="B8386" t="str">
        <f t="shared" ref="B8386:B8449" si="131">_xlfn.UNICHAR(A8386)</f>
        <v>⃂</v>
      </c>
    </row>
    <row r="8387" spans="1:2" x14ac:dyDescent="0.25">
      <c r="A8387">
        <v>8387</v>
      </c>
      <c r="B8387" t="str">
        <f t="shared" si="131"/>
        <v>⃃</v>
      </c>
    </row>
    <row r="8388" spans="1:2" x14ac:dyDescent="0.25">
      <c r="A8388">
        <v>8388</v>
      </c>
      <c r="B8388" t="str">
        <f t="shared" si="131"/>
        <v>⃄</v>
      </c>
    </row>
    <row r="8389" spans="1:2" x14ac:dyDescent="0.25">
      <c r="A8389">
        <v>8389</v>
      </c>
      <c r="B8389" t="str">
        <f t="shared" si="131"/>
        <v>⃅</v>
      </c>
    </row>
    <row r="8390" spans="1:2" x14ac:dyDescent="0.25">
      <c r="A8390">
        <v>8390</v>
      </c>
      <c r="B8390" t="str">
        <f t="shared" si="131"/>
        <v>⃆</v>
      </c>
    </row>
    <row r="8391" spans="1:2" x14ac:dyDescent="0.25">
      <c r="A8391">
        <v>8391</v>
      </c>
      <c r="B8391" t="str">
        <f t="shared" si="131"/>
        <v>⃇</v>
      </c>
    </row>
    <row r="8392" spans="1:2" x14ac:dyDescent="0.25">
      <c r="A8392">
        <v>8392</v>
      </c>
      <c r="B8392" t="str">
        <f t="shared" si="131"/>
        <v>⃈</v>
      </c>
    </row>
    <row r="8393" spans="1:2" x14ac:dyDescent="0.25">
      <c r="A8393">
        <v>8393</v>
      </c>
      <c r="B8393" t="str">
        <f t="shared" si="131"/>
        <v>⃉</v>
      </c>
    </row>
    <row r="8394" spans="1:2" x14ac:dyDescent="0.25">
      <c r="A8394">
        <v>8394</v>
      </c>
      <c r="B8394" t="str">
        <f t="shared" si="131"/>
        <v>⃊</v>
      </c>
    </row>
    <row r="8395" spans="1:2" x14ac:dyDescent="0.25">
      <c r="A8395">
        <v>8395</v>
      </c>
      <c r="B8395" t="str">
        <f t="shared" si="131"/>
        <v>⃋</v>
      </c>
    </row>
    <row r="8396" spans="1:2" x14ac:dyDescent="0.25">
      <c r="A8396">
        <v>8396</v>
      </c>
      <c r="B8396" t="str">
        <f t="shared" si="131"/>
        <v>⃌</v>
      </c>
    </row>
    <row r="8397" spans="1:2" x14ac:dyDescent="0.25">
      <c r="A8397">
        <v>8397</v>
      </c>
      <c r="B8397" t="str">
        <f t="shared" si="131"/>
        <v>⃍</v>
      </c>
    </row>
    <row r="8398" spans="1:2" x14ac:dyDescent="0.25">
      <c r="A8398">
        <v>8398</v>
      </c>
      <c r="B8398" t="str">
        <f t="shared" si="131"/>
        <v>⃎</v>
      </c>
    </row>
    <row r="8399" spans="1:2" x14ac:dyDescent="0.25">
      <c r="A8399">
        <v>8399</v>
      </c>
      <c r="B8399" t="str">
        <f t="shared" si="131"/>
        <v>⃏</v>
      </c>
    </row>
    <row r="8400" spans="1:2" x14ac:dyDescent="0.25">
      <c r="A8400">
        <v>8400</v>
      </c>
      <c r="B8400" t="str">
        <f t="shared" si="131"/>
        <v>⃐</v>
      </c>
    </row>
    <row r="8401" spans="1:2" x14ac:dyDescent="0.25">
      <c r="A8401">
        <v>8401</v>
      </c>
      <c r="B8401" t="str">
        <f t="shared" si="131"/>
        <v>⃑</v>
      </c>
    </row>
    <row r="8402" spans="1:2" x14ac:dyDescent="0.25">
      <c r="A8402">
        <v>8402</v>
      </c>
      <c r="B8402" t="str">
        <f t="shared" si="131"/>
        <v>⃒</v>
      </c>
    </row>
    <row r="8403" spans="1:2" x14ac:dyDescent="0.25">
      <c r="A8403">
        <v>8403</v>
      </c>
      <c r="B8403" t="str">
        <f t="shared" si="131"/>
        <v>⃓</v>
      </c>
    </row>
    <row r="8404" spans="1:2" x14ac:dyDescent="0.25">
      <c r="A8404">
        <v>8404</v>
      </c>
      <c r="B8404" t="str">
        <f t="shared" si="131"/>
        <v>⃔</v>
      </c>
    </row>
    <row r="8405" spans="1:2" x14ac:dyDescent="0.25">
      <c r="A8405">
        <v>8405</v>
      </c>
      <c r="B8405" t="str">
        <f t="shared" si="131"/>
        <v>⃕</v>
      </c>
    </row>
    <row r="8406" spans="1:2" x14ac:dyDescent="0.25">
      <c r="A8406">
        <v>8406</v>
      </c>
      <c r="B8406" t="str">
        <f t="shared" si="131"/>
        <v>⃖</v>
      </c>
    </row>
    <row r="8407" spans="1:2" x14ac:dyDescent="0.25">
      <c r="A8407">
        <v>8407</v>
      </c>
      <c r="B8407" t="str">
        <f t="shared" si="131"/>
        <v>⃗</v>
      </c>
    </row>
    <row r="8408" spans="1:2" x14ac:dyDescent="0.25">
      <c r="A8408">
        <v>8408</v>
      </c>
      <c r="B8408" t="str">
        <f t="shared" si="131"/>
        <v>⃘</v>
      </c>
    </row>
    <row r="8409" spans="1:2" x14ac:dyDescent="0.25">
      <c r="A8409">
        <v>8409</v>
      </c>
      <c r="B8409" t="str">
        <f t="shared" si="131"/>
        <v>⃙</v>
      </c>
    </row>
    <row r="8410" spans="1:2" x14ac:dyDescent="0.25">
      <c r="A8410">
        <v>8410</v>
      </c>
      <c r="B8410" t="str">
        <f t="shared" si="131"/>
        <v>⃚</v>
      </c>
    </row>
    <row r="8411" spans="1:2" x14ac:dyDescent="0.25">
      <c r="A8411">
        <v>8411</v>
      </c>
      <c r="B8411" t="str">
        <f t="shared" si="131"/>
        <v>⃛</v>
      </c>
    </row>
    <row r="8412" spans="1:2" x14ac:dyDescent="0.25">
      <c r="A8412">
        <v>8412</v>
      </c>
      <c r="B8412" t="str">
        <f t="shared" si="131"/>
        <v>⃜</v>
      </c>
    </row>
    <row r="8413" spans="1:2" x14ac:dyDescent="0.25">
      <c r="A8413">
        <v>8413</v>
      </c>
      <c r="B8413" t="str">
        <f t="shared" si="131"/>
        <v>⃝</v>
      </c>
    </row>
    <row r="8414" spans="1:2" x14ac:dyDescent="0.25">
      <c r="A8414">
        <v>8414</v>
      </c>
      <c r="B8414" t="str">
        <f t="shared" si="131"/>
        <v>⃞</v>
      </c>
    </row>
    <row r="8415" spans="1:2" x14ac:dyDescent="0.25">
      <c r="A8415">
        <v>8415</v>
      </c>
      <c r="B8415" t="str">
        <f t="shared" si="131"/>
        <v>⃟</v>
      </c>
    </row>
    <row r="8416" spans="1:2" x14ac:dyDescent="0.25">
      <c r="A8416">
        <v>8416</v>
      </c>
      <c r="B8416" t="str">
        <f t="shared" si="131"/>
        <v>⃠</v>
      </c>
    </row>
    <row r="8417" spans="1:2" x14ac:dyDescent="0.25">
      <c r="A8417">
        <v>8417</v>
      </c>
      <c r="B8417" t="str">
        <f t="shared" si="131"/>
        <v>⃡</v>
      </c>
    </row>
    <row r="8418" spans="1:2" x14ac:dyDescent="0.25">
      <c r="A8418">
        <v>8418</v>
      </c>
      <c r="B8418" t="str">
        <f t="shared" si="131"/>
        <v>⃢</v>
      </c>
    </row>
    <row r="8419" spans="1:2" x14ac:dyDescent="0.25">
      <c r="A8419">
        <v>8419</v>
      </c>
      <c r="B8419" t="str">
        <f t="shared" si="131"/>
        <v>⃣</v>
      </c>
    </row>
    <row r="8420" spans="1:2" x14ac:dyDescent="0.25">
      <c r="A8420">
        <v>8420</v>
      </c>
      <c r="B8420" t="str">
        <f t="shared" si="131"/>
        <v>⃤</v>
      </c>
    </row>
    <row r="8421" spans="1:2" x14ac:dyDescent="0.25">
      <c r="A8421">
        <v>8421</v>
      </c>
      <c r="B8421" t="str">
        <f t="shared" si="131"/>
        <v>⃥</v>
      </c>
    </row>
    <row r="8422" spans="1:2" x14ac:dyDescent="0.25">
      <c r="A8422">
        <v>8422</v>
      </c>
      <c r="B8422" t="str">
        <f t="shared" si="131"/>
        <v>⃦</v>
      </c>
    </row>
    <row r="8423" spans="1:2" x14ac:dyDescent="0.25">
      <c r="A8423">
        <v>8423</v>
      </c>
      <c r="B8423" t="str">
        <f t="shared" si="131"/>
        <v>⃧</v>
      </c>
    </row>
    <row r="8424" spans="1:2" x14ac:dyDescent="0.25">
      <c r="A8424">
        <v>8424</v>
      </c>
      <c r="B8424" t="str">
        <f t="shared" si="131"/>
        <v>⃨</v>
      </c>
    </row>
    <row r="8425" spans="1:2" x14ac:dyDescent="0.25">
      <c r="A8425">
        <v>8425</v>
      </c>
      <c r="B8425" t="str">
        <f t="shared" si="131"/>
        <v>⃩</v>
      </c>
    </row>
    <row r="8426" spans="1:2" x14ac:dyDescent="0.25">
      <c r="A8426">
        <v>8426</v>
      </c>
      <c r="B8426" t="str">
        <f t="shared" si="131"/>
        <v>⃪</v>
      </c>
    </row>
    <row r="8427" spans="1:2" x14ac:dyDescent="0.25">
      <c r="A8427">
        <v>8427</v>
      </c>
      <c r="B8427" t="str">
        <f t="shared" si="131"/>
        <v>⃫</v>
      </c>
    </row>
    <row r="8428" spans="1:2" x14ac:dyDescent="0.25">
      <c r="A8428">
        <v>8428</v>
      </c>
      <c r="B8428" t="str">
        <f t="shared" si="131"/>
        <v>⃬</v>
      </c>
    </row>
    <row r="8429" spans="1:2" x14ac:dyDescent="0.25">
      <c r="A8429">
        <v>8429</v>
      </c>
      <c r="B8429" t="str">
        <f t="shared" si="131"/>
        <v>⃭</v>
      </c>
    </row>
    <row r="8430" spans="1:2" x14ac:dyDescent="0.25">
      <c r="A8430">
        <v>8430</v>
      </c>
      <c r="B8430" t="str">
        <f t="shared" si="131"/>
        <v>⃮</v>
      </c>
    </row>
    <row r="8431" spans="1:2" x14ac:dyDescent="0.25">
      <c r="A8431">
        <v>8431</v>
      </c>
      <c r="B8431" t="str">
        <f t="shared" si="131"/>
        <v>⃯</v>
      </c>
    </row>
    <row r="8432" spans="1:2" x14ac:dyDescent="0.25">
      <c r="A8432">
        <v>8432</v>
      </c>
      <c r="B8432" t="str">
        <f t="shared" si="131"/>
        <v>⃰</v>
      </c>
    </row>
    <row r="8433" spans="1:2" x14ac:dyDescent="0.25">
      <c r="A8433">
        <v>8433</v>
      </c>
      <c r="B8433" t="str">
        <f t="shared" si="131"/>
        <v>⃱</v>
      </c>
    </row>
    <row r="8434" spans="1:2" x14ac:dyDescent="0.25">
      <c r="A8434">
        <v>8434</v>
      </c>
      <c r="B8434" t="str">
        <f t="shared" si="131"/>
        <v>⃲</v>
      </c>
    </row>
    <row r="8435" spans="1:2" x14ac:dyDescent="0.25">
      <c r="A8435">
        <v>8435</v>
      </c>
      <c r="B8435" t="str">
        <f t="shared" si="131"/>
        <v>⃳</v>
      </c>
    </row>
    <row r="8436" spans="1:2" x14ac:dyDescent="0.25">
      <c r="A8436">
        <v>8436</v>
      </c>
      <c r="B8436" t="str">
        <f t="shared" si="131"/>
        <v>⃴</v>
      </c>
    </row>
    <row r="8437" spans="1:2" x14ac:dyDescent="0.25">
      <c r="A8437">
        <v>8437</v>
      </c>
      <c r="B8437" t="str">
        <f t="shared" si="131"/>
        <v>⃵</v>
      </c>
    </row>
    <row r="8438" spans="1:2" x14ac:dyDescent="0.25">
      <c r="A8438">
        <v>8438</v>
      </c>
      <c r="B8438" t="str">
        <f t="shared" si="131"/>
        <v>⃶</v>
      </c>
    </row>
    <row r="8439" spans="1:2" x14ac:dyDescent="0.25">
      <c r="A8439">
        <v>8439</v>
      </c>
      <c r="B8439" t="str">
        <f t="shared" si="131"/>
        <v>⃷</v>
      </c>
    </row>
    <row r="8440" spans="1:2" x14ac:dyDescent="0.25">
      <c r="A8440">
        <v>8440</v>
      </c>
      <c r="B8440" t="str">
        <f t="shared" si="131"/>
        <v>⃸</v>
      </c>
    </row>
    <row r="8441" spans="1:2" x14ac:dyDescent="0.25">
      <c r="A8441">
        <v>8441</v>
      </c>
      <c r="B8441" t="str">
        <f t="shared" si="131"/>
        <v>⃹</v>
      </c>
    </row>
    <row r="8442" spans="1:2" x14ac:dyDescent="0.25">
      <c r="A8442">
        <v>8442</v>
      </c>
      <c r="B8442" t="str">
        <f t="shared" si="131"/>
        <v>⃺</v>
      </c>
    </row>
    <row r="8443" spans="1:2" x14ac:dyDescent="0.25">
      <c r="A8443">
        <v>8443</v>
      </c>
      <c r="B8443" t="str">
        <f t="shared" si="131"/>
        <v>⃻</v>
      </c>
    </row>
    <row r="8444" spans="1:2" x14ac:dyDescent="0.25">
      <c r="A8444">
        <v>8444</v>
      </c>
      <c r="B8444" t="str">
        <f t="shared" si="131"/>
        <v>⃼</v>
      </c>
    </row>
    <row r="8445" spans="1:2" x14ac:dyDescent="0.25">
      <c r="A8445">
        <v>8445</v>
      </c>
      <c r="B8445" t="str">
        <f t="shared" si="131"/>
        <v>⃽</v>
      </c>
    </row>
    <row r="8446" spans="1:2" x14ac:dyDescent="0.25">
      <c r="A8446">
        <v>8446</v>
      </c>
      <c r="B8446" t="str">
        <f t="shared" si="131"/>
        <v>⃾</v>
      </c>
    </row>
    <row r="8447" spans="1:2" x14ac:dyDescent="0.25">
      <c r="A8447">
        <v>8447</v>
      </c>
      <c r="B8447" t="str">
        <f t="shared" si="131"/>
        <v>⃿</v>
      </c>
    </row>
    <row r="8448" spans="1:2" x14ac:dyDescent="0.25">
      <c r="A8448">
        <v>8448</v>
      </c>
      <c r="B8448" t="str">
        <f t="shared" si="131"/>
        <v>℀</v>
      </c>
    </row>
    <row r="8449" spans="1:2" x14ac:dyDescent="0.25">
      <c r="A8449">
        <v>8449</v>
      </c>
      <c r="B8449" t="str">
        <f t="shared" si="131"/>
        <v>℁</v>
      </c>
    </row>
    <row r="8450" spans="1:2" x14ac:dyDescent="0.25">
      <c r="A8450">
        <v>8450</v>
      </c>
      <c r="B8450" t="str">
        <f t="shared" ref="B8450:B8513" si="132">_xlfn.UNICHAR(A8450)</f>
        <v>ℂ</v>
      </c>
    </row>
    <row r="8451" spans="1:2" x14ac:dyDescent="0.25">
      <c r="A8451">
        <v>8451</v>
      </c>
      <c r="B8451" t="str">
        <f t="shared" si="132"/>
        <v>℃</v>
      </c>
    </row>
    <row r="8452" spans="1:2" x14ac:dyDescent="0.25">
      <c r="A8452">
        <v>8452</v>
      </c>
      <c r="B8452" t="str">
        <f t="shared" si="132"/>
        <v>℄</v>
      </c>
    </row>
    <row r="8453" spans="1:2" x14ac:dyDescent="0.25">
      <c r="A8453">
        <v>8453</v>
      </c>
      <c r="B8453" t="str">
        <f t="shared" si="132"/>
        <v>℅</v>
      </c>
    </row>
    <row r="8454" spans="1:2" x14ac:dyDescent="0.25">
      <c r="A8454">
        <v>8454</v>
      </c>
      <c r="B8454" t="str">
        <f t="shared" si="132"/>
        <v>℆</v>
      </c>
    </row>
    <row r="8455" spans="1:2" x14ac:dyDescent="0.25">
      <c r="A8455">
        <v>8455</v>
      </c>
      <c r="B8455" t="str">
        <f t="shared" si="132"/>
        <v>ℇ</v>
      </c>
    </row>
    <row r="8456" spans="1:2" x14ac:dyDescent="0.25">
      <c r="A8456">
        <v>8456</v>
      </c>
      <c r="B8456" t="str">
        <f t="shared" si="132"/>
        <v>℈</v>
      </c>
    </row>
    <row r="8457" spans="1:2" x14ac:dyDescent="0.25">
      <c r="A8457">
        <v>8457</v>
      </c>
      <c r="B8457" t="str">
        <f t="shared" si="132"/>
        <v>℉</v>
      </c>
    </row>
    <row r="8458" spans="1:2" x14ac:dyDescent="0.25">
      <c r="A8458">
        <v>8458</v>
      </c>
      <c r="B8458" t="str">
        <f t="shared" si="132"/>
        <v>ℊ</v>
      </c>
    </row>
    <row r="8459" spans="1:2" x14ac:dyDescent="0.25">
      <c r="A8459">
        <v>8459</v>
      </c>
      <c r="B8459" t="str">
        <f t="shared" si="132"/>
        <v>ℋ</v>
      </c>
    </row>
    <row r="8460" spans="1:2" x14ac:dyDescent="0.25">
      <c r="A8460">
        <v>8460</v>
      </c>
      <c r="B8460" t="str">
        <f t="shared" si="132"/>
        <v>ℌ</v>
      </c>
    </row>
    <row r="8461" spans="1:2" x14ac:dyDescent="0.25">
      <c r="A8461">
        <v>8461</v>
      </c>
      <c r="B8461" t="str">
        <f t="shared" si="132"/>
        <v>ℍ</v>
      </c>
    </row>
    <row r="8462" spans="1:2" x14ac:dyDescent="0.25">
      <c r="A8462">
        <v>8462</v>
      </c>
      <c r="B8462" t="str">
        <f t="shared" si="132"/>
        <v>ℎ</v>
      </c>
    </row>
    <row r="8463" spans="1:2" x14ac:dyDescent="0.25">
      <c r="A8463">
        <v>8463</v>
      </c>
      <c r="B8463" t="str">
        <f t="shared" si="132"/>
        <v>ℏ</v>
      </c>
    </row>
    <row r="8464" spans="1:2" x14ac:dyDescent="0.25">
      <c r="A8464">
        <v>8464</v>
      </c>
      <c r="B8464" t="str">
        <f t="shared" si="132"/>
        <v>ℐ</v>
      </c>
    </row>
    <row r="8465" spans="1:2" x14ac:dyDescent="0.25">
      <c r="A8465">
        <v>8465</v>
      </c>
      <c r="B8465" t="str">
        <f t="shared" si="132"/>
        <v>ℑ</v>
      </c>
    </row>
    <row r="8466" spans="1:2" x14ac:dyDescent="0.25">
      <c r="A8466">
        <v>8466</v>
      </c>
      <c r="B8466" t="str">
        <f t="shared" si="132"/>
        <v>ℒ</v>
      </c>
    </row>
    <row r="8467" spans="1:2" x14ac:dyDescent="0.25">
      <c r="A8467">
        <v>8467</v>
      </c>
      <c r="B8467" t="str">
        <f t="shared" si="132"/>
        <v>ℓ</v>
      </c>
    </row>
    <row r="8468" spans="1:2" x14ac:dyDescent="0.25">
      <c r="A8468">
        <v>8468</v>
      </c>
      <c r="B8468" t="str">
        <f t="shared" si="132"/>
        <v>℔</v>
      </c>
    </row>
    <row r="8469" spans="1:2" x14ac:dyDescent="0.25">
      <c r="A8469">
        <v>8469</v>
      </c>
      <c r="B8469" t="str">
        <f t="shared" si="132"/>
        <v>ℕ</v>
      </c>
    </row>
    <row r="8470" spans="1:2" x14ac:dyDescent="0.25">
      <c r="A8470">
        <v>8470</v>
      </c>
      <c r="B8470" t="str">
        <f t="shared" si="132"/>
        <v>№</v>
      </c>
    </row>
    <row r="8471" spans="1:2" x14ac:dyDescent="0.25">
      <c r="A8471">
        <v>8471</v>
      </c>
      <c r="B8471" t="str">
        <f t="shared" si="132"/>
        <v>℗</v>
      </c>
    </row>
    <row r="8472" spans="1:2" x14ac:dyDescent="0.25">
      <c r="A8472">
        <v>8472</v>
      </c>
      <c r="B8472" t="str">
        <f t="shared" si="132"/>
        <v>℘</v>
      </c>
    </row>
    <row r="8473" spans="1:2" x14ac:dyDescent="0.25">
      <c r="A8473">
        <v>8473</v>
      </c>
      <c r="B8473" t="str">
        <f t="shared" si="132"/>
        <v>ℙ</v>
      </c>
    </row>
    <row r="8474" spans="1:2" x14ac:dyDescent="0.25">
      <c r="A8474">
        <v>8474</v>
      </c>
      <c r="B8474" t="str">
        <f t="shared" si="132"/>
        <v>ℚ</v>
      </c>
    </row>
    <row r="8475" spans="1:2" x14ac:dyDescent="0.25">
      <c r="A8475">
        <v>8475</v>
      </c>
      <c r="B8475" t="str">
        <f t="shared" si="132"/>
        <v>ℛ</v>
      </c>
    </row>
    <row r="8476" spans="1:2" x14ac:dyDescent="0.25">
      <c r="A8476">
        <v>8476</v>
      </c>
      <c r="B8476" t="str">
        <f t="shared" si="132"/>
        <v>ℜ</v>
      </c>
    </row>
    <row r="8477" spans="1:2" x14ac:dyDescent="0.25">
      <c r="A8477">
        <v>8477</v>
      </c>
      <c r="B8477" t="str">
        <f t="shared" si="132"/>
        <v>ℝ</v>
      </c>
    </row>
    <row r="8478" spans="1:2" x14ac:dyDescent="0.25">
      <c r="A8478">
        <v>8478</v>
      </c>
      <c r="B8478" t="str">
        <f t="shared" si="132"/>
        <v>℞</v>
      </c>
    </row>
    <row r="8479" spans="1:2" x14ac:dyDescent="0.25">
      <c r="A8479">
        <v>8479</v>
      </c>
      <c r="B8479" t="str">
        <f t="shared" si="132"/>
        <v>℟</v>
      </c>
    </row>
    <row r="8480" spans="1:2" x14ac:dyDescent="0.25">
      <c r="A8480">
        <v>8480</v>
      </c>
      <c r="B8480" t="str">
        <f t="shared" si="132"/>
        <v>℠</v>
      </c>
    </row>
    <row r="8481" spans="1:2" x14ac:dyDescent="0.25">
      <c r="A8481">
        <v>8481</v>
      </c>
      <c r="B8481" t="str">
        <f t="shared" si="132"/>
        <v>℡</v>
      </c>
    </row>
    <row r="8482" spans="1:2" x14ac:dyDescent="0.25">
      <c r="A8482">
        <v>8482</v>
      </c>
      <c r="B8482" t="str">
        <f t="shared" si="132"/>
        <v>™</v>
      </c>
    </row>
    <row r="8483" spans="1:2" x14ac:dyDescent="0.25">
      <c r="A8483">
        <v>8483</v>
      </c>
      <c r="B8483" t="str">
        <f t="shared" si="132"/>
        <v>℣</v>
      </c>
    </row>
    <row r="8484" spans="1:2" x14ac:dyDescent="0.25">
      <c r="A8484">
        <v>8484</v>
      </c>
      <c r="B8484" t="str">
        <f t="shared" si="132"/>
        <v>ℤ</v>
      </c>
    </row>
    <row r="8485" spans="1:2" x14ac:dyDescent="0.25">
      <c r="A8485">
        <v>8485</v>
      </c>
      <c r="B8485" t="str">
        <f t="shared" si="132"/>
        <v>℥</v>
      </c>
    </row>
    <row r="8486" spans="1:2" x14ac:dyDescent="0.25">
      <c r="A8486">
        <v>8486</v>
      </c>
      <c r="B8486" t="str">
        <f t="shared" si="132"/>
        <v>Ω</v>
      </c>
    </row>
    <row r="8487" spans="1:2" x14ac:dyDescent="0.25">
      <c r="A8487">
        <v>8487</v>
      </c>
      <c r="B8487" t="str">
        <f t="shared" si="132"/>
        <v>℧</v>
      </c>
    </row>
    <row r="8488" spans="1:2" x14ac:dyDescent="0.25">
      <c r="A8488">
        <v>8488</v>
      </c>
      <c r="B8488" t="str">
        <f t="shared" si="132"/>
        <v>ℨ</v>
      </c>
    </row>
    <row r="8489" spans="1:2" x14ac:dyDescent="0.25">
      <c r="A8489">
        <v>8489</v>
      </c>
      <c r="B8489" t="str">
        <f t="shared" si="132"/>
        <v>℩</v>
      </c>
    </row>
    <row r="8490" spans="1:2" x14ac:dyDescent="0.25">
      <c r="A8490">
        <v>8490</v>
      </c>
      <c r="B8490" t="str">
        <f t="shared" si="132"/>
        <v>K</v>
      </c>
    </row>
    <row r="8491" spans="1:2" x14ac:dyDescent="0.25">
      <c r="A8491">
        <v>8491</v>
      </c>
      <c r="B8491" t="str">
        <f t="shared" si="132"/>
        <v>Å</v>
      </c>
    </row>
    <row r="8492" spans="1:2" x14ac:dyDescent="0.25">
      <c r="A8492">
        <v>8492</v>
      </c>
      <c r="B8492" t="str">
        <f t="shared" si="132"/>
        <v>ℬ</v>
      </c>
    </row>
    <row r="8493" spans="1:2" x14ac:dyDescent="0.25">
      <c r="A8493">
        <v>8493</v>
      </c>
      <c r="B8493" t="str">
        <f t="shared" si="132"/>
        <v>ℭ</v>
      </c>
    </row>
    <row r="8494" spans="1:2" x14ac:dyDescent="0.25">
      <c r="A8494">
        <v>8494</v>
      </c>
      <c r="B8494" t="str">
        <f t="shared" si="132"/>
        <v>℮</v>
      </c>
    </row>
    <row r="8495" spans="1:2" x14ac:dyDescent="0.25">
      <c r="A8495">
        <v>8495</v>
      </c>
      <c r="B8495" t="str">
        <f t="shared" si="132"/>
        <v>ℯ</v>
      </c>
    </row>
    <row r="8496" spans="1:2" x14ac:dyDescent="0.25">
      <c r="A8496">
        <v>8496</v>
      </c>
      <c r="B8496" t="str">
        <f t="shared" si="132"/>
        <v>ℰ</v>
      </c>
    </row>
    <row r="8497" spans="1:2" x14ac:dyDescent="0.25">
      <c r="A8497">
        <v>8497</v>
      </c>
      <c r="B8497" t="str">
        <f t="shared" si="132"/>
        <v>ℱ</v>
      </c>
    </row>
    <row r="8498" spans="1:2" x14ac:dyDescent="0.25">
      <c r="A8498">
        <v>8498</v>
      </c>
      <c r="B8498" t="str">
        <f t="shared" si="132"/>
        <v>Ⅎ</v>
      </c>
    </row>
    <row r="8499" spans="1:2" x14ac:dyDescent="0.25">
      <c r="A8499">
        <v>8499</v>
      </c>
      <c r="B8499" t="str">
        <f t="shared" si="132"/>
        <v>ℳ</v>
      </c>
    </row>
    <row r="8500" spans="1:2" x14ac:dyDescent="0.25">
      <c r="A8500">
        <v>8500</v>
      </c>
      <c r="B8500" t="str">
        <f t="shared" si="132"/>
        <v>ℴ</v>
      </c>
    </row>
    <row r="8501" spans="1:2" x14ac:dyDescent="0.25">
      <c r="A8501">
        <v>8501</v>
      </c>
      <c r="B8501" t="str">
        <f t="shared" si="132"/>
        <v>ℵ</v>
      </c>
    </row>
    <row r="8502" spans="1:2" x14ac:dyDescent="0.25">
      <c r="A8502">
        <v>8502</v>
      </c>
      <c r="B8502" t="str">
        <f t="shared" si="132"/>
        <v>ℶ</v>
      </c>
    </row>
    <row r="8503" spans="1:2" x14ac:dyDescent="0.25">
      <c r="A8503">
        <v>8503</v>
      </c>
      <c r="B8503" t="str">
        <f t="shared" si="132"/>
        <v>ℷ</v>
      </c>
    </row>
    <row r="8504" spans="1:2" x14ac:dyDescent="0.25">
      <c r="A8504">
        <v>8504</v>
      </c>
      <c r="B8504" t="str">
        <f t="shared" si="132"/>
        <v>ℸ</v>
      </c>
    </row>
    <row r="8505" spans="1:2" x14ac:dyDescent="0.25">
      <c r="A8505">
        <v>8505</v>
      </c>
      <c r="B8505" t="str">
        <f t="shared" si="132"/>
        <v>ℹ</v>
      </c>
    </row>
    <row r="8506" spans="1:2" x14ac:dyDescent="0.25">
      <c r="A8506">
        <v>8506</v>
      </c>
      <c r="B8506" t="str">
        <f t="shared" si="132"/>
        <v>℺</v>
      </c>
    </row>
    <row r="8507" spans="1:2" x14ac:dyDescent="0.25">
      <c r="A8507">
        <v>8507</v>
      </c>
      <c r="B8507" t="str">
        <f t="shared" si="132"/>
        <v>℻</v>
      </c>
    </row>
    <row r="8508" spans="1:2" x14ac:dyDescent="0.25">
      <c r="A8508">
        <v>8508</v>
      </c>
      <c r="B8508" t="str">
        <f t="shared" si="132"/>
        <v>ℼ</v>
      </c>
    </row>
    <row r="8509" spans="1:2" x14ac:dyDescent="0.25">
      <c r="A8509">
        <v>8509</v>
      </c>
      <c r="B8509" t="str">
        <f t="shared" si="132"/>
        <v>ℽ</v>
      </c>
    </row>
    <row r="8510" spans="1:2" x14ac:dyDescent="0.25">
      <c r="A8510">
        <v>8510</v>
      </c>
      <c r="B8510" t="str">
        <f t="shared" si="132"/>
        <v>ℾ</v>
      </c>
    </row>
    <row r="8511" spans="1:2" x14ac:dyDescent="0.25">
      <c r="A8511">
        <v>8511</v>
      </c>
      <c r="B8511" t="str">
        <f t="shared" si="132"/>
        <v>ℿ</v>
      </c>
    </row>
    <row r="8512" spans="1:2" x14ac:dyDescent="0.25">
      <c r="A8512">
        <v>8512</v>
      </c>
      <c r="B8512" t="str">
        <f t="shared" si="132"/>
        <v>⅀</v>
      </c>
    </row>
    <row r="8513" spans="1:2" x14ac:dyDescent="0.25">
      <c r="A8513">
        <v>8513</v>
      </c>
      <c r="B8513" t="str">
        <f t="shared" si="132"/>
        <v>⅁</v>
      </c>
    </row>
    <row r="8514" spans="1:2" x14ac:dyDescent="0.25">
      <c r="A8514">
        <v>8514</v>
      </c>
      <c r="B8514" t="str">
        <f t="shared" ref="B8514:B8577" si="133">_xlfn.UNICHAR(A8514)</f>
        <v>⅂</v>
      </c>
    </row>
    <row r="8515" spans="1:2" x14ac:dyDescent="0.25">
      <c r="A8515">
        <v>8515</v>
      </c>
      <c r="B8515" t="str">
        <f t="shared" si="133"/>
        <v>⅃</v>
      </c>
    </row>
    <row r="8516" spans="1:2" x14ac:dyDescent="0.25">
      <c r="A8516">
        <v>8516</v>
      </c>
      <c r="B8516" t="str">
        <f t="shared" si="133"/>
        <v>⅄</v>
      </c>
    </row>
    <row r="8517" spans="1:2" x14ac:dyDescent="0.25">
      <c r="A8517">
        <v>8517</v>
      </c>
      <c r="B8517" t="str">
        <f t="shared" si="133"/>
        <v>ⅅ</v>
      </c>
    </row>
    <row r="8518" spans="1:2" x14ac:dyDescent="0.25">
      <c r="A8518">
        <v>8518</v>
      </c>
      <c r="B8518" t="str">
        <f t="shared" si="133"/>
        <v>ⅆ</v>
      </c>
    </row>
    <row r="8519" spans="1:2" x14ac:dyDescent="0.25">
      <c r="A8519">
        <v>8519</v>
      </c>
      <c r="B8519" t="str">
        <f t="shared" si="133"/>
        <v>ⅇ</v>
      </c>
    </row>
    <row r="8520" spans="1:2" x14ac:dyDescent="0.25">
      <c r="A8520">
        <v>8520</v>
      </c>
      <c r="B8520" t="str">
        <f t="shared" si="133"/>
        <v>ⅈ</v>
      </c>
    </row>
    <row r="8521" spans="1:2" x14ac:dyDescent="0.25">
      <c r="A8521">
        <v>8521</v>
      </c>
      <c r="B8521" t="str">
        <f t="shared" si="133"/>
        <v>ⅉ</v>
      </c>
    </row>
    <row r="8522" spans="1:2" x14ac:dyDescent="0.25">
      <c r="A8522">
        <v>8522</v>
      </c>
      <c r="B8522" t="str">
        <f t="shared" si="133"/>
        <v>⅊</v>
      </c>
    </row>
    <row r="8523" spans="1:2" x14ac:dyDescent="0.25">
      <c r="A8523">
        <v>8523</v>
      </c>
      <c r="B8523" t="str">
        <f t="shared" si="133"/>
        <v>⅋</v>
      </c>
    </row>
    <row r="8524" spans="1:2" x14ac:dyDescent="0.25">
      <c r="A8524">
        <v>8524</v>
      </c>
      <c r="B8524" t="str">
        <f t="shared" si="133"/>
        <v>⅌</v>
      </c>
    </row>
    <row r="8525" spans="1:2" x14ac:dyDescent="0.25">
      <c r="A8525">
        <v>8525</v>
      </c>
      <c r="B8525" t="str">
        <f t="shared" si="133"/>
        <v>⅍</v>
      </c>
    </row>
    <row r="8526" spans="1:2" x14ac:dyDescent="0.25">
      <c r="A8526">
        <v>8526</v>
      </c>
      <c r="B8526" t="str">
        <f t="shared" si="133"/>
        <v>ⅎ</v>
      </c>
    </row>
    <row r="8527" spans="1:2" x14ac:dyDescent="0.25">
      <c r="A8527">
        <v>8527</v>
      </c>
      <c r="B8527" t="str">
        <f t="shared" si="133"/>
        <v>⅏</v>
      </c>
    </row>
    <row r="8528" spans="1:2" x14ac:dyDescent="0.25">
      <c r="A8528">
        <v>8528</v>
      </c>
      <c r="B8528" t="str">
        <f t="shared" si="133"/>
        <v>⅐</v>
      </c>
    </row>
    <row r="8529" spans="1:2" x14ac:dyDescent="0.25">
      <c r="A8529">
        <v>8529</v>
      </c>
      <c r="B8529" t="str">
        <f t="shared" si="133"/>
        <v>⅑</v>
      </c>
    </row>
    <row r="8530" spans="1:2" x14ac:dyDescent="0.25">
      <c r="A8530">
        <v>8530</v>
      </c>
      <c r="B8530" t="str">
        <f t="shared" si="133"/>
        <v>⅒</v>
      </c>
    </row>
    <row r="8531" spans="1:2" x14ac:dyDescent="0.25">
      <c r="A8531">
        <v>8531</v>
      </c>
      <c r="B8531" t="str">
        <f t="shared" si="133"/>
        <v>⅓</v>
      </c>
    </row>
    <row r="8532" spans="1:2" x14ac:dyDescent="0.25">
      <c r="A8532">
        <v>8532</v>
      </c>
      <c r="B8532" t="str">
        <f t="shared" si="133"/>
        <v>⅔</v>
      </c>
    </row>
    <row r="8533" spans="1:2" x14ac:dyDescent="0.25">
      <c r="A8533">
        <v>8533</v>
      </c>
      <c r="B8533" t="str">
        <f t="shared" si="133"/>
        <v>⅕</v>
      </c>
    </row>
    <row r="8534" spans="1:2" x14ac:dyDescent="0.25">
      <c r="A8534">
        <v>8534</v>
      </c>
      <c r="B8534" t="str">
        <f t="shared" si="133"/>
        <v>⅖</v>
      </c>
    </row>
    <row r="8535" spans="1:2" x14ac:dyDescent="0.25">
      <c r="A8535">
        <v>8535</v>
      </c>
      <c r="B8535" t="str">
        <f t="shared" si="133"/>
        <v>⅗</v>
      </c>
    </row>
    <row r="8536" spans="1:2" x14ac:dyDescent="0.25">
      <c r="A8536">
        <v>8536</v>
      </c>
      <c r="B8536" t="str">
        <f t="shared" si="133"/>
        <v>⅘</v>
      </c>
    </row>
    <row r="8537" spans="1:2" x14ac:dyDescent="0.25">
      <c r="A8537">
        <v>8537</v>
      </c>
      <c r="B8537" t="str">
        <f t="shared" si="133"/>
        <v>⅙</v>
      </c>
    </row>
    <row r="8538" spans="1:2" x14ac:dyDescent="0.25">
      <c r="A8538">
        <v>8538</v>
      </c>
      <c r="B8538" t="str">
        <f t="shared" si="133"/>
        <v>⅚</v>
      </c>
    </row>
    <row r="8539" spans="1:2" x14ac:dyDescent="0.25">
      <c r="A8539">
        <v>8539</v>
      </c>
      <c r="B8539" t="str">
        <f t="shared" si="133"/>
        <v>⅛</v>
      </c>
    </row>
    <row r="8540" spans="1:2" x14ac:dyDescent="0.25">
      <c r="A8540">
        <v>8540</v>
      </c>
      <c r="B8540" t="str">
        <f t="shared" si="133"/>
        <v>⅜</v>
      </c>
    </row>
    <row r="8541" spans="1:2" x14ac:dyDescent="0.25">
      <c r="A8541">
        <v>8541</v>
      </c>
      <c r="B8541" t="str">
        <f t="shared" si="133"/>
        <v>⅝</v>
      </c>
    </row>
    <row r="8542" spans="1:2" x14ac:dyDescent="0.25">
      <c r="A8542">
        <v>8542</v>
      </c>
      <c r="B8542" t="str">
        <f t="shared" si="133"/>
        <v>⅞</v>
      </c>
    </row>
    <row r="8543" spans="1:2" x14ac:dyDescent="0.25">
      <c r="A8543">
        <v>8543</v>
      </c>
      <c r="B8543" t="str">
        <f t="shared" si="133"/>
        <v>⅟</v>
      </c>
    </row>
    <row r="8544" spans="1:2" x14ac:dyDescent="0.25">
      <c r="A8544">
        <v>8544</v>
      </c>
      <c r="B8544" t="str">
        <f t="shared" si="133"/>
        <v>Ⅰ</v>
      </c>
    </row>
    <row r="8545" spans="1:2" x14ac:dyDescent="0.25">
      <c r="A8545">
        <v>8545</v>
      </c>
      <c r="B8545" t="str">
        <f t="shared" si="133"/>
        <v>Ⅱ</v>
      </c>
    </row>
    <row r="8546" spans="1:2" x14ac:dyDescent="0.25">
      <c r="A8546">
        <v>8546</v>
      </c>
      <c r="B8546" t="str">
        <f t="shared" si="133"/>
        <v>Ⅲ</v>
      </c>
    </row>
    <row r="8547" spans="1:2" x14ac:dyDescent="0.25">
      <c r="A8547">
        <v>8547</v>
      </c>
      <c r="B8547" t="str">
        <f t="shared" si="133"/>
        <v>Ⅳ</v>
      </c>
    </row>
    <row r="8548" spans="1:2" x14ac:dyDescent="0.25">
      <c r="A8548">
        <v>8548</v>
      </c>
      <c r="B8548" t="str">
        <f t="shared" si="133"/>
        <v>Ⅴ</v>
      </c>
    </row>
    <row r="8549" spans="1:2" x14ac:dyDescent="0.25">
      <c r="A8549">
        <v>8549</v>
      </c>
      <c r="B8549" t="str">
        <f t="shared" si="133"/>
        <v>Ⅵ</v>
      </c>
    </row>
    <row r="8550" spans="1:2" x14ac:dyDescent="0.25">
      <c r="A8550">
        <v>8550</v>
      </c>
      <c r="B8550" t="str">
        <f t="shared" si="133"/>
        <v>Ⅶ</v>
      </c>
    </row>
    <row r="8551" spans="1:2" x14ac:dyDescent="0.25">
      <c r="A8551">
        <v>8551</v>
      </c>
      <c r="B8551" t="str">
        <f t="shared" si="133"/>
        <v>Ⅷ</v>
      </c>
    </row>
    <row r="8552" spans="1:2" x14ac:dyDescent="0.25">
      <c r="A8552">
        <v>8552</v>
      </c>
      <c r="B8552" t="str">
        <f t="shared" si="133"/>
        <v>Ⅸ</v>
      </c>
    </row>
    <row r="8553" spans="1:2" x14ac:dyDescent="0.25">
      <c r="A8553">
        <v>8553</v>
      </c>
      <c r="B8553" t="str">
        <f t="shared" si="133"/>
        <v>Ⅹ</v>
      </c>
    </row>
    <row r="8554" spans="1:2" x14ac:dyDescent="0.25">
      <c r="A8554">
        <v>8554</v>
      </c>
      <c r="B8554" t="str">
        <f t="shared" si="133"/>
        <v>Ⅺ</v>
      </c>
    </row>
    <row r="8555" spans="1:2" x14ac:dyDescent="0.25">
      <c r="A8555">
        <v>8555</v>
      </c>
      <c r="B8555" t="str">
        <f t="shared" si="133"/>
        <v>Ⅻ</v>
      </c>
    </row>
    <row r="8556" spans="1:2" x14ac:dyDescent="0.25">
      <c r="A8556">
        <v>8556</v>
      </c>
      <c r="B8556" t="str">
        <f t="shared" si="133"/>
        <v>Ⅼ</v>
      </c>
    </row>
    <row r="8557" spans="1:2" x14ac:dyDescent="0.25">
      <c r="A8557">
        <v>8557</v>
      </c>
      <c r="B8557" t="str">
        <f t="shared" si="133"/>
        <v>Ⅽ</v>
      </c>
    </row>
    <row r="8558" spans="1:2" x14ac:dyDescent="0.25">
      <c r="A8558">
        <v>8558</v>
      </c>
      <c r="B8558" t="str">
        <f t="shared" si="133"/>
        <v>Ⅾ</v>
      </c>
    </row>
    <row r="8559" spans="1:2" x14ac:dyDescent="0.25">
      <c r="A8559">
        <v>8559</v>
      </c>
      <c r="B8559" t="str">
        <f t="shared" si="133"/>
        <v>Ⅿ</v>
      </c>
    </row>
    <row r="8560" spans="1:2" x14ac:dyDescent="0.25">
      <c r="A8560">
        <v>8560</v>
      </c>
      <c r="B8560" t="str">
        <f t="shared" si="133"/>
        <v>ⅰ</v>
      </c>
    </row>
    <row r="8561" spans="1:2" x14ac:dyDescent="0.25">
      <c r="A8561">
        <v>8561</v>
      </c>
      <c r="B8561" t="str">
        <f t="shared" si="133"/>
        <v>ⅱ</v>
      </c>
    </row>
    <row r="8562" spans="1:2" x14ac:dyDescent="0.25">
      <c r="A8562">
        <v>8562</v>
      </c>
      <c r="B8562" t="str">
        <f t="shared" si="133"/>
        <v>ⅲ</v>
      </c>
    </row>
    <row r="8563" spans="1:2" x14ac:dyDescent="0.25">
      <c r="A8563">
        <v>8563</v>
      </c>
      <c r="B8563" t="str">
        <f t="shared" si="133"/>
        <v>ⅳ</v>
      </c>
    </row>
    <row r="8564" spans="1:2" x14ac:dyDescent="0.25">
      <c r="A8564">
        <v>8564</v>
      </c>
      <c r="B8564" t="str">
        <f t="shared" si="133"/>
        <v>ⅴ</v>
      </c>
    </row>
    <row r="8565" spans="1:2" x14ac:dyDescent="0.25">
      <c r="A8565">
        <v>8565</v>
      </c>
      <c r="B8565" t="str">
        <f t="shared" si="133"/>
        <v>ⅵ</v>
      </c>
    </row>
    <row r="8566" spans="1:2" x14ac:dyDescent="0.25">
      <c r="A8566">
        <v>8566</v>
      </c>
      <c r="B8566" t="str">
        <f t="shared" si="133"/>
        <v>ⅶ</v>
      </c>
    </row>
    <row r="8567" spans="1:2" x14ac:dyDescent="0.25">
      <c r="A8567">
        <v>8567</v>
      </c>
      <c r="B8567" t="str">
        <f t="shared" si="133"/>
        <v>ⅷ</v>
      </c>
    </row>
    <row r="8568" spans="1:2" x14ac:dyDescent="0.25">
      <c r="A8568">
        <v>8568</v>
      </c>
      <c r="B8568" t="str">
        <f t="shared" si="133"/>
        <v>ⅸ</v>
      </c>
    </row>
    <row r="8569" spans="1:2" x14ac:dyDescent="0.25">
      <c r="A8569">
        <v>8569</v>
      </c>
      <c r="B8569" t="str">
        <f t="shared" si="133"/>
        <v>ⅹ</v>
      </c>
    </row>
    <row r="8570" spans="1:2" x14ac:dyDescent="0.25">
      <c r="A8570">
        <v>8570</v>
      </c>
      <c r="B8570" t="str">
        <f t="shared" si="133"/>
        <v>ⅺ</v>
      </c>
    </row>
    <row r="8571" spans="1:2" x14ac:dyDescent="0.25">
      <c r="A8571">
        <v>8571</v>
      </c>
      <c r="B8571" t="str">
        <f t="shared" si="133"/>
        <v>ⅻ</v>
      </c>
    </row>
    <row r="8572" spans="1:2" x14ac:dyDescent="0.25">
      <c r="A8572">
        <v>8572</v>
      </c>
      <c r="B8572" t="str">
        <f t="shared" si="133"/>
        <v>ⅼ</v>
      </c>
    </row>
    <row r="8573" spans="1:2" x14ac:dyDescent="0.25">
      <c r="A8573">
        <v>8573</v>
      </c>
      <c r="B8573" t="str">
        <f t="shared" si="133"/>
        <v>ⅽ</v>
      </c>
    </row>
    <row r="8574" spans="1:2" x14ac:dyDescent="0.25">
      <c r="A8574">
        <v>8574</v>
      </c>
      <c r="B8574" t="str">
        <f t="shared" si="133"/>
        <v>ⅾ</v>
      </c>
    </row>
    <row r="8575" spans="1:2" x14ac:dyDescent="0.25">
      <c r="A8575">
        <v>8575</v>
      </c>
      <c r="B8575" t="str">
        <f t="shared" si="133"/>
        <v>ⅿ</v>
      </c>
    </row>
    <row r="8576" spans="1:2" x14ac:dyDescent="0.25">
      <c r="A8576">
        <v>8576</v>
      </c>
      <c r="B8576" t="str">
        <f t="shared" si="133"/>
        <v>ↀ</v>
      </c>
    </row>
    <row r="8577" spans="1:2" x14ac:dyDescent="0.25">
      <c r="A8577">
        <v>8577</v>
      </c>
      <c r="B8577" t="str">
        <f t="shared" si="133"/>
        <v>ↁ</v>
      </c>
    </row>
    <row r="8578" spans="1:2" x14ac:dyDescent="0.25">
      <c r="A8578">
        <v>8578</v>
      </c>
      <c r="B8578" t="str">
        <f t="shared" ref="B8578:B8641" si="134">_xlfn.UNICHAR(A8578)</f>
        <v>ↂ</v>
      </c>
    </row>
    <row r="8579" spans="1:2" x14ac:dyDescent="0.25">
      <c r="A8579">
        <v>8579</v>
      </c>
      <c r="B8579" t="str">
        <f t="shared" si="134"/>
        <v>Ↄ</v>
      </c>
    </row>
    <row r="8580" spans="1:2" x14ac:dyDescent="0.25">
      <c r="A8580">
        <v>8580</v>
      </c>
      <c r="B8580" t="str">
        <f t="shared" si="134"/>
        <v>ↄ</v>
      </c>
    </row>
    <row r="8581" spans="1:2" x14ac:dyDescent="0.25">
      <c r="A8581">
        <v>8581</v>
      </c>
      <c r="B8581" t="str">
        <f t="shared" si="134"/>
        <v>ↅ</v>
      </c>
    </row>
    <row r="8582" spans="1:2" x14ac:dyDescent="0.25">
      <c r="A8582">
        <v>8582</v>
      </c>
      <c r="B8582" t="str">
        <f t="shared" si="134"/>
        <v>ↆ</v>
      </c>
    </row>
    <row r="8583" spans="1:2" x14ac:dyDescent="0.25">
      <c r="A8583">
        <v>8583</v>
      </c>
      <c r="B8583" t="str">
        <f t="shared" si="134"/>
        <v>ↇ</v>
      </c>
    </row>
    <row r="8584" spans="1:2" x14ac:dyDescent="0.25">
      <c r="A8584">
        <v>8584</v>
      </c>
      <c r="B8584" t="str">
        <f t="shared" si="134"/>
        <v>ↈ</v>
      </c>
    </row>
    <row r="8585" spans="1:2" x14ac:dyDescent="0.25">
      <c r="A8585">
        <v>8585</v>
      </c>
      <c r="B8585" t="str">
        <f t="shared" si="134"/>
        <v>↉</v>
      </c>
    </row>
    <row r="8586" spans="1:2" x14ac:dyDescent="0.25">
      <c r="A8586">
        <v>8586</v>
      </c>
      <c r="B8586" t="str">
        <f t="shared" si="134"/>
        <v>↊</v>
      </c>
    </row>
    <row r="8587" spans="1:2" x14ac:dyDescent="0.25">
      <c r="A8587">
        <v>8587</v>
      </c>
      <c r="B8587" t="str">
        <f t="shared" si="134"/>
        <v>↋</v>
      </c>
    </row>
    <row r="8588" spans="1:2" x14ac:dyDescent="0.25">
      <c r="A8588">
        <v>8588</v>
      </c>
      <c r="B8588" t="str">
        <f t="shared" si="134"/>
        <v>↌</v>
      </c>
    </row>
    <row r="8589" spans="1:2" x14ac:dyDescent="0.25">
      <c r="A8589">
        <v>8589</v>
      </c>
      <c r="B8589" t="str">
        <f t="shared" si="134"/>
        <v>↍</v>
      </c>
    </row>
    <row r="8590" spans="1:2" x14ac:dyDescent="0.25">
      <c r="A8590">
        <v>8590</v>
      </c>
      <c r="B8590" t="str">
        <f t="shared" si="134"/>
        <v>↎</v>
      </c>
    </row>
    <row r="8591" spans="1:2" x14ac:dyDescent="0.25">
      <c r="A8591">
        <v>8591</v>
      </c>
      <c r="B8591" t="str">
        <f t="shared" si="134"/>
        <v>↏</v>
      </c>
    </row>
    <row r="8592" spans="1:2" x14ac:dyDescent="0.25">
      <c r="A8592">
        <v>8592</v>
      </c>
      <c r="B8592" t="str">
        <f t="shared" si="134"/>
        <v>←</v>
      </c>
    </row>
    <row r="8593" spans="1:2" x14ac:dyDescent="0.25">
      <c r="A8593">
        <v>8593</v>
      </c>
      <c r="B8593" t="str">
        <f t="shared" si="134"/>
        <v>↑</v>
      </c>
    </row>
    <row r="8594" spans="1:2" x14ac:dyDescent="0.25">
      <c r="A8594">
        <v>8594</v>
      </c>
      <c r="B8594" t="str">
        <f t="shared" si="134"/>
        <v>→</v>
      </c>
    </row>
    <row r="8595" spans="1:2" x14ac:dyDescent="0.25">
      <c r="A8595">
        <v>8595</v>
      </c>
      <c r="B8595" t="str">
        <f t="shared" si="134"/>
        <v>↓</v>
      </c>
    </row>
    <row r="8596" spans="1:2" x14ac:dyDescent="0.25">
      <c r="A8596">
        <v>8596</v>
      </c>
      <c r="B8596" t="str">
        <f t="shared" si="134"/>
        <v>↔</v>
      </c>
    </row>
    <row r="8597" spans="1:2" x14ac:dyDescent="0.25">
      <c r="A8597">
        <v>8597</v>
      </c>
      <c r="B8597" t="str">
        <f t="shared" si="134"/>
        <v>↕</v>
      </c>
    </row>
    <row r="8598" spans="1:2" x14ac:dyDescent="0.25">
      <c r="A8598">
        <v>8598</v>
      </c>
      <c r="B8598" t="str">
        <f t="shared" si="134"/>
        <v>↖</v>
      </c>
    </row>
    <row r="8599" spans="1:2" x14ac:dyDescent="0.25">
      <c r="A8599">
        <v>8599</v>
      </c>
      <c r="B8599" t="str">
        <f t="shared" si="134"/>
        <v>↗</v>
      </c>
    </row>
    <row r="8600" spans="1:2" x14ac:dyDescent="0.25">
      <c r="A8600">
        <v>8600</v>
      </c>
      <c r="B8600" t="str">
        <f t="shared" si="134"/>
        <v>↘</v>
      </c>
    </row>
    <row r="8601" spans="1:2" x14ac:dyDescent="0.25">
      <c r="A8601">
        <v>8601</v>
      </c>
      <c r="B8601" t="str">
        <f t="shared" si="134"/>
        <v>↙</v>
      </c>
    </row>
    <row r="8602" spans="1:2" x14ac:dyDescent="0.25">
      <c r="A8602">
        <v>8602</v>
      </c>
      <c r="B8602" t="str">
        <f t="shared" si="134"/>
        <v>↚</v>
      </c>
    </row>
    <row r="8603" spans="1:2" x14ac:dyDescent="0.25">
      <c r="A8603">
        <v>8603</v>
      </c>
      <c r="B8603" t="str">
        <f t="shared" si="134"/>
        <v>↛</v>
      </c>
    </row>
    <row r="8604" spans="1:2" x14ac:dyDescent="0.25">
      <c r="A8604">
        <v>8604</v>
      </c>
      <c r="B8604" t="str">
        <f t="shared" si="134"/>
        <v>↜</v>
      </c>
    </row>
    <row r="8605" spans="1:2" x14ac:dyDescent="0.25">
      <c r="A8605">
        <v>8605</v>
      </c>
      <c r="B8605" t="str">
        <f t="shared" si="134"/>
        <v>↝</v>
      </c>
    </row>
    <row r="8606" spans="1:2" x14ac:dyDescent="0.25">
      <c r="A8606">
        <v>8606</v>
      </c>
      <c r="B8606" t="str">
        <f t="shared" si="134"/>
        <v>↞</v>
      </c>
    </row>
    <row r="8607" spans="1:2" x14ac:dyDescent="0.25">
      <c r="A8607">
        <v>8607</v>
      </c>
      <c r="B8607" t="str">
        <f t="shared" si="134"/>
        <v>↟</v>
      </c>
    </row>
    <row r="8608" spans="1:2" x14ac:dyDescent="0.25">
      <c r="A8608">
        <v>8608</v>
      </c>
      <c r="B8608" t="str">
        <f t="shared" si="134"/>
        <v>↠</v>
      </c>
    </row>
    <row r="8609" spans="1:2" x14ac:dyDescent="0.25">
      <c r="A8609">
        <v>8609</v>
      </c>
      <c r="B8609" t="str">
        <f t="shared" si="134"/>
        <v>↡</v>
      </c>
    </row>
    <row r="8610" spans="1:2" x14ac:dyDescent="0.25">
      <c r="A8610">
        <v>8610</v>
      </c>
      <c r="B8610" t="str">
        <f t="shared" si="134"/>
        <v>↢</v>
      </c>
    </row>
    <row r="8611" spans="1:2" x14ac:dyDescent="0.25">
      <c r="A8611">
        <v>8611</v>
      </c>
      <c r="B8611" t="str">
        <f t="shared" si="134"/>
        <v>↣</v>
      </c>
    </row>
    <row r="8612" spans="1:2" x14ac:dyDescent="0.25">
      <c r="A8612">
        <v>8612</v>
      </c>
      <c r="B8612" t="str">
        <f t="shared" si="134"/>
        <v>↤</v>
      </c>
    </row>
    <row r="8613" spans="1:2" x14ac:dyDescent="0.25">
      <c r="A8613">
        <v>8613</v>
      </c>
      <c r="B8613" t="str">
        <f t="shared" si="134"/>
        <v>↥</v>
      </c>
    </row>
    <row r="8614" spans="1:2" x14ac:dyDescent="0.25">
      <c r="A8614">
        <v>8614</v>
      </c>
      <c r="B8614" t="str">
        <f t="shared" si="134"/>
        <v>↦</v>
      </c>
    </row>
    <row r="8615" spans="1:2" x14ac:dyDescent="0.25">
      <c r="A8615">
        <v>8615</v>
      </c>
      <c r="B8615" t="str">
        <f t="shared" si="134"/>
        <v>↧</v>
      </c>
    </row>
    <row r="8616" spans="1:2" x14ac:dyDescent="0.25">
      <c r="A8616">
        <v>8616</v>
      </c>
      <c r="B8616" t="str">
        <f t="shared" si="134"/>
        <v>↨</v>
      </c>
    </row>
    <row r="8617" spans="1:2" x14ac:dyDescent="0.25">
      <c r="A8617">
        <v>8617</v>
      </c>
      <c r="B8617" t="str">
        <f t="shared" si="134"/>
        <v>↩</v>
      </c>
    </row>
    <row r="8618" spans="1:2" x14ac:dyDescent="0.25">
      <c r="A8618">
        <v>8618</v>
      </c>
      <c r="B8618" t="str">
        <f t="shared" si="134"/>
        <v>↪</v>
      </c>
    </row>
    <row r="8619" spans="1:2" x14ac:dyDescent="0.25">
      <c r="A8619">
        <v>8619</v>
      </c>
      <c r="B8619" t="str">
        <f t="shared" si="134"/>
        <v>↫</v>
      </c>
    </row>
    <row r="8620" spans="1:2" x14ac:dyDescent="0.25">
      <c r="A8620">
        <v>8620</v>
      </c>
      <c r="B8620" t="str">
        <f t="shared" si="134"/>
        <v>↬</v>
      </c>
    </row>
    <row r="8621" spans="1:2" x14ac:dyDescent="0.25">
      <c r="A8621">
        <v>8621</v>
      </c>
      <c r="B8621" t="str">
        <f t="shared" si="134"/>
        <v>↭</v>
      </c>
    </row>
    <row r="8622" spans="1:2" x14ac:dyDescent="0.25">
      <c r="A8622">
        <v>8622</v>
      </c>
      <c r="B8622" t="str">
        <f t="shared" si="134"/>
        <v>↮</v>
      </c>
    </row>
    <row r="8623" spans="1:2" x14ac:dyDescent="0.25">
      <c r="A8623">
        <v>8623</v>
      </c>
      <c r="B8623" t="str">
        <f t="shared" si="134"/>
        <v>↯</v>
      </c>
    </row>
    <row r="8624" spans="1:2" x14ac:dyDescent="0.25">
      <c r="A8624">
        <v>8624</v>
      </c>
      <c r="B8624" t="str">
        <f t="shared" si="134"/>
        <v>↰</v>
      </c>
    </row>
    <row r="8625" spans="1:2" x14ac:dyDescent="0.25">
      <c r="A8625">
        <v>8625</v>
      </c>
      <c r="B8625" t="str">
        <f t="shared" si="134"/>
        <v>↱</v>
      </c>
    </row>
    <row r="8626" spans="1:2" x14ac:dyDescent="0.25">
      <c r="A8626">
        <v>8626</v>
      </c>
      <c r="B8626" t="str">
        <f t="shared" si="134"/>
        <v>↲</v>
      </c>
    </row>
    <row r="8627" spans="1:2" x14ac:dyDescent="0.25">
      <c r="A8627">
        <v>8627</v>
      </c>
      <c r="B8627" t="str">
        <f t="shared" si="134"/>
        <v>↳</v>
      </c>
    </row>
    <row r="8628" spans="1:2" x14ac:dyDescent="0.25">
      <c r="A8628">
        <v>8628</v>
      </c>
      <c r="B8628" t="str">
        <f t="shared" si="134"/>
        <v>↴</v>
      </c>
    </row>
    <row r="8629" spans="1:2" x14ac:dyDescent="0.25">
      <c r="A8629">
        <v>8629</v>
      </c>
      <c r="B8629" t="str">
        <f t="shared" si="134"/>
        <v>↵</v>
      </c>
    </row>
    <row r="8630" spans="1:2" x14ac:dyDescent="0.25">
      <c r="A8630">
        <v>8630</v>
      </c>
      <c r="B8630" t="str">
        <f t="shared" si="134"/>
        <v>↶</v>
      </c>
    </row>
    <row r="8631" spans="1:2" x14ac:dyDescent="0.25">
      <c r="A8631">
        <v>8631</v>
      </c>
      <c r="B8631" t="str">
        <f t="shared" si="134"/>
        <v>↷</v>
      </c>
    </row>
    <row r="8632" spans="1:2" x14ac:dyDescent="0.25">
      <c r="A8632">
        <v>8632</v>
      </c>
      <c r="B8632" t="str">
        <f t="shared" si="134"/>
        <v>↸</v>
      </c>
    </row>
    <row r="8633" spans="1:2" x14ac:dyDescent="0.25">
      <c r="A8633">
        <v>8633</v>
      </c>
      <c r="B8633" t="str">
        <f t="shared" si="134"/>
        <v>↹</v>
      </c>
    </row>
    <row r="8634" spans="1:2" x14ac:dyDescent="0.25">
      <c r="A8634">
        <v>8634</v>
      </c>
      <c r="B8634" t="str">
        <f t="shared" si="134"/>
        <v>↺</v>
      </c>
    </row>
    <row r="8635" spans="1:2" x14ac:dyDescent="0.25">
      <c r="A8635">
        <v>8635</v>
      </c>
      <c r="B8635" t="str">
        <f t="shared" si="134"/>
        <v>↻</v>
      </c>
    </row>
    <row r="8636" spans="1:2" x14ac:dyDescent="0.25">
      <c r="A8636">
        <v>8636</v>
      </c>
      <c r="B8636" t="str">
        <f t="shared" si="134"/>
        <v>↼</v>
      </c>
    </row>
    <row r="8637" spans="1:2" x14ac:dyDescent="0.25">
      <c r="A8637">
        <v>8637</v>
      </c>
      <c r="B8637" t="str">
        <f t="shared" si="134"/>
        <v>↽</v>
      </c>
    </row>
    <row r="8638" spans="1:2" x14ac:dyDescent="0.25">
      <c r="A8638">
        <v>8638</v>
      </c>
      <c r="B8638" t="str">
        <f t="shared" si="134"/>
        <v>↾</v>
      </c>
    </row>
    <row r="8639" spans="1:2" x14ac:dyDescent="0.25">
      <c r="A8639">
        <v>8639</v>
      </c>
      <c r="B8639" t="str">
        <f t="shared" si="134"/>
        <v>↿</v>
      </c>
    </row>
    <row r="8640" spans="1:2" x14ac:dyDescent="0.25">
      <c r="A8640">
        <v>8640</v>
      </c>
      <c r="B8640" t="str">
        <f t="shared" si="134"/>
        <v>⇀</v>
      </c>
    </row>
    <row r="8641" spans="1:2" x14ac:dyDescent="0.25">
      <c r="A8641">
        <v>8641</v>
      </c>
      <c r="B8641" t="str">
        <f t="shared" si="134"/>
        <v>⇁</v>
      </c>
    </row>
    <row r="8642" spans="1:2" x14ac:dyDescent="0.25">
      <c r="A8642">
        <v>8642</v>
      </c>
      <c r="B8642" t="str">
        <f t="shared" ref="B8642:B8705" si="135">_xlfn.UNICHAR(A8642)</f>
        <v>⇂</v>
      </c>
    </row>
    <row r="8643" spans="1:2" x14ac:dyDescent="0.25">
      <c r="A8643">
        <v>8643</v>
      </c>
      <c r="B8643" t="str">
        <f t="shared" si="135"/>
        <v>⇃</v>
      </c>
    </row>
    <row r="8644" spans="1:2" x14ac:dyDescent="0.25">
      <c r="A8644">
        <v>8644</v>
      </c>
      <c r="B8644" t="str">
        <f t="shared" si="135"/>
        <v>⇄</v>
      </c>
    </row>
    <row r="8645" spans="1:2" x14ac:dyDescent="0.25">
      <c r="A8645">
        <v>8645</v>
      </c>
      <c r="B8645" t="str">
        <f t="shared" si="135"/>
        <v>⇅</v>
      </c>
    </row>
    <row r="8646" spans="1:2" x14ac:dyDescent="0.25">
      <c r="A8646">
        <v>8646</v>
      </c>
      <c r="B8646" t="str">
        <f t="shared" si="135"/>
        <v>⇆</v>
      </c>
    </row>
    <row r="8647" spans="1:2" x14ac:dyDescent="0.25">
      <c r="A8647">
        <v>8647</v>
      </c>
      <c r="B8647" t="str">
        <f t="shared" si="135"/>
        <v>⇇</v>
      </c>
    </row>
    <row r="8648" spans="1:2" x14ac:dyDescent="0.25">
      <c r="A8648">
        <v>8648</v>
      </c>
      <c r="B8648" t="str">
        <f t="shared" si="135"/>
        <v>⇈</v>
      </c>
    </row>
    <row r="8649" spans="1:2" x14ac:dyDescent="0.25">
      <c r="A8649">
        <v>8649</v>
      </c>
      <c r="B8649" t="str">
        <f t="shared" si="135"/>
        <v>⇉</v>
      </c>
    </row>
    <row r="8650" spans="1:2" x14ac:dyDescent="0.25">
      <c r="A8650">
        <v>8650</v>
      </c>
      <c r="B8650" t="str">
        <f t="shared" si="135"/>
        <v>⇊</v>
      </c>
    </row>
    <row r="8651" spans="1:2" x14ac:dyDescent="0.25">
      <c r="A8651">
        <v>8651</v>
      </c>
      <c r="B8651" t="str">
        <f t="shared" si="135"/>
        <v>⇋</v>
      </c>
    </row>
    <row r="8652" spans="1:2" x14ac:dyDescent="0.25">
      <c r="A8652">
        <v>8652</v>
      </c>
      <c r="B8652" t="str">
        <f t="shared" si="135"/>
        <v>⇌</v>
      </c>
    </row>
    <row r="8653" spans="1:2" x14ac:dyDescent="0.25">
      <c r="A8653">
        <v>8653</v>
      </c>
      <c r="B8653" t="str">
        <f t="shared" si="135"/>
        <v>⇍</v>
      </c>
    </row>
    <row r="8654" spans="1:2" x14ac:dyDescent="0.25">
      <c r="A8654">
        <v>8654</v>
      </c>
      <c r="B8654" t="str">
        <f t="shared" si="135"/>
        <v>⇎</v>
      </c>
    </row>
    <row r="8655" spans="1:2" x14ac:dyDescent="0.25">
      <c r="A8655">
        <v>8655</v>
      </c>
      <c r="B8655" t="str">
        <f t="shared" si="135"/>
        <v>⇏</v>
      </c>
    </row>
    <row r="8656" spans="1:2" x14ac:dyDescent="0.25">
      <c r="A8656">
        <v>8656</v>
      </c>
      <c r="B8656" t="str">
        <f t="shared" si="135"/>
        <v>⇐</v>
      </c>
    </row>
    <row r="8657" spans="1:2" x14ac:dyDescent="0.25">
      <c r="A8657">
        <v>8657</v>
      </c>
      <c r="B8657" t="str">
        <f t="shared" si="135"/>
        <v>⇑</v>
      </c>
    </row>
    <row r="8658" spans="1:2" x14ac:dyDescent="0.25">
      <c r="A8658">
        <v>8658</v>
      </c>
      <c r="B8658" t="str">
        <f t="shared" si="135"/>
        <v>⇒</v>
      </c>
    </row>
    <row r="8659" spans="1:2" x14ac:dyDescent="0.25">
      <c r="A8659">
        <v>8659</v>
      </c>
      <c r="B8659" t="str">
        <f t="shared" si="135"/>
        <v>⇓</v>
      </c>
    </row>
    <row r="8660" spans="1:2" x14ac:dyDescent="0.25">
      <c r="A8660">
        <v>8660</v>
      </c>
      <c r="B8660" t="str">
        <f t="shared" si="135"/>
        <v>⇔</v>
      </c>
    </row>
    <row r="8661" spans="1:2" x14ac:dyDescent="0.25">
      <c r="A8661">
        <v>8661</v>
      </c>
      <c r="B8661" t="str">
        <f t="shared" si="135"/>
        <v>⇕</v>
      </c>
    </row>
    <row r="8662" spans="1:2" x14ac:dyDescent="0.25">
      <c r="A8662">
        <v>8662</v>
      </c>
      <c r="B8662" t="str">
        <f t="shared" si="135"/>
        <v>⇖</v>
      </c>
    </row>
    <row r="8663" spans="1:2" x14ac:dyDescent="0.25">
      <c r="A8663">
        <v>8663</v>
      </c>
      <c r="B8663" t="str">
        <f t="shared" si="135"/>
        <v>⇗</v>
      </c>
    </row>
    <row r="8664" spans="1:2" x14ac:dyDescent="0.25">
      <c r="A8664">
        <v>8664</v>
      </c>
      <c r="B8664" t="str">
        <f t="shared" si="135"/>
        <v>⇘</v>
      </c>
    </row>
    <row r="8665" spans="1:2" x14ac:dyDescent="0.25">
      <c r="A8665">
        <v>8665</v>
      </c>
      <c r="B8665" t="str">
        <f t="shared" si="135"/>
        <v>⇙</v>
      </c>
    </row>
    <row r="8666" spans="1:2" x14ac:dyDescent="0.25">
      <c r="A8666">
        <v>8666</v>
      </c>
      <c r="B8666" t="str">
        <f t="shared" si="135"/>
        <v>⇚</v>
      </c>
    </row>
    <row r="8667" spans="1:2" x14ac:dyDescent="0.25">
      <c r="A8667">
        <v>8667</v>
      </c>
      <c r="B8667" t="str">
        <f t="shared" si="135"/>
        <v>⇛</v>
      </c>
    </row>
    <row r="8668" spans="1:2" x14ac:dyDescent="0.25">
      <c r="A8668">
        <v>8668</v>
      </c>
      <c r="B8668" t="str">
        <f t="shared" si="135"/>
        <v>⇜</v>
      </c>
    </row>
    <row r="8669" spans="1:2" x14ac:dyDescent="0.25">
      <c r="A8669">
        <v>8669</v>
      </c>
      <c r="B8669" t="str">
        <f t="shared" si="135"/>
        <v>⇝</v>
      </c>
    </row>
    <row r="8670" spans="1:2" x14ac:dyDescent="0.25">
      <c r="A8670">
        <v>8670</v>
      </c>
      <c r="B8670" t="str">
        <f t="shared" si="135"/>
        <v>⇞</v>
      </c>
    </row>
    <row r="8671" spans="1:2" x14ac:dyDescent="0.25">
      <c r="A8671">
        <v>8671</v>
      </c>
      <c r="B8671" t="str">
        <f t="shared" si="135"/>
        <v>⇟</v>
      </c>
    </row>
    <row r="8672" spans="1:2" x14ac:dyDescent="0.25">
      <c r="A8672">
        <v>8672</v>
      </c>
      <c r="B8672" t="str">
        <f t="shared" si="135"/>
        <v>⇠</v>
      </c>
    </row>
    <row r="8673" spans="1:2" x14ac:dyDescent="0.25">
      <c r="A8673">
        <v>8673</v>
      </c>
      <c r="B8673" t="str">
        <f t="shared" si="135"/>
        <v>⇡</v>
      </c>
    </row>
    <row r="8674" spans="1:2" x14ac:dyDescent="0.25">
      <c r="A8674">
        <v>8674</v>
      </c>
      <c r="B8674" t="str">
        <f t="shared" si="135"/>
        <v>⇢</v>
      </c>
    </row>
    <row r="8675" spans="1:2" x14ac:dyDescent="0.25">
      <c r="A8675">
        <v>8675</v>
      </c>
      <c r="B8675" t="str">
        <f t="shared" si="135"/>
        <v>⇣</v>
      </c>
    </row>
    <row r="8676" spans="1:2" x14ac:dyDescent="0.25">
      <c r="A8676">
        <v>8676</v>
      </c>
      <c r="B8676" t="str">
        <f t="shared" si="135"/>
        <v>⇤</v>
      </c>
    </row>
    <row r="8677" spans="1:2" x14ac:dyDescent="0.25">
      <c r="A8677">
        <v>8677</v>
      </c>
      <c r="B8677" t="str">
        <f t="shared" si="135"/>
        <v>⇥</v>
      </c>
    </row>
    <row r="8678" spans="1:2" x14ac:dyDescent="0.25">
      <c r="A8678">
        <v>8678</v>
      </c>
      <c r="B8678" t="str">
        <f t="shared" si="135"/>
        <v>⇦</v>
      </c>
    </row>
    <row r="8679" spans="1:2" x14ac:dyDescent="0.25">
      <c r="A8679">
        <v>8679</v>
      </c>
      <c r="B8679" t="str">
        <f t="shared" si="135"/>
        <v>⇧</v>
      </c>
    </row>
    <row r="8680" spans="1:2" x14ac:dyDescent="0.25">
      <c r="A8680">
        <v>8680</v>
      </c>
      <c r="B8680" t="str">
        <f t="shared" si="135"/>
        <v>⇨</v>
      </c>
    </row>
    <row r="8681" spans="1:2" x14ac:dyDescent="0.25">
      <c r="A8681">
        <v>8681</v>
      </c>
      <c r="B8681" t="str">
        <f t="shared" si="135"/>
        <v>⇩</v>
      </c>
    </row>
    <row r="8682" spans="1:2" x14ac:dyDescent="0.25">
      <c r="A8682">
        <v>8682</v>
      </c>
      <c r="B8682" t="str">
        <f t="shared" si="135"/>
        <v>⇪</v>
      </c>
    </row>
    <row r="8683" spans="1:2" x14ac:dyDescent="0.25">
      <c r="A8683">
        <v>8683</v>
      </c>
      <c r="B8683" t="str">
        <f t="shared" si="135"/>
        <v>⇫</v>
      </c>
    </row>
    <row r="8684" spans="1:2" x14ac:dyDescent="0.25">
      <c r="A8684">
        <v>8684</v>
      </c>
      <c r="B8684" t="str">
        <f t="shared" si="135"/>
        <v>⇬</v>
      </c>
    </row>
    <row r="8685" spans="1:2" x14ac:dyDescent="0.25">
      <c r="A8685">
        <v>8685</v>
      </c>
      <c r="B8685" t="str">
        <f t="shared" si="135"/>
        <v>⇭</v>
      </c>
    </row>
    <row r="8686" spans="1:2" x14ac:dyDescent="0.25">
      <c r="A8686">
        <v>8686</v>
      </c>
      <c r="B8686" t="str">
        <f t="shared" si="135"/>
        <v>⇮</v>
      </c>
    </row>
    <row r="8687" spans="1:2" x14ac:dyDescent="0.25">
      <c r="A8687">
        <v>8687</v>
      </c>
      <c r="B8687" t="str">
        <f t="shared" si="135"/>
        <v>⇯</v>
      </c>
    </row>
    <row r="8688" spans="1:2" x14ac:dyDescent="0.25">
      <c r="A8688">
        <v>8688</v>
      </c>
      <c r="B8688" t="str">
        <f t="shared" si="135"/>
        <v>⇰</v>
      </c>
    </row>
    <row r="8689" spans="1:2" x14ac:dyDescent="0.25">
      <c r="A8689">
        <v>8689</v>
      </c>
      <c r="B8689" t="str">
        <f t="shared" si="135"/>
        <v>⇱</v>
      </c>
    </row>
    <row r="8690" spans="1:2" x14ac:dyDescent="0.25">
      <c r="A8690">
        <v>8690</v>
      </c>
      <c r="B8690" t="str">
        <f t="shared" si="135"/>
        <v>⇲</v>
      </c>
    </row>
    <row r="8691" spans="1:2" x14ac:dyDescent="0.25">
      <c r="A8691">
        <v>8691</v>
      </c>
      <c r="B8691" t="str">
        <f t="shared" si="135"/>
        <v>⇳</v>
      </c>
    </row>
    <row r="8692" spans="1:2" x14ac:dyDescent="0.25">
      <c r="A8692">
        <v>8692</v>
      </c>
      <c r="B8692" t="str">
        <f t="shared" si="135"/>
        <v>⇴</v>
      </c>
    </row>
    <row r="8693" spans="1:2" x14ac:dyDescent="0.25">
      <c r="A8693">
        <v>8693</v>
      </c>
      <c r="B8693" t="str">
        <f t="shared" si="135"/>
        <v>⇵</v>
      </c>
    </row>
    <row r="8694" spans="1:2" x14ac:dyDescent="0.25">
      <c r="A8694">
        <v>8694</v>
      </c>
      <c r="B8694" t="str">
        <f t="shared" si="135"/>
        <v>⇶</v>
      </c>
    </row>
    <row r="8695" spans="1:2" x14ac:dyDescent="0.25">
      <c r="A8695">
        <v>8695</v>
      </c>
      <c r="B8695" t="str">
        <f t="shared" si="135"/>
        <v>⇷</v>
      </c>
    </row>
    <row r="8696" spans="1:2" x14ac:dyDescent="0.25">
      <c r="A8696">
        <v>8696</v>
      </c>
      <c r="B8696" t="str">
        <f t="shared" si="135"/>
        <v>⇸</v>
      </c>
    </row>
    <row r="8697" spans="1:2" x14ac:dyDescent="0.25">
      <c r="A8697">
        <v>8697</v>
      </c>
      <c r="B8697" t="str">
        <f t="shared" si="135"/>
        <v>⇹</v>
      </c>
    </row>
    <row r="8698" spans="1:2" x14ac:dyDescent="0.25">
      <c r="A8698">
        <v>8698</v>
      </c>
      <c r="B8698" t="str">
        <f t="shared" si="135"/>
        <v>⇺</v>
      </c>
    </row>
    <row r="8699" spans="1:2" x14ac:dyDescent="0.25">
      <c r="A8699">
        <v>8699</v>
      </c>
      <c r="B8699" t="str">
        <f t="shared" si="135"/>
        <v>⇻</v>
      </c>
    </row>
    <row r="8700" spans="1:2" x14ac:dyDescent="0.25">
      <c r="A8700">
        <v>8700</v>
      </c>
      <c r="B8700" t="str">
        <f t="shared" si="135"/>
        <v>⇼</v>
      </c>
    </row>
    <row r="8701" spans="1:2" x14ac:dyDescent="0.25">
      <c r="A8701">
        <v>8701</v>
      </c>
      <c r="B8701" t="str">
        <f t="shared" si="135"/>
        <v>⇽</v>
      </c>
    </row>
    <row r="8702" spans="1:2" x14ac:dyDescent="0.25">
      <c r="A8702">
        <v>8702</v>
      </c>
      <c r="B8702" t="str">
        <f t="shared" si="135"/>
        <v>⇾</v>
      </c>
    </row>
    <row r="8703" spans="1:2" x14ac:dyDescent="0.25">
      <c r="A8703">
        <v>8703</v>
      </c>
      <c r="B8703" t="str">
        <f t="shared" si="135"/>
        <v>⇿</v>
      </c>
    </row>
    <row r="8704" spans="1:2" x14ac:dyDescent="0.25">
      <c r="A8704">
        <v>8704</v>
      </c>
      <c r="B8704" t="str">
        <f t="shared" si="135"/>
        <v>∀</v>
      </c>
    </row>
    <row r="8705" spans="1:2" x14ac:dyDescent="0.25">
      <c r="A8705">
        <v>8705</v>
      </c>
      <c r="B8705" t="str">
        <f t="shared" si="135"/>
        <v>∁</v>
      </c>
    </row>
    <row r="8706" spans="1:2" x14ac:dyDescent="0.25">
      <c r="A8706">
        <v>8706</v>
      </c>
      <c r="B8706" t="str">
        <f t="shared" ref="B8706:B8769" si="136">_xlfn.UNICHAR(A8706)</f>
        <v>∂</v>
      </c>
    </row>
    <row r="8707" spans="1:2" x14ac:dyDescent="0.25">
      <c r="A8707">
        <v>8707</v>
      </c>
      <c r="B8707" t="str">
        <f t="shared" si="136"/>
        <v>∃</v>
      </c>
    </row>
    <row r="8708" spans="1:2" x14ac:dyDescent="0.25">
      <c r="A8708">
        <v>8708</v>
      </c>
      <c r="B8708" t="str">
        <f t="shared" si="136"/>
        <v>∄</v>
      </c>
    </row>
    <row r="8709" spans="1:2" x14ac:dyDescent="0.25">
      <c r="A8709">
        <v>8709</v>
      </c>
      <c r="B8709" t="str">
        <f t="shared" si="136"/>
        <v>∅</v>
      </c>
    </row>
    <row r="8710" spans="1:2" x14ac:dyDescent="0.25">
      <c r="A8710">
        <v>8710</v>
      </c>
      <c r="B8710" t="str">
        <f t="shared" si="136"/>
        <v>∆</v>
      </c>
    </row>
    <row r="8711" spans="1:2" x14ac:dyDescent="0.25">
      <c r="A8711">
        <v>8711</v>
      </c>
      <c r="B8711" t="str">
        <f t="shared" si="136"/>
        <v>∇</v>
      </c>
    </row>
    <row r="8712" spans="1:2" x14ac:dyDescent="0.25">
      <c r="A8712">
        <v>8712</v>
      </c>
      <c r="B8712" t="str">
        <f t="shared" si="136"/>
        <v>∈</v>
      </c>
    </row>
    <row r="8713" spans="1:2" x14ac:dyDescent="0.25">
      <c r="A8713">
        <v>8713</v>
      </c>
      <c r="B8713" t="str">
        <f t="shared" si="136"/>
        <v>∉</v>
      </c>
    </row>
    <row r="8714" spans="1:2" x14ac:dyDescent="0.25">
      <c r="A8714">
        <v>8714</v>
      </c>
      <c r="B8714" t="str">
        <f t="shared" si="136"/>
        <v>∊</v>
      </c>
    </row>
    <row r="8715" spans="1:2" x14ac:dyDescent="0.25">
      <c r="A8715">
        <v>8715</v>
      </c>
      <c r="B8715" t="str">
        <f t="shared" si="136"/>
        <v>∋</v>
      </c>
    </row>
    <row r="8716" spans="1:2" x14ac:dyDescent="0.25">
      <c r="A8716">
        <v>8716</v>
      </c>
      <c r="B8716" t="str">
        <f t="shared" si="136"/>
        <v>∌</v>
      </c>
    </row>
    <row r="8717" spans="1:2" x14ac:dyDescent="0.25">
      <c r="A8717">
        <v>8717</v>
      </c>
      <c r="B8717" t="str">
        <f t="shared" si="136"/>
        <v>∍</v>
      </c>
    </row>
    <row r="8718" spans="1:2" x14ac:dyDescent="0.25">
      <c r="A8718">
        <v>8718</v>
      </c>
      <c r="B8718" t="str">
        <f t="shared" si="136"/>
        <v>∎</v>
      </c>
    </row>
    <row r="8719" spans="1:2" x14ac:dyDescent="0.25">
      <c r="A8719">
        <v>8719</v>
      </c>
      <c r="B8719" t="str">
        <f t="shared" si="136"/>
        <v>∏</v>
      </c>
    </row>
    <row r="8720" spans="1:2" x14ac:dyDescent="0.25">
      <c r="A8720">
        <v>8720</v>
      </c>
      <c r="B8720" t="str">
        <f t="shared" si="136"/>
        <v>∐</v>
      </c>
    </row>
    <row r="8721" spans="1:2" x14ac:dyDescent="0.25">
      <c r="A8721">
        <v>8721</v>
      </c>
      <c r="B8721" t="str">
        <f t="shared" si="136"/>
        <v>∑</v>
      </c>
    </row>
    <row r="8722" spans="1:2" x14ac:dyDescent="0.25">
      <c r="A8722">
        <v>8722</v>
      </c>
      <c r="B8722" t="str">
        <f t="shared" si="136"/>
        <v>−</v>
      </c>
    </row>
    <row r="8723" spans="1:2" x14ac:dyDescent="0.25">
      <c r="A8723">
        <v>8723</v>
      </c>
      <c r="B8723" t="str">
        <f t="shared" si="136"/>
        <v>∓</v>
      </c>
    </row>
    <row r="8724" spans="1:2" x14ac:dyDescent="0.25">
      <c r="A8724">
        <v>8724</v>
      </c>
      <c r="B8724" t="str">
        <f t="shared" si="136"/>
        <v>∔</v>
      </c>
    </row>
    <row r="8725" spans="1:2" x14ac:dyDescent="0.25">
      <c r="A8725">
        <v>8725</v>
      </c>
      <c r="B8725" t="str">
        <f t="shared" si="136"/>
        <v>∕</v>
      </c>
    </row>
    <row r="8726" spans="1:2" x14ac:dyDescent="0.25">
      <c r="A8726">
        <v>8726</v>
      </c>
      <c r="B8726" t="str">
        <f t="shared" si="136"/>
        <v>∖</v>
      </c>
    </row>
    <row r="8727" spans="1:2" x14ac:dyDescent="0.25">
      <c r="A8727">
        <v>8727</v>
      </c>
      <c r="B8727" t="str">
        <f t="shared" si="136"/>
        <v>∗</v>
      </c>
    </row>
    <row r="8728" spans="1:2" x14ac:dyDescent="0.25">
      <c r="A8728">
        <v>8728</v>
      </c>
      <c r="B8728" t="str">
        <f t="shared" si="136"/>
        <v>∘</v>
      </c>
    </row>
    <row r="8729" spans="1:2" x14ac:dyDescent="0.25">
      <c r="A8729">
        <v>8729</v>
      </c>
      <c r="B8729" t="str">
        <f t="shared" si="136"/>
        <v>∙</v>
      </c>
    </row>
    <row r="8730" spans="1:2" x14ac:dyDescent="0.25">
      <c r="A8730">
        <v>8730</v>
      </c>
      <c r="B8730" t="str">
        <f t="shared" si="136"/>
        <v>√</v>
      </c>
    </row>
    <row r="8731" spans="1:2" x14ac:dyDescent="0.25">
      <c r="A8731">
        <v>8731</v>
      </c>
      <c r="B8731" t="str">
        <f t="shared" si="136"/>
        <v>∛</v>
      </c>
    </row>
    <row r="8732" spans="1:2" x14ac:dyDescent="0.25">
      <c r="A8732">
        <v>8732</v>
      </c>
      <c r="B8732" t="str">
        <f t="shared" si="136"/>
        <v>∜</v>
      </c>
    </row>
    <row r="8733" spans="1:2" x14ac:dyDescent="0.25">
      <c r="A8733">
        <v>8733</v>
      </c>
      <c r="B8733" t="str">
        <f t="shared" si="136"/>
        <v>∝</v>
      </c>
    </row>
    <row r="8734" spans="1:2" x14ac:dyDescent="0.25">
      <c r="A8734">
        <v>8734</v>
      </c>
      <c r="B8734" t="str">
        <f t="shared" si="136"/>
        <v>∞</v>
      </c>
    </row>
    <row r="8735" spans="1:2" x14ac:dyDescent="0.25">
      <c r="A8735">
        <v>8735</v>
      </c>
      <c r="B8735" t="str">
        <f t="shared" si="136"/>
        <v>∟</v>
      </c>
    </row>
    <row r="8736" spans="1:2" x14ac:dyDescent="0.25">
      <c r="A8736">
        <v>8736</v>
      </c>
      <c r="B8736" t="str">
        <f t="shared" si="136"/>
        <v>∠</v>
      </c>
    </row>
    <row r="8737" spans="1:2" x14ac:dyDescent="0.25">
      <c r="A8737">
        <v>8737</v>
      </c>
      <c r="B8737" t="str">
        <f t="shared" si="136"/>
        <v>∡</v>
      </c>
    </row>
    <row r="8738" spans="1:2" x14ac:dyDescent="0.25">
      <c r="A8738">
        <v>8738</v>
      </c>
      <c r="B8738" t="str">
        <f t="shared" si="136"/>
        <v>∢</v>
      </c>
    </row>
    <row r="8739" spans="1:2" x14ac:dyDescent="0.25">
      <c r="A8739">
        <v>8739</v>
      </c>
      <c r="B8739" t="str">
        <f t="shared" si="136"/>
        <v>∣</v>
      </c>
    </row>
    <row r="8740" spans="1:2" x14ac:dyDescent="0.25">
      <c r="A8740">
        <v>8740</v>
      </c>
      <c r="B8740" t="str">
        <f t="shared" si="136"/>
        <v>∤</v>
      </c>
    </row>
    <row r="8741" spans="1:2" x14ac:dyDescent="0.25">
      <c r="A8741">
        <v>8741</v>
      </c>
      <c r="B8741" t="str">
        <f t="shared" si="136"/>
        <v>∥</v>
      </c>
    </row>
    <row r="8742" spans="1:2" x14ac:dyDescent="0.25">
      <c r="A8742">
        <v>8742</v>
      </c>
      <c r="B8742" t="str">
        <f t="shared" si="136"/>
        <v>∦</v>
      </c>
    </row>
    <row r="8743" spans="1:2" x14ac:dyDescent="0.25">
      <c r="A8743">
        <v>8743</v>
      </c>
      <c r="B8743" t="str">
        <f t="shared" si="136"/>
        <v>∧</v>
      </c>
    </row>
    <row r="8744" spans="1:2" x14ac:dyDescent="0.25">
      <c r="A8744">
        <v>8744</v>
      </c>
      <c r="B8744" t="str">
        <f t="shared" si="136"/>
        <v>∨</v>
      </c>
    </row>
    <row r="8745" spans="1:2" x14ac:dyDescent="0.25">
      <c r="A8745">
        <v>8745</v>
      </c>
      <c r="B8745" t="str">
        <f t="shared" si="136"/>
        <v>∩</v>
      </c>
    </row>
    <row r="8746" spans="1:2" x14ac:dyDescent="0.25">
      <c r="A8746">
        <v>8746</v>
      </c>
      <c r="B8746" t="str">
        <f t="shared" si="136"/>
        <v>∪</v>
      </c>
    </row>
    <row r="8747" spans="1:2" x14ac:dyDescent="0.25">
      <c r="A8747">
        <v>8747</v>
      </c>
      <c r="B8747" t="str">
        <f t="shared" si="136"/>
        <v>∫</v>
      </c>
    </row>
    <row r="8748" spans="1:2" x14ac:dyDescent="0.25">
      <c r="A8748">
        <v>8748</v>
      </c>
      <c r="B8748" t="str">
        <f t="shared" si="136"/>
        <v>∬</v>
      </c>
    </row>
    <row r="8749" spans="1:2" x14ac:dyDescent="0.25">
      <c r="A8749">
        <v>8749</v>
      </c>
      <c r="B8749" t="str">
        <f t="shared" si="136"/>
        <v>∭</v>
      </c>
    </row>
    <row r="8750" spans="1:2" x14ac:dyDescent="0.25">
      <c r="A8750">
        <v>8750</v>
      </c>
      <c r="B8750" t="str">
        <f t="shared" si="136"/>
        <v>∮</v>
      </c>
    </row>
    <row r="8751" spans="1:2" x14ac:dyDescent="0.25">
      <c r="A8751">
        <v>8751</v>
      </c>
      <c r="B8751" t="str">
        <f t="shared" si="136"/>
        <v>∯</v>
      </c>
    </row>
    <row r="8752" spans="1:2" x14ac:dyDescent="0.25">
      <c r="A8752">
        <v>8752</v>
      </c>
      <c r="B8752" t="str">
        <f t="shared" si="136"/>
        <v>∰</v>
      </c>
    </row>
    <row r="8753" spans="1:2" x14ac:dyDescent="0.25">
      <c r="A8753">
        <v>8753</v>
      </c>
      <c r="B8753" t="str">
        <f t="shared" si="136"/>
        <v>∱</v>
      </c>
    </row>
    <row r="8754" spans="1:2" x14ac:dyDescent="0.25">
      <c r="A8754">
        <v>8754</v>
      </c>
      <c r="B8754" t="str">
        <f t="shared" si="136"/>
        <v>∲</v>
      </c>
    </row>
    <row r="8755" spans="1:2" x14ac:dyDescent="0.25">
      <c r="A8755">
        <v>8755</v>
      </c>
      <c r="B8755" t="str">
        <f t="shared" si="136"/>
        <v>∳</v>
      </c>
    </row>
    <row r="8756" spans="1:2" x14ac:dyDescent="0.25">
      <c r="A8756">
        <v>8756</v>
      </c>
      <c r="B8756" t="str">
        <f t="shared" si="136"/>
        <v>∴</v>
      </c>
    </row>
    <row r="8757" spans="1:2" x14ac:dyDescent="0.25">
      <c r="A8757">
        <v>8757</v>
      </c>
      <c r="B8757" t="str">
        <f t="shared" si="136"/>
        <v>∵</v>
      </c>
    </row>
    <row r="8758" spans="1:2" x14ac:dyDescent="0.25">
      <c r="A8758">
        <v>8758</v>
      </c>
      <c r="B8758" t="str">
        <f t="shared" si="136"/>
        <v>∶</v>
      </c>
    </row>
    <row r="8759" spans="1:2" x14ac:dyDescent="0.25">
      <c r="A8759">
        <v>8759</v>
      </c>
      <c r="B8759" t="str">
        <f t="shared" si="136"/>
        <v>∷</v>
      </c>
    </row>
    <row r="8760" spans="1:2" x14ac:dyDescent="0.25">
      <c r="A8760">
        <v>8760</v>
      </c>
      <c r="B8760" t="str">
        <f t="shared" si="136"/>
        <v>∸</v>
      </c>
    </row>
    <row r="8761" spans="1:2" x14ac:dyDescent="0.25">
      <c r="A8761">
        <v>8761</v>
      </c>
      <c r="B8761" t="str">
        <f t="shared" si="136"/>
        <v>∹</v>
      </c>
    </row>
    <row r="8762" spans="1:2" x14ac:dyDescent="0.25">
      <c r="A8762">
        <v>8762</v>
      </c>
      <c r="B8762" t="str">
        <f t="shared" si="136"/>
        <v>∺</v>
      </c>
    </row>
    <row r="8763" spans="1:2" x14ac:dyDescent="0.25">
      <c r="A8763">
        <v>8763</v>
      </c>
      <c r="B8763" t="str">
        <f t="shared" si="136"/>
        <v>∻</v>
      </c>
    </row>
    <row r="8764" spans="1:2" x14ac:dyDescent="0.25">
      <c r="A8764">
        <v>8764</v>
      </c>
      <c r="B8764" t="str">
        <f t="shared" si="136"/>
        <v>∼</v>
      </c>
    </row>
    <row r="8765" spans="1:2" x14ac:dyDescent="0.25">
      <c r="A8765">
        <v>8765</v>
      </c>
      <c r="B8765" t="str">
        <f t="shared" si="136"/>
        <v>∽</v>
      </c>
    </row>
    <row r="8766" spans="1:2" x14ac:dyDescent="0.25">
      <c r="A8766">
        <v>8766</v>
      </c>
      <c r="B8766" t="str">
        <f t="shared" si="136"/>
        <v>∾</v>
      </c>
    </row>
    <row r="8767" spans="1:2" x14ac:dyDescent="0.25">
      <c r="A8767">
        <v>8767</v>
      </c>
      <c r="B8767" t="str">
        <f t="shared" si="136"/>
        <v>∿</v>
      </c>
    </row>
    <row r="8768" spans="1:2" x14ac:dyDescent="0.25">
      <c r="A8768">
        <v>8768</v>
      </c>
      <c r="B8768" t="str">
        <f t="shared" si="136"/>
        <v>≀</v>
      </c>
    </row>
    <row r="8769" spans="1:2" x14ac:dyDescent="0.25">
      <c r="A8769">
        <v>8769</v>
      </c>
      <c r="B8769" t="str">
        <f t="shared" si="136"/>
        <v>≁</v>
      </c>
    </row>
    <row r="8770" spans="1:2" x14ac:dyDescent="0.25">
      <c r="A8770">
        <v>8770</v>
      </c>
      <c r="B8770" t="str">
        <f t="shared" ref="B8770:B8833" si="137">_xlfn.UNICHAR(A8770)</f>
        <v>≂</v>
      </c>
    </row>
    <row r="8771" spans="1:2" x14ac:dyDescent="0.25">
      <c r="A8771">
        <v>8771</v>
      </c>
      <c r="B8771" t="str">
        <f t="shared" si="137"/>
        <v>≃</v>
      </c>
    </row>
    <row r="8772" spans="1:2" x14ac:dyDescent="0.25">
      <c r="A8772">
        <v>8772</v>
      </c>
      <c r="B8772" t="str">
        <f t="shared" si="137"/>
        <v>≄</v>
      </c>
    </row>
    <row r="8773" spans="1:2" x14ac:dyDescent="0.25">
      <c r="A8773">
        <v>8773</v>
      </c>
      <c r="B8773" t="str">
        <f t="shared" si="137"/>
        <v>≅</v>
      </c>
    </row>
    <row r="8774" spans="1:2" x14ac:dyDescent="0.25">
      <c r="A8774">
        <v>8774</v>
      </c>
      <c r="B8774" t="str">
        <f t="shared" si="137"/>
        <v>≆</v>
      </c>
    </row>
    <row r="8775" spans="1:2" x14ac:dyDescent="0.25">
      <c r="A8775">
        <v>8775</v>
      </c>
      <c r="B8775" t="str">
        <f t="shared" si="137"/>
        <v>≇</v>
      </c>
    </row>
    <row r="8776" spans="1:2" x14ac:dyDescent="0.25">
      <c r="A8776">
        <v>8776</v>
      </c>
      <c r="B8776" t="str">
        <f t="shared" si="137"/>
        <v>≈</v>
      </c>
    </row>
    <row r="8777" spans="1:2" x14ac:dyDescent="0.25">
      <c r="A8777">
        <v>8777</v>
      </c>
      <c r="B8777" t="str">
        <f t="shared" si="137"/>
        <v>≉</v>
      </c>
    </row>
    <row r="8778" spans="1:2" x14ac:dyDescent="0.25">
      <c r="A8778">
        <v>8778</v>
      </c>
      <c r="B8778" t="str">
        <f t="shared" si="137"/>
        <v>≊</v>
      </c>
    </row>
    <row r="8779" spans="1:2" x14ac:dyDescent="0.25">
      <c r="A8779">
        <v>8779</v>
      </c>
      <c r="B8779" t="str">
        <f t="shared" si="137"/>
        <v>≋</v>
      </c>
    </row>
    <row r="8780" spans="1:2" x14ac:dyDescent="0.25">
      <c r="A8780">
        <v>8780</v>
      </c>
      <c r="B8780" t="str">
        <f t="shared" si="137"/>
        <v>≌</v>
      </c>
    </row>
    <row r="8781" spans="1:2" x14ac:dyDescent="0.25">
      <c r="A8781">
        <v>8781</v>
      </c>
      <c r="B8781" t="str">
        <f t="shared" si="137"/>
        <v>≍</v>
      </c>
    </row>
    <row r="8782" spans="1:2" x14ac:dyDescent="0.25">
      <c r="A8782">
        <v>8782</v>
      </c>
      <c r="B8782" t="str">
        <f t="shared" si="137"/>
        <v>≎</v>
      </c>
    </row>
    <row r="8783" spans="1:2" x14ac:dyDescent="0.25">
      <c r="A8783">
        <v>8783</v>
      </c>
      <c r="B8783" t="str">
        <f t="shared" si="137"/>
        <v>≏</v>
      </c>
    </row>
    <row r="8784" spans="1:2" x14ac:dyDescent="0.25">
      <c r="A8784">
        <v>8784</v>
      </c>
      <c r="B8784" t="str">
        <f t="shared" si="137"/>
        <v>≐</v>
      </c>
    </row>
    <row r="8785" spans="1:2" x14ac:dyDescent="0.25">
      <c r="A8785">
        <v>8785</v>
      </c>
      <c r="B8785" t="str">
        <f t="shared" si="137"/>
        <v>≑</v>
      </c>
    </row>
    <row r="8786" spans="1:2" x14ac:dyDescent="0.25">
      <c r="A8786">
        <v>8786</v>
      </c>
      <c r="B8786" t="str">
        <f t="shared" si="137"/>
        <v>≒</v>
      </c>
    </row>
    <row r="8787" spans="1:2" x14ac:dyDescent="0.25">
      <c r="A8787">
        <v>8787</v>
      </c>
      <c r="B8787" t="str">
        <f t="shared" si="137"/>
        <v>≓</v>
      </c>
    </row>
    <row r="8788" spans="1:2" x14ac:dyDescent="0.25">
      <c r="A8788">
        <v>8788</v>
      </c>
      <c r="B8788" t="str">
        <f t="shared" si="137"/>
        <v>≔</v>
      </c>
    </row>
    <row r="8789" spans="1:2" x14ac:dyDescent="0.25">
      <c r="A8789">
        <v>8789</v>
      </c>
      <c r="B8789" t="str">
        <f t="shared" si="137"/>
        <v>≕</v>
      </c>
    </row>
    <row r="8790" spans="1:2" x14ac:dyDescent="0.25">
      <c r="A8790">
        <v>8790</v>
      </c>
      <c r="B8790" t="str">
        <f t="shared" si="137"/>
        <v>≖</v>
      </c>
    </row>
    <row r="8791" spans="1:2" x14ac:dyDescent="0.25">
      <c r="A8791">
        <v>8791</v>
      </c>
      <c r="B8791" t="str">
        <f t="shared" si="137"/>
        <v>≗</v>
      </c>
    </row>
    <row r="8792" spans="1:2" x14ac:dyDescent="0.25">
      <c r="A8792">
        <v>8792</v>
      </c>
      <c r="B8792" t="str">
        <f t="shared" si="137"/>
        <v>≘</v>
      </c>
    </row>
    <row r="8793" spans="1:2" x14ac:dyDescent="0.25">
      <c r="A8793">
        <v>8793</v>
      </c>
      <c r="B8793" t="str">
        <f t="shared" si="137"/>
        <v>≙</v>
      </c>
    </row>
    <row r="8794" spans="1:2" x14ac:dyDescent="0.25">
      <c r="A8794">
        <v>8794</v>
      </c>
      <c r="B8794" t="str">
        <f t="shared" si="137"/>
        <v>≚</v>
      </c>
    </row>
    <row r="8795" spans="1:2" x14ac:dyDescent="0.25">
      <c r="A8795">
        <v>8795</v>
      </c>
      <c r="B8795" t="str">
        <f t="shared" si="137"/>
        <v>≛</v>
      </c>
    </row>
    <row r="8796" spans="1:2" x14ac:dyDescent="0.25">
      <c r="A8796">
        <v>8796</v>
      </c>
      <c r="B8796" t="str">
        <f t="shared" si="137"/>
        <v>≜</v>
      </c>
    </row>
    <row r="8797" spans="1:2" x14ac:dyDescent="0.25">
      <c r="A8797">
        <v>8797</v>
      </c>
      <c r="B8797" t="str">
        <f t="shared" si="137"/>
        <v>≝</v>
      </c>
    </row>
    <row r="8798" spans="1:2" x14ac:dyDescent="0.25">
      <c r="A8798">
        <v>8798</v>
      </c>
      <c r="B8798" t="str">
        <f t="shared" si="137"/>
        <v>≞</v>
      </c>
    </row>
    <row r="8799" spans="1:2" x14ac:dyDescent="0.25">
      <c r="A8799">
        <v>8799</v>
      </c>
      <c r="B8799" t="str">
        <f t="shared" si="137"/>
        <v>≟</v>
      </c>
    </row>
    <row r="8800" spans="1:2" x14ac:dyDescent="0.25">
      <c r="A8800">
        <v>8800</v>
      </c>
      <c r="B8800" t="str">
        <f t="shared" si="137"/>
        <v>≠</v>
      </c>
    </row>
    <row r="8801" spans="1:2" x14ac:dyDescent="0.25">
      <c r="A8801">
        <v>8801</v>
      </c>
      <c r="B8801" t="str">
        <f t="shared" si="137"/>
        <v>≡</v>
      </c>
    </row>
    <row r="8802" spans="1:2" x14ac:dyDescent="0.25">
      <c r="A8802">
        <v>8802</v>
      </c>
      <c r="B8802" t="str">
        <f t="shared" si="137"/>
        <v>≢</v>
      </c>
    </row>
    <row r="8803" spans="1:2" x14ac:dyDescent="0.25">
      <c r="A8803">
        <v>8803</v>
      </c>
      <c r="B8803" t="str">
        <f t="shared" si="137"/>
        <v>≣</v>
      </c>
    </row>
    <row r="8804" spans="1:2" x14ac:dyDescent="0.25">
      <c r="A8804">
        <v>8804</v>
      </c>
      <c r="B8804" t="str">
        <f t="shared" si="137"/>
        <v>≤</v>
      </c>
    </row>
    <row r="8805" spans="1:2" x14ac:dyDescent="0.25">
      <c r="A8805">
        <v>8805</v>
      </c>
      <c r="B8805" t="str">
        <f t="shared" si="137"/>
        <v>≥</v>
      </c>
    </row>
    <row r="8806" spans="1:2" x14ac:dyDescent="0.25">
      <c r="A8806">
        <v>8806</v>
      </c>
      <c r="B8806" t="str">
        <f t="shared" si="137"/>
        <v>≦</v>
      </c>
    </row>
    <row r="8807" spans="1:2" x14ac:dyDescent="0.25">
      <c r="A8807">
        <v>8807</v>
      </c>
      <c r="B8807" t="str">
        <f t="shared" si="137"/>
        <v>≧</v>
      </c>
    </row>
    <row r="8808" spans="1:2" x14ac:dyDescent="0.25">
      <c r="A8808">
        <v>8808</v>
      </c>
      <c r="B8808" t="str">
        <f t="shared" si="137"/>
        <v>≨</v>
      </c>
    </row>
    <row r="8809" spans="1:2" x14ac:dyDescent="0.25">
      <c r="A8809">
        <v>8809</v>
      </c>
      <c r="B8809" t="str">
        <f t="shared" si="137"/>
        <v>≩</v>
      </c>
    </row>
    <row r="8810" spans="1:2" x14ac:dyDescent="0.25">
      <c r="A8810">
        <v>8810</v>
      </c>
      <c r="B8810" t="str">
        <f t="shared" si="137"/>
        <v>≪</v>
      </c>
    </row>
    <row r="8811" spans="1:2" x14ac:dyDescent="0.25">
      <c r="A8811">
        <v>8811</v>
      </c>
      <c r="B8811" t="str">
        <f t="shared" si="137"/>
        <v>≫</v>
      </c>
    </row>
    <row r="8812" spans="1:2" x14ac:dyDescent="0.25">
      <c r="A8812">
        <v>8812</v>
      </c>
      <c r="B8812" t="str">
        <f t="shared" si="137"/>
        <v>≬</v>
      </c>
    </row>
    <row r="8813" spans="1:2" x14ac:dyDescent="0.25">
      <c r="A8813">
        <v>8813</v>
      </c>
      <c r="B8813" t="str">
        <f t="shared" si="137"/>
        <v>≭</v>
      </c>
    </row>
    <row r="8814" spans="1:2" x14ac:dyDescent="0.25">
      <c r="A8814">
        <v>8814</v>
      </c>
      <c r="B8814" t="str">
        <f t="shared" si="137"/>
        <v>≮</v>
      </c>
    </row>
    <row r="8815" spans="1:2" x14ac:dyDescent="0.25">
      <c r="A8815">
        <v>8815</v>
      </c>
      <c r="B8815" t="str">
        <f t="shared" si="137"/>
        <v>≯</v>
      </c>
    </row>
    <row r="8816" spans="1:2" x14ac:dyDescent="0.25">
      <c r="A8816">
        <v>8816</v>
      </c>
      <c r="B8816" t="str">
        <f t="shared" si="137"/>
        <v>≰</v>
      </c>
    </row>
    <row r="8817" spans="1:2" x14ac:dyDescent="0.25">
      <c r="A8817">
        <v>8817</v>
      </c>
      <c r="B8817" t="str">
        <f t="shared" si="137"/>
        <v>≱</v>
      </c>
    </row>
    <row r="8818" spans="1:2" x14ac:dyDescent="0.25">
      <c r="A8818">
        <v>8818</v>
      </c>
      <c r="B8818" t="str">
        <f t="shared" si="137"/>
        <v>≲</v>
      </c>
    </row>
    <row r="8819" spans="1:2" x14ac:dyDescent="0.25">
      <c r="A8819">
        <v>8819</v>
      </c>
      <c r="B8819" t="str">
        <f t="shared" si="137"/>
        <v>≳</v>
      </c>
    </row>
    <row r="8820" spans="1:2" x14ac:dyDescent="0.25">
      <c r="A8820">
        <v>8820</v>
      </c>
      <c r="B8820" t="str">
        <f t="shared" si="137"/>
        <v>≴</v>
      </c>
    </row>
    <row r="8821" spans="1:2" x14ac:dyDescent="0.25">
      <c r="A8821">
        <v>8821</v>
      </c>
      <c r="B8821" t="str">
        <f t="shared" si="137"/>
        <v>≵</v>
      </c>
    </row>
    <row r="8822" spans="1:2" x14ac:dyDescent="0.25">
      <c r="A8822">
        <v>8822</v>
      </c>
      <c r="B8822" t="str">
        <f t="shared" si="137"/>
        <v>≶</v>
      </c>
    </row>
    <row r="8823" spans="1:2" x14ac:dyDescent="0.25">
      <c r="A8823">
        <v>8823</v>
      </c>
      <c r="B8823" t="str">
        <f t="shared" si="137"/>
        <v>≷</v>
      </c>
    </row>
    <row r="8824" spans="1:2" x14ac:dyDescent="0.25">
      <c r="A8824">
        <v>8824</v>
      </c>
      <c r="B8824" t="str">
        <f t="shared" si="137"/>
        <v>≸</v>
      </c>
    </row>
    <row r="8825" spans="1:2" x14ac:dyDescent="0.25">
      <c r="A8825">
        <v>8825</v>
      </c>
      <c r="B8825" t="str">
        <f t="shared" si="137"/>
        <v>≹</v>
      </c>
    </row>
    <row r="8826" spans="1:2" x14ac:dyDescent="0.25">
      <c r="A8826">
        <v>8826</v>
      </c>
      <c r="B8826" t="str">
        <f t="shared" si="137"/>
        <v>≺</v>
      </c>
    </row>
    <row r="8827" spans="1:2" x14ac:dyDescent="0.25">
      <c r="A8827">
        <v>8827</v>
      </c>
      <c r="B8827" t="str">
        <f t="shared" si="137"/>
        <v>≻</v>
      </c>
    </row>
    <row r="8828" spans="1:2" x14ac:dyDescent="0.25">
      <c r="A8828">
        <v>8828</v>
      </c>
      <c r="B8828" t="str">
        <f t="shared" si="137"/>
        <v>≼</v>
      </c>
    </row>
    <row r="8829" spans="1:2" x14ac:dyDescent="0.25">
      <c r="A8829">
        <v>8829</v>
      </c>
      <c r="B8829" t="str">
        <f t="shared" si="137"/>
        <v>≽</v>
      </c>
    </row>
    <row r="8830" spans="1:2" x14ac:dyDescent="0.25">
      <c r="A8830">
        <v>8830</v>
      </c>
      <c r="B8830" t="str">
        <f t="shared" si="137"/>
        <v>≾</v>
      </c>
    </row>
    <row r="8831" spans="1:2" x14ac:dyDescent="0.25">
      <c r="A8831">
        <v>8831</v>
      </c>
      <c r="B8831" t="str">
        <f t="shared" si="137"/>
        <v>≿</v>
      </c>
    </row>
    <row r="8832" spans="1:2" x14ac:dyDescent="0.25">
      <c r="A8832">
        <v>8832</v>
      </c>
      <c r="B8832" t="str">
        <f t="shared" si="137"/>
        <v>⊀</v>
      </c>
    </row>
    <row r="8833" spans="1:2" x14ac:dyDescent="0.25">
      <c r="A8833">
        <v>8833</v>
      </c>
      <c r="B8833" t="str">
        <f t="shared" si="137"/>
        <v>⊁</v>
      </c>
    </row>
    <row r="8834" spans="1:2" x14ac:dyDescent="0.25">
      <c r="A8834">
        <v>8834</v>
      </c>
      <c r="B8834" t="str">
        <f t="shared" ref="B8834:B8897" si="138">_xlfn.UNICHAR(A8834)</f>
        <v>⊂</v>
      </c>
    </row>
    <row r="8835" spans="1:2" x14ac:dyDescent="0.25">
      <c r="A8835">
        <v>8835</v>
      </c>
      <c r="B8835" t="str">
        <f t="shared" si="138"/>
        <v>⊃</v>
      </c>
    </row>
    <row r="8836" spans="1:2" x14ac:dyDescent="0.25">
      <c r="A8836">
        <v>8836</v>
      </c>
      <c r="B8836" t="str">
        <f t="shared" si="138"/>
        <v>⊄</v>
      </c>
    </row>
    <row r="8837" spans="1:2" x14ac:dyDescent="0.25">
      <c r="A8837">
        <v>8837</v>
      </c>
      <c r="B8837" t="str">
        <f t="shared" si="138"/>
        <v>⊅</v>
      </c>
    </row>
    <row r="8838" spans="1:2" x14ac:dyDescent="0.25">
      <c r="A8838">
        <v>8838</v>
      </c>
      <c r="B8838" t="str">
        <f t="shared" si="138"/>
        <v>⊆</v>
      </c>
    </row>
    <row r="8839" spans="1:2" x14ac:dyDescent="0.25">
      <c r="A8839">
        <v>8839</v>
      </c>
      <c r="B8839" t="str">
        <f t="shared" si="138"/>
        <v>⊇</v>
      </c>
    </row>
    <row r="8840" spans="1:2" x14ac:dyDescent="0.25">
      <c r="A8840">
        <v>8840</v>
      </c>
      <c r="B8840" t="str">
        <f t="shared" si="138"/>
        <v>⊈</v>
      </c>
    </row>
    <row r="8841" spans="1:2" x14ac:dyDescent="0.25">
      <c r="A8841">
        <v>8841</v>
      </c>
      <c r="B8841" t="str">
        <f t="shared" si="138"/>
        <v>⊉</v>
      </c>
    </row>
    <row r="8842" spans="1:2" x14ac:dyDescent="0.25">
      <c r="A8842">
        <v>8842</v>
      </c>
      <c r="B8842" t="str">
        <f t="shared" si="138"/>
        <v>⊊</v>
      </c>
    </row>
    <row r="8843" spans="1:2" x14ac:dyDescent="0.25">
      <c r="A8843">
        <v>8843</v>
      </c>
      <c r="B8843" t="str">
        <f t="shared" si="138"/>
        <v>⊋</v>
      </c>
    </row>
    <row r="8844" spans="1:2" x14ac:dyDescent="0.25">
      <c r="A8844">
        <v>8844</v>
      </c>
      <c r="B8844" t="str">
        <f t="shared" si="138"/>
        <v>⊌</v>
      </c>
    </row>
    <row r="8845" spans="1:2" x14ac:dyDescent="0.25">
      <c r="A8845">
        <v>8845</v>
      </c>
      <c r="B8845" t="str">
        <f t="shared" si="138"/>
        <v>⊍</v>
      </c>
    </row>
    <row r="8846" spans="1:2" x14ac:dyDescent="0.25">
      <c r="A8846">
        <v>8846</v>
      </c>
      <c r="B8846" t="str">
        <f t="shared" si="138"/>
        <v>⊎</v>
      </c>
    </row>
    <row r="8847" spans="1:2" x14ac:dyDescent="0.25">
      <c r="A8847">
        <v>8847</v>
      </c>
      <c r="B8847" t="str">
        <f t="shared" si="138"/>
        <v>⊏</v>
      </c>
    </row>
    <row r="8848" spans="1:2" x14ac:dyDescent="0.25">
      <c r="A8848">
        <v>8848</v>
      </c>
      <c r="B8848" t="str">
        <f t="shared" si="138"/>
        <v>⊐</v>
      </c>
    </row>
    <row r="8849" spans="1:2" x14ac:dyDescent="0.25">
      <c r="A8849">
        <v>8849</v>
      </c>
      <c r="B8849" t="str">
        <f t="shared" si="138"/>
        <v>⊑</v>
      </c>
    </row>
    <row r="8850" spans="1:2" x14ac:dyDescent="0.25">
      <c r="A8850">
        <v>8850</v>
      </c>
      <c r="B8850" t="str">
        <f t="shared" si="138"/>
        <v>⊒</v>
      </c>
    </row>
    <row r="8851" spans="1:2" x14ac:dyDescent="0.25">
      <c r="A8851">
        <v>8851</v>
      </c>
      <c r="B8851" t="str">
        <f t="shared" si="138"/>
        <v>⊓</v>
      </c>
    </row>
    <row r="8852" spans="1:2" x14ac:dyDescent="0.25">
      <c r="A8852">
        <v>8852</v>
      </c>
      <c r="B8852" t="str">
        <f t="shared" si="138"/>
        <v>⊔</v>
      </c>
    </row>
    <row r="8853" spans="1:2" x14ac:dyDescent="0.25">
      <c r="A8853">
        <v>8853</v>
      </c>
      <c r="B8853" t="str">
        <f t="shared" si="138"/>
        <v>⊕</v>
      </c>
    </row>
    <row r="8854" spans="1:2" x14ac:dyDescent="0.25">
      <c r="A8854">
        <v>8854</v>
      </c>
      <c r="B8854" t="str">
        <f t="shared" si="138"/>
        <v>⊖</v>
      </c>
    </row>
    <row r="8855" spans="1:2" x14ac:dyDescent="0.25">
      <c r="A8855">
        <v>8855</v>
      </c>
      <c r="B8855" t="str">
        <f t="shared" si="138"/>
        <v>⊗</v>
      </c>
    </row>
    <row r="8856" spans="1:2" x14ac:dyDescent="0.25">
      <c r="A8856">
        <v>8856</v>
      </c>
      <c r="B8856" t="str">
        <f t="shared" si="138"/>
        <v>⊘</v>
      </c>
    </row>
    <row r="8857" spans="1:2" x14ac:dyDescent="0.25">
      <c r="A8857">
        <v>8857</v>
      </c>
      <c r="B8857" t="str">
        <f t="shared" si="138"/>
        <v>⊙</v>
      </c>
    </row>
    <row r="8858" spans="1:2" x14ac:dyDescent="0.25">
      <c r="A8858">
        <v>8858</v>
      </c>
      <c r="B8858" t="str">
        <f t="shared" si="138"/>
        <v>⊚</v>
      </c>
    </row>
    <row r="8859" spans="1:2" x14ac:dyDescent="0.25">
      <c r="A8859">
        <v>8859</v>
      </c>
      <c r="B8859" t="str">
        <f t="shared" si="138"/>
        <v>⊛</v>
      </c>
    </row>
    <row r="8860" spans="1:2" x14ac:dyDescent="0.25">
      <c r="A8860">
        <v>8860</v>
      </c>
      <c r="B8860" t="str">
        <f t="shared" si="138"/>
        <v>⊜</v>
      </c>
    </row>
    <row r="8861" spans="1:2" x14ac:dyDescent="0.25">
      <c r="A8861">
        <v>8861</v>
      </c>
      <c r="B8861" t="str">
        <f t="shared" si="138"/>
        <v>⊝</v>
      </c>
    </row>
    <row r="8862" spans="1:2" x14ac:dyDescent="0.25">
      <c r="A8862">
        <v>8862</v>
      </c>
      <c r="B8862" t="str">
        <f t="shared" si="138"/>
        <v>⊞</v>
      </c>
    </row>
    <row r="8863" spans="1:2" x14ac:dyDescent="0.25">
      <c r="A8863">
        <v>8863</v>
      </c>
      <c r="B8863" t="str">
        <f t="shared" si="138"/>
        <v>⊟</v>
      </c>
    </row>
    <row r="8864" spans="1:2" x14ac:dyDescent="0.25">
      <c r="A8864">
        <v>8864</v>
      </c>
      <c r="B8864" t="str">
        <f t="shared" si="138"/>
        <v>⊠</v>
      </c>
    </row>
    <row r="8865" spans="1:2" x14ac:dyDescent="0.25">
      <c r="A8865">
        <v>8865</v>
      </c>
      <c r="B8865" t="str">
        <f t="shared" si="138"/>
        <v>⊡</v>
      </c>
    </row>
    <row r="8866" spans="1:2" x14ac:dyDescent="0.25">
      <c r="A8866">
        <v>8866</v>
      </c>
      <c r="B8866" t="str">
        <f t="shared" si="138"/>
        <v>⊢</v>
      </c>
    </row>
    <row r="8867" spans="1:2" x14ac:dyDescent="0.25">
      <c r="A8867">
        <v>8867</v>
      </c>
      <c r="B8867" t="str">
        <f t="shared" si="138"/>
        <v>⊣</v>
      </c>
    </row>
    <row r="8868" spans="1:2" x14ac:dyDescent="0.25">
      <c r="A8868">
        <v>8868</v>
      </c>
      <c r="B8868" t="str">
        <f t="shared" si="138"/>
        <v>⊤</v>
      </c>
    </row>
    <row r="8869" spans="1:2" x14ac:dyDescent="0.25">
      <c r="A8869">
        <v>8869</v>
      </c>
      <c r="B8869" t="str">
        <f t="shared" si="138"/>
        <v>⊥</v>
      </c>
    </row>
    <row r="8870" spans="1:2" x14ac:dyDescent="0.25">
      <c r="A8870">
        <v>8870</v>
      </c>
      <c r="B8870" t="str">
        <f t="shared" si="138"/>
        <v>⊦</v>
      </c>
    </row>
    <row r="8871" spans="1:2" x14ac:dyDescent="0.25">
      <c r="A8871">
        <v>8871</v>
      </c>
      <c r="B8871" t="str">
        <f t="shared" si="138"/>
        <v>⊧</v>
      </c>
    </row>
    <row r="8872" spans="1:2" x14ac:dyDescent="0.25">
      <c r="A8872">
        <v>8872</v>
      </c>
      <c r="B8872" t="str">
        <f t="shared" si="138"/>
        <v>⊨</v>
      </c>
    </row>
    <row r="8873" spans="1:2" x14ac:dyDescent="0.25">
      <c r="A8873">
        <v>8873</v>
      </c>
      <c r="B8873" t="str">
        <f t="shared" si="138"/>
        <v>⊩</v>
      </c>
    </row>
    <row r="8874" spans="1:2" x14ac:dyDescent="0.25">
      <c r="A8874">
        <v>8874</v>
      </c>
      <c r="B8874" t="str">
        <f t="shared" si="138"/>
        <v>⊪</v>
      </c>
    </row>
    <row r="8875" spans="1:2" x14ac:dyDescent="0.25">
      <c r="A8875">
        <v>8875</v>
      </c>
      <c r="B8875" t="str">
        <f t="shared" si="138"/>
        <v>⊫</v>
      </c>
    </row>
    <row r="8876" spans="1:2" x14ac:dyDescent="0.25">
      <c r="A8876">
        <v>8876</v>
      </c>
      <c r="B8876" t="str">
        <f t="shared" si="138"/>
        <v>⊬</v>
      </c>
    </row>
    <row r="8877" spans="1:2" x14ac:dyDescent="0.25">
      <c r="A8877">
        <v>8877</v>
      </c>
      <c r="B8877" t="str">
        <f t="shared" si="138"/>
        <v>⊭</v>
      </c>
    </row>
    <row r="8878" spans="1:2" x14ac:dyDescent="0.25">
      <c r="A8878">
        <v>8878</v>
      </c>
      <c r="B8878" t="str">
        <f t="shared" si="138"/>
        <v>⊮</v>
      </c>
    </row>
    <row r="8879" spans="1:2" x14ac:dyDescent="0.25">
      <c r="A8879">
        <v>8879</v>
      </c>
      <c r="B8879" t="str">
        <f t="shared" si="138"/>
        <v>⊯</v>
      </c>
    </row>
    <row r="8880" spans="1:2" x14ac:dyDescent="0.25">
      <c r="A8880">
        <v>8880</v>
      </c>
      <c r="B8880" t="str">
        <f t="shared" si="138"/>
        <v>⊰</v>
      </c>
    </row>
    <row r="8881" spans="1:2" x14ac:dyDescent="0.25">
      <c r="A8881">
        <v>8881</v>
      </c>
      <c r="B8881" t="str">
        <f t="shared" si="138"/>
        <v>⊱</v>
      </c>
    </row>
    <row r="8882" spans="1:2" x14ac:dyDescent="0.25">
      <c r="A8882">
        <v>8882</v>
      </c>
      <c r="B8882" t="str">
        <f t="shared" si="138"/>
        <v>⊲</v>
      </c>
    </row>
    <row r="8883" spans="1:2" x14ac:dyDescent="0.25">
      <c r="A8883">
        <v>8883</v>
      </c>
      <c r="B8883" t="str">
        <f t="shared" si="138"/>
        <v>⊳</v>
      </c>
    </row>
    <row r="8884" spans="1:2" x14ac:dyDescent="0.25">
      <c r="A8884">
        <v>8884</v>
      </c>
      <c r="B8884" t="str">
        <f t="shared" si="138"/>
        <v>⊴</v>
      </c>
    </row>
    <row r="8885" spans="1:2" x14ac:dyDescent="0.25">
      <c r="A8885">
        <v>8885</v>
      </c>
      <c r="B8885" t="str">
        <f t="shared" si="138"/>
        <v>⊵</v>
      </c>
    </row>
    <row r="8886" spans="1:2" x14ac:dyDescent="0.25">
      <c r="A8886">
        <v>8886</v>
      </c>
      <c r="B8886" t="str">
        <f t="shared" si="138"/>
        <v>⊶</v>
      </c>
    </row>
    <row r="8887" spans="1:2" x14ac:dyDescent="0.25">
      <c r="A8887">
        <v>8887</v>
      </c>
      <c r="B8887" t="str">
        <f t="shared" si="138"/>
        <v>⊷</v>
      </c>
    </row>
    <row r="8888" spans="1:2" x14ac:dyDescent="0.25">
      <c r="A8888">
        <v>8888</v>
      </c>
      <c r="B8888" t="str">
        <f t="shared" si="138"/>
        <v>⊸</v>
      </c>
    </row>
    <row r="8889" spans="1:2" x14ac:dyDescent="0.25">
      <c r="A8889">
        <v>8889</v>
      </c>
      <c r="B8889" t="str">
        <f t="shared" si="138"/>
        <v>⊹</v>
      </c>
    </row>
    <row r="8890" spans="1:2" x14ac:dyDescent="0.25">
      <c r="A8890">
        <v>8890</v>
      </c>
      <c r="B8890" t="str">
        <f t="shared" si="138"/>
        <v>⊺</v>
      </c>
    </row>
    <row r="8891" spans="1:2" x14ac:dyDescent="0.25">
      <c r="A8891">
        <v>8891</v>
      </c>
      <c r="B8891" t="str">
        <f t="shared" si="138"/>
        <v>⊻</v>
      </c>
    </row>
    <row r="8892" spans="1:2" x14ac:dyDescent="0.25">
      <c r="A8892">
        <v>8892</v>
      </c>
      <c r="B8892" t="str">
        <f t="shared" si="138"/>
        <v>⊼</v>
      </c>
    </row>
    <row r="8893" spans="1:2" x14ac:dyDescent="0.25">
      <c r="A8893">
        <v>8893</v>
      </c>
      <c r="B8893" t="str">
        <f t="shared" si="138"/>
        <v>⊽</v>
      </c>
    </row>
    <row r="8894" spans="1:2" x14ac:dyDescent="0.25">
      <c r="A8894">
        <v>8894</v>
      </c>
      <c r="B8894" t="str">
        <f t="shared" si="138"/>
        <v>⊾</v>
      </c>
    </row>
    <row r="8895" spans="1:2" x14ac:dyDescent="0.25">
      <c r="A8895">
        <v>8895</v>
      </c>
      <c r="B8895" t="str">
        <f t="shared" si="138"/>
        <v>⊿</v>
      </c>
    </row>
    <row r="8896" spans="1:2" x14ac:dyDescent="0.25">
      <c r="A8896">
        <v>8896</v>
      </c>
      <c r="B8896" t="str">
        <f t="shared" si="138"/>
        <v>⋀</v>
      </c>
    </row>
    <row r="8897" spans="1:2" x14ac:dyDescent="0.25">
      <c r="A8897">
        <v>8897</v>
      </c>
      <c r="B8897" t="str">
        <f t="shared" si="138"/>
        <v>⋁</v>
      </c>
    </row>
    <row r="8898" spans="1:2" x14ac:dyDescent="0.25">
      <c r="A8898">
        <v>8898</v>
      </c>
      <c r="B8898" t="str">
        <f t="shared" ref="B8898:B8961" si="139">_xlfn.UNICHAR(A8898)</f>
        <v>⋂</v>
      </c>
    </row>
    <row r="8899" spans="1:2" x14ac:dyDescent="0.25">
      <c r="A8899">
        <v>8899</v>
      </c>
      <c r="B8899" t="str">
        <f t="shared" si="139"/>
        <v>⋃</v>
      </c>
    </row>
    <row r="8900" spans="1:2" x14ac:dyDescent="0.25">
      <c r="A8900">
        <v>8900</v>
      </c>
      <c r="B8900" t="str">
        <f t="shared" si="139"/>
        <v>⋄</v>
      </c>
    </row>
    <row r="8901" spans="1:2" x14ac:dyDescent="0.25">
      <c r="A8901">
        <v>8901</v>
      </c>
      <c r="B8901" t="str">
        <f t="shared" si="139"/>
        <v>⋅</v>
      </c>
    </row>
    <row r="8902" spans="1:2" x14ac:dyDescent="0.25">
      <c r="A8902">
        <v>8902</v>
      </c>
      <c r="B8902" t="str">
        <f t="shared" si="139"/>
        <v>⋆</v>
      </c>
    </row>
    <row r="8903" spans="1:2" x14ac:dyDescent="0.25">
      <c r="A8903">
        <v>8903</v>
      </c>
      <c r="B8903" t="str">
        <f t="shared" si="139"/>
        <v>⋇</v>
      </c>
    </row>
    <row r="8904" spans="1:2" x14ac:dyDescent="0.25">
      <c r="A8904">
        <v>8904</v>
      </c>
      <c r="B8904" t="str">
        <f t="shared" si="139"/>
        <v>⋈</v>
      </c>
    </row>
    <row r="8905" spans="1:2" x14ac:dyDescent="0.25">
      <c r="A8905">
        <v>8905</v>
      </c>
      <c r="B8905" t="str">
        <f t="shared" si="139"/>
        <v>⋉</v>
      </c>
    </row>
    <row r="8906" spans="1:2" x14ac:dyDescent="0.25">
      <c r="A8906">
        <v>8906</v>
      </c>
      <c r="B8906" t="str">
        <f t="shared" si="139"/>
        <v>⋊</v>
      </c>
    </row>
    <row r="8907" spans="1:2" x14ac:dyDescent="0.25">
      <c r="A8907">
        <v>8907</v>
      </c>
      <c r="B8907" t="str">
        <f t="shared" si="139"/>
        <v>⋋</v>
      </c>
    </row>
    <row r="8908" spans="1:2" x14ac:dyDescent="0.25">
      <c r="A8908">
        <v>8908</v>
      </c>
      <c r="B8908" t="str">
        <f t="shared" si="139"/>
        <v>⋌</v>
      </c>
    </row>
    <row r="8909" spans="1:2" x14ac:dyDescent="0.25">
      <c r="A8909">
        <v>8909</v>
      </c>
      <c r="B8909" t="str">
        <f t="shared" si="139"/>
        <v>⋍</v>
      </c>
    </row>
    <row r="8910" spans="1:2" x14ac:dyDescent="0.25">
      <c r="A8910">
        <v>8910</v>
      </c>
      <c r="B8910" t="str">
        <f t="shared" si="139"/>
        <v>⋎</v>
      </c>
    </row>
    <row r="8911" spans="1:2" x14ac:dyDescent="0.25">
      <c r="A8911">
        <v>8911</v>
      </c>
      <c r="B8911" t="str">
        <f t="shared" si="139"/>
        <v>⋏</v>
      </c>
    </row>
    <row r="8912" spans="1:2" x14ac:dyDescent="0.25">
      <c r="A8912">
        <v>8912</v>
      </c>
      <c r="B8912" t="str">
        <f t="shared" si="139"/>
        <v>⋐</v>
      </c>
    </row>
    <row r="8913" spans="1:2" x14ac:dyDescent="0.25">
      <c r="A8913">
        <v>8913</v>
      </c>
      <c r="B8913" t="str">
        <f t="shared" si="139"/>
        <v>⋑</v>
      </c>
    </row>
    <row r="8914" spans="1:2" x14ac:dyDescent="0.25">
      <c r="A8914">
        <v>8914</v>
      </c>
      <c r="B8914" t="str">
        <f t="shared" si="139"/>
        <v>⋒</v>
      </c>
    </row>
    <row r="8915" spans="1:2" x14ac:dyDescent="0.25">
      <c r="A8915">
        <v>8915</v>
      </c>
      <c r="B8915" t="str">
        <f t="shared" si="139"/>
        <v>⋓</v>
      </c>
    </row>
    <row r="8916" spans="1:2" x14ac:dyDescent="0.25">
      <c r="A8916">
        <v>8916</v>
      </c>
      <c r="B8916" t="str">
        <f t="shared" si="139"/>
        <v>⋔</v>
      </c>
    </row>
    <row r="8917" spans="1:2" x14ac:dyDescent="0.25">
      <c r="A8917">
        <v>8917</v>
      </c>
      <c r="B8917" t="str">
        <f t="shared" si="139"/>
        <v>⋕</v>
      </c>
    </row>
    <row r="8918" spans="1:2" x14ac:dyDescent="0.25">
      <c r="A8918">
        <v>8918</v>
      </c>
      <c r="B8918" t="str">
        <f t="shared" si="139"/>
        <v>⋖</v>
      </c>
    </row>
    <row r="8919" spans="1:2" x14ac:dyDescent="0.25">
      <c r="A8919">
        <v>8919</v>
      </c>
      <c r="B8919" t="str">
        <f t="shared" si="139"/>
        <v>⋗</v>
      </c>
    </row>
    <row r="8920" spans="1:2" x14ac:dyDescent="0.25">
      <c r="A8920">
        <v>8920</v>
      </c>
      <c r="B8920" t="str">
        <f t="shared" si="139"/>
        <v>⋘</v>
      </c>
    </row>
    <row r="8921" spans="1:2" x14ac:dyDescent="0.25">
      <c r="A8921">
        <v>8921</v>
      </c>
      <c r="B8921" t="str">
        <f t="shared" si="139"/>
        <v>⋙</v>
      </c>
    </row>
    <row r="8922" spans="1:2" x14ac:dyDescent="0.25">
      <c r="A8922">
        <v>8922</v>
      </c>
      <c r="B8922" t="str">
        <f t="shared" si="139"/>
        <v>⋚</v>
      </c>
    </row>
    <row r="8923" spans="1:2" x14ac:dyDescent="0.25">
      <c r="A8923">
        <v>8923</v>
      </c>
      <c r="B8923" t="str">
        <f t="shared" si="139"/>
        <v>⋛</v>
      </c>
    </row>
    <row r="8924" spans="1:2" x14ac:dyDescent="0.25">
      <c r="A8924">
        <v>8924</v>
      </c>
      <c r="B8924" t="str">
        <f t="shared" si="139"/>
        <v>⋜</v>
      </c>
    </row>
    <row r="8925" spans="1:2" x14ac:dyDescent="0.25">
      <c r="A8925">
        <v>8925</v>
      </c>
      <c r="B8925" t="str">
        <f t="shared" si="139"/>
        <v>⋝</v>
      </c>
    </row>
    <row r="8926" spans="1:2" x14ac:dyDescent="0.25">
      <c r="A8926">
        <v>8926</v>
      </c>
      <c r="B8926" t="str">
        <f t="shared" si="139"/>
        <v>⋞</v>
      </c>
    </row>
    <row r="8927" spans="1:2" x14ac:dyDescent="0.25">
      <c r="A8927">
        <v>8927</v>
      </c>
      <c r="B8927" t="str">
        <f t="shared" si="139"/>
        <v>⋟</v>
      </c>
    </row>
    <row r="8928" spans="1:2" x14ac:dyDescent="0.25">
      <c r="A8928">
        <v>8928</v>
      </c>
      <c r="B8928" t="str">
        <f t="shared" si="139"/>
        <v>⋠</v>
      </c>
    </row>
    <row r="8929" spans="1:2" x14ac:dyDescent="0.25">
      <c r="A8929">
        <v>8929</v>
      </c>
      <c r="B8929" t="str">
        <f t="shared" si="139"/>
        <v>⋡</v>
      </c>
    </row>
    <row r="8930" spans="1:2" x14ac:dyDescent="0.25">
      <c r="A8930">
        <v>8930</v>
      </c>
      <c r="B8930" t="str">
        <f t="shared" si="139"/>
        <v>⋢</v>
      </c>
    </row>
    <row r="8931" spans="1:2" x14ac:dyDescent="0.25">
      <c r="A8931">
        <v>8931</v>
      </c>
      <c r="B8931" t="str">
        <f t="shared" si="139"/>
        <v>⋣</v>
      </c>
    </row>
    <row r="8932" spans="1:2" x14ac:dyDescent="0.25">
      <c r="A8932">
        <v>8932</v>
      </c>
      <c r="B8932" t="str">
        <f t="shared" si="139"/>
        <v>⋤</v>
      </c>
    </row>
    <row r="8933" spans="1:2" x14ac:dyDescent="0.25">
      <c r="A8933">
        <v>8933</v>
      </c>
      <c r="B8933" t="str">
        <f t="shared" si="139"/>
        <v>⋥</v>
      </c>
    </row>
    <row r="8934" spans="1:2" x14ac:dyDescent="0.25">
      <c r="A8934">
        <v>8934</v>
      </c>
      <c r="B8934" t="str">
        <f t="shared" si="139"/>
        <v>⋦</v>
      </c>
    </row>
    <row r="8935" spans="1:2" x14ac:dyDescent="0.25">
      <c r="A8935">
        <v>8935</v>
      </c>
      <c r="B8935" t="str">
        <f t="shared" si="139"/>
        <v>⋧</v>
      </c>
    </row>
    <row r="8936" spans="1:2" x14ac:dyDescent="0.25">
      <c r="A8936">
        <v>8936</v>
      </c>
      <c r="B8936" t="str">
        <f t="shared" si="139"/>
        <v>⋨</v>
      </c>
    </row>
    <row r="8937" spans="1:2" x14ac:dyDescent="0.25">
      <c r="A8937">
        <v>8937</v>
      </c>
      <c r="B8937" t="str">
        <f t="shared" si="139"/>
        <v>⋩</v>
      </c>
    </row>
    <row r="8938" spans="1:2" x14ac:dyDescent="0.25">
      <c r="A8938">
        <v>8938</v>
      </c>
      <c r="B8938" t="str">
        <f t="shared" si="139"/>
        <v>⋪</v>
      </c>
    </row>
    <row r="8939" spans="1:2" x14ac:dyDescent="0.25">
      <c r="A8939">
        <v>8939</v>
      </c>
      <c r="B8939" t="str">
        <f t="shared" si="139"/>
        <v>⋫</v>
      </c>
    </row>
    <row r="8940" spans="1:2" x14ac:dyDescent="0.25">
      <c r="A8940">
        <v>8940</v>
      </c>
      <c r="B8940" t="str">
        <f t="shared" si="139"/>
        <v>⋬</v>
      </c>
    </row>
    <row r="8941" spans="1:2" x14ac:dyDescent="0.25">
      <c r="A8941">
        <v>8941</v>
      </c>
      <c r="B8941" t="str">
        <f t="shared" si="139"/>
        <v>⋭</v>
      </c>
    </row>
    <row r="8942" spans="1:2" x14ac:dyDescent="0.25">
      <c r="A8942">
        <v>8942</v>
      </c>
      <c r="B8942" t="str">
        <f t="shared" si="139"/>
        <v>⋮</v>
      </c>
    </row>
    <row r="8943" spans="1:2" x14ac:dyDescent="0.25">
      <c r="A8943">
        <v>8943</v>
      </c>
      <c r="B8943" t="str">
        <f t="shared" si="139"/>
        <v>⋯</v>
      </c>
    </row>
    <row r="8944" spans="1:2" x14ac:dyDescent="0.25">
      <c r="A8944">
        <v>8944</v>
      </c>
      <c r="B8944" t="str">
        <f t="shared" si="139"/>
        <v>⋰</v>
      </c>
    </row>
    <row r="8945" spans="1:2" x14ac:dyDescent="0.25">
      <c r="A8945">
        <v>8945</v>
      </c>
      <c r="B8945" t="str">
        <f t="shared" si="139"/>
        <v>⋱</v>
      </c>
    </row>
    <row r="8946" spans="1:2" x14ac:dyDescent="0.25">
      <c r="A8946">
        <v>8946</v>
      </c>
      <c r="B8946" t="str">
        <f t="shared" si="139"/>
        <v>⋲</v>
      </c>
    </row>
    <row r="8947" spans="1:2" x14ac:dyDescent="0.25">
      <c r="A8947">
        <v>8947</v>
      </c>
      <c r="B8947" t="str">
        <f t="shared" si="139"/>
        <v>⋳</v>
      </c>
    </row>
    <row r="8948" spans="1:2" x14ac:dyDescent="0.25">
      <c r="A8948">
        <v>8948</v>
      </c>
      <c r="B8948" t="str">
        <f t="shared" si="139"/>
        <v>⋴</v>
      </c>
    </row>
    <row r="8949" spans="1:2" x14ac:dyDescent="0.25">
      <c r="A8949">
        <v>8949</v>
      </c>
      <c r="B8949" t="str">
        <f t="shared" si="139"/>
        <v>⋵</v>
      </c>
    </row>
    <row r="8950" spans="1:2" x14ac:dyDescent="0.25">
      <c r="A8950">
        <v>8950</v>
      </c>
      <c r="B8950" t="str">
        <f t="shared" si="139"/>
        <v>⋶</v>
      </c>
    </row>
    <row r="8951" spans="1:2" x14ac:dyDescent="0.25">
      <c r="A8951">
        <v>8951</v>
      </c>
      <c r="B8951" t="str">
        <f t="shared" si="139"/>
        <v>⋷</v>
      </c>
    </row>
    <row r="8952" spans="1:2" x14ac:dyDescent="0.25">
      <c r="A8952">
        <v>8952</v>
      </c>
      <c r="B8952" t="str">
        <f t="shared" si="139"/>
        <v>⋸</v>
      </c>
    </row>
    <row r="8953" spans="1:2" x14ac:dyDescent="0.25">
      <c r="A8953">
        <v>8953</v>
      </c>
      <c r="B8953" t="str">
        <f t="shared" si="139"/>
        <v>⋹</v>
      </c>
    </row>
    <row r="8954" spans="1:2" x14ac:dyDescent="0.25">
      <c r="A8954">
        <v>8954</v>
      </c>
      <c r="B8954" t="str">
        <f t="shared" si="139"/>
        <v>⋺</v>
      </c>
    </row>
    <row r="8955" spans="1:2" x14ac:dyDescent="0.25">
      <c r="A8955">
        <v>8955</v>
      </c>
      <c r="B8955" t="str">
        <f t="shared" si="139"/>
        <v>⋻</v>
      </c>
    </row>
    <row r="8956" spans="1:2" x14ac:dyDescent="0.25">
      <c r="A8956">
        <v>8956</v>
      </c>
      <c r="B8956" t="str">
        <f t="shared" si="139"/>
        <v>⋼</v>
      </c>
    </row>
    <row r="8957" spans="1:2" x14ac:dyDescent="0.25">
      <c r="A8957">
        <v>8957</v>
      </c>
      <c r="B8957" t="str">
        <f t="shared" si="139"/>
        <v>⋽</v>
      </c>
    </row>
    <row r="8958" spans="1:2" x14ac:dyDescent="0.25">
      <c r="A8958">
        <v>8958</v>
      </c>
      <c r="B8958" t="str">
        <f t="shared" si="139"/>
        <v>⋾</v>
      </c>
    </row>
    <row r="8959" spans="1:2" x14ac:dyDescent="0.25">
      <c r="A8959">
        <v>8959</v>
      </c>
      <c r="B8959" t="str">
        <f t="shared" si="139"/>
        <v>⋿</v>
      </c>
    </row>
    <row r="8960" spans="1:2" x14ac:dyDescent="0.25">
      <c r="A8960">
        <v>8960</v>
      </c>
      <c r="B8960" t="str">
        <f t="shared" si="139"/>
        <v>⌀</v>
      </c>
    </row>
    <row r="8961" spans="1:2" x14ac:dyDescent="0.25">
      <c r="A8961">
        <v>8961</v>
      </c>
      <c r="B8961" t="str">
        <f t="shared" si="139"/>
        <v>⌁</v>
      </c>
    </row>
    <row r="8962" spans="1:2" x14ac:dyDescent="0.25">
      <c r="A8962">
        <v>8962</v>
      </c>
      <c r="B8962" t="str">
        <f t="shared" ref="B8962:B9025" si="140">_xlfn.UNICHAR(A8962)</f>
        <v>⌂</v>
      </c>
    </row>
    <row r="8963" spans="1:2" x14ac:dyDescent="0.25">
      <c r="A8963">
        <v>8963</v>
      </c>
      <c r="B8963" t="str">
        <f t="shared" si="140"/>
        <v>⌃</v>
      </c>
    </row>
    <row r="8964" spans="1:2" x14ac:dyDescent="0.25">
      <c r="A8964">
        <v>8964</v>
      </c>
      <c r="B8964" t="str">
        <f t="shared" si="140"/>
        <v>⌄</v>
      </c>
    </row>
    <row r="8965" spans="1:2" x14ac:dyDescent="0.25">
      <c r="A8965">
        <v>8965</v>
      </c>
      <c r="B8965" t="str">
        <f t="shared" si="140"/>
        <v>⌅</v>
      </c>
    </row>
    <row r="8966" spans="1:2" x14ac:dyDescent="0.25">
      <c r="A8966">
        <v>8966</v>
      </c>
      <c r="B8966" t="str">
        <f t="shared" si="140"/>
        <v>⌆</v>
      </c>
    </row>
    <row r="8967" spans="1:2" x14ac:dyDescent="0.25">
      <c r="A8967">
        <v>8967</v>
      </c>
      <c r="B8967" t="str">
        <f t="shared" si="140"/>
        <v>⌇</v>
      </c>
    </row>
    <row r="8968" spans="1:2" x14ac:dyDescent="0.25">
      <c r="A8968">
        <v>8968</v>
      </c>
      <c r="B8968" t="str">
        <f t="shared" si="140"/>
        <v>⌈</v>
      </c>
    </row>
    <row r="8969" spans="1:2" x14ac:dyDescent="0.25">
      <c r="A8969">
        <v>8969</v>
      </c>
      <c r="B8969" t="str">
        <f t="shared" si="140"/>
        <v>⌉</v>
      </c>
    </row>
    <row r="8970" spans="1:2" x14ac:dyDescent="0.25">
      <c r="A8970">
        <v>8970</v>
      </c>
      <c r="B8970" t="str">
        <f t="shared" si="140"/>
        <v>⌊</v>
      </c>
    </row>
    <row r="8971" spans="1:2" x14ac:dyDescent="0.25">
      <c r="A8971">
        <v>8971</v>
      </c>
      <c r="B8971" t="str">
        <f t="shared" si="140"/>
        <v>⌋</v>
      </c>
    </row>
    <row r="8972" spans="1:2" x14ac:dyDescent="0.25">
      <c r="A8972">
        <v>8972</v>
      </c>
      <c r="B8972" t="str">
        <f t="shared" si="140"/>
        <v>⌌</v>
      </c>
    </row>
    <row r="8973" spans="1:2" x14ac:dyDescent="0.25">
      <c r="A8973">
        <v>8973</v>
      </c>
      <c r="B8973" t="str">
        <f t="shared" si="140"/>
        <v>⌍</v>
      </c>
    </row>
    <row r="8974" spans="1:2" x14ac:dyDescent="0.25">
      <c r="A8974">
        <v>8974</v>
      </c>
      <c r="B8974" t="str">
        <f t="shared" si="140"/>
        <v>⌎</v>
      </c>
    </row>
    <row r="8975" spans="1:2" x14ac:dyDescent="0.25">
      <c r="A8975">
        <v>8975</v>
      </c>
      <c r="B8975" t="str">
        <f t="shared" si="140"/>
        <v>⌏</v>
      </c>
    </row>
    <row r="8976" spans="1:2" x14ac:dyDescent="0.25">
      <c r="A8976">
        <v>8976</v>
      </c>
      <c r="B8976" t="str">
        <f t="shared" si="140"/>
        <v>⌐</v>
      </c>
    </row>
    <row r="8977" spans="1:2" x14ac:dyDescent="0.25">
      <c r="A8977">
        <v>8977</v>
      </c>
      <c r="B8977" t="str">
        <f t="shared" si="140"/>
        <v>⌑</v>
      </c>
    </row>
    <row r="8978" spans="1:2" x14ac:dyDescent="0.25">
      <c r="A8978">
        <v>8978</v>
      </c>
      <c r="B8978" t="str">
        <f t="shared" si="140"/>
        <v>⌒</v>
      </c>
    </row>
    <row r="8979" spans="1:2" x14ac:dyDescent="0.25">
      <c r="A8979">
        <v>8979</v>
      </c>
      <c r="B8979" t="str">
        <f t="shared" si="140"/>
        <v>⌓</v>
      </c>
    </row>
    <row r="8980" spans="1:2" x14ac:dyDescent="0.25">
      <c r="A8980">
        <v>8980</v>
      </c>
      <c r="B8980" t="str">
        <f t="shared" si="140"/>
        <v>⌔</v>
      </c>
    </row>
    <row r="8981" spans="1:2" x14ac:dyDescent="0.25">
      <c r="A8981">
        <v>8981</v>
      </c>
      <c r="B8981" t="str">
        <f t="shared" si="140"/>
        <v>⌕</v>
      </c>
    </row>
    <row r="8982" spans="1:2" x14ac:dyDescent="0.25">
      <c r="A8982">
        <v>8982</v>
      </c>
      <c r="B8982" t="str">
        <f t="shared" si="140"/>
        <v>⌖</v>
      </c>
    </row>
    <row r="8983" spans="1:2" x14ac:dyDescent="0.25">
      <c r="A8983">
        <v>8983</v>
      </c>
      <c r="B8983" t="str">
        <f t="shared" si="140"/>
        <v>⌗</v>
      </c>
    </row>
    <row r="8984" spans="1:2" x14ac:dyDescent="0.25">
      <c r="A8984">
        <v>8984</v>
      </c>
      <c r="B8984" t="str">
        <f t="shared" si="140"/>
        <v>⌘</v>
      </c>
    </row>
    <row r="8985" spans="1:2" x14ac:dyDescent="0.25">
      <c r="A8985">
        <v>8985</v>
      </c>
      <c r="B8985" t="str">
        <f t="shared" si="140"/>
        <v>⌙</v>
      </c>
    </row>
    <row r="8986" spans="1:2" x14ac:dyDescent="0.25">
      <c r="A8986">
        <v>8986</v>
      </c>
      <c r="B8986" t="str">
        <f t="shared" si="140"/>
        <v>⌚</v>
      </c>
    </row>
    <row r="8987" spans="1:2" x14ac:dyDescent="0.25">
      <c r="A8987">
        <v>8987</v>
      </c>
      <c r="B8987" t="str">
        <f t="shared" si="140"/>
        <v>⌛</v>
      </c>
    </row>
    <row r="8988" spans="1:2" x14ac:dyDescent="0.25">
      <c r="A8988">
        <v>8988</v>
      </c>
      <c r="B8988" t="str">
        <f t="shared" si="140"/>
        <v>⌜</v>
      </c>
    </row>
    <row r="8989" spans="1:2" x14ac:dyDescent="0.25">
      <c r="A8989">
        <v>8989</v>
      </c>
      <c r="B8989" t="str">
        <f t="shared" si="140"/>
        <v>⌝</v>
      </c>
    </row>
    <row r="8990" spans="1:2" x14ac:dyDescent="0.25">
      <c r="A8990">
        <v>8990</v>
      </c>
      <c r="B8990" t="str">
        <f t="shared" si="140"/>
        <v>⌞</v>
      </c>
    </row>
    <row r="8991" spans="1:2" x14ac:dyDescent="0.25">
      <c r="A8991">
        <v>8991</v>
      </c>
      <c r="B8991" t="str">
        <f t="shared" si="140"/>
        <v>⌟</v>
      </c>
    </row>
    <row r="8992" spans="1:2" x14ac:dyDescent="0.25">
      <c r="A8992">
        <v>8992</v>
      </c>
      <c r="B8992" t="str">
        <f t="shared" si="140"/>
        <v>⌠</v>
      </c>
    </row>
    <row r="8993" spans="1:2" x14ac:dyDescent="0.25">
      <c r="A8993">
        <v>8993</v>
      </c>
      <c r="B8993" t="str">
        <f t="shared" si="140"/>
        <v>⌡</v>
      </c>
    </row>
    <row r="8994" spans="1:2" x14ac:dyDescent="0.25">
      <c r="A8994">
        <v>8994</v>
      </c>
      <c r="B8994" t="str">
        <f t="shared" si="140"/>
        <v>⌢</v>
      </c>
    </row>
    <row r="8995" spans="1:2" x14ac:dyDescent="0.25">
      <c r="A8995">
        <v>8995</v>
      </c>
      <c r="B8995" t="str">
        <f t="shared" si="140"/>
        <v>⌣</v>
      </c>
    </row>
    <row r="8996" spans="1:2" x14ac:dyDescent="0.25">
      <c r="A8996">
        <v>8996</v>
      </c>
      <c r="B8996" t="str">
        <f t="shared" si="140"/>
        <v>⌤</v>
      </c>
    </row>
    <row r="8997" spans="1:2" x14ac:dyDescent="0.25">
      <c r="A8997">
        <v>8997</v>
      </c>
      <c r="B8997" t="str">
        <f t="shared" si="140"/>
        <v>⌥</v>
      </c>
    </row>
    <row r="8998" spans="1:2" x14ac:dyDescent="0.25">
      <c r="A8998">
        <v>8998</v>
      </c>
      <c r="B8998" t="str">
        <f t="shared" si="140"/>
        <v>⌦</v>
      </c>
    </row>
    <row r="8999" spans="1:2" x14ac:dyDescent="0.25">
      <c r="A8999">
        <v>8999</v>
      </c>
      <c r="B8999" t="str">
        <f t="shared" si="140"/>
        <v>⌧</v>
      </c>
    </row>
    <row r="9000" spans="1:2" x14ac:dyDescent="0.25">
      <c r="A9000">
        <v>9000</v>
      </c>
      <c r="B9000" t="str">
        <f t="shared" si="140"/>
        <v>⌨</v>
      </c>
    </row>
    <row r="9001" spans="1:2" x14ac:dyDescent="0.25">
      <c r="A9001">
        <v>9001</v>
      </c>
      <c r="B9001" t="str">
        <f t="shared" si="140"/>
        <v>〈</v>
      </c>
    </row>
    <row r="9002" spans="1:2" x14ac:dyDescent="0.25">
      <c r="A9002">
        <v>9002</v>
      </c>
      <c r="B9002" t="str">
        <f t="shared" si="140"/>
        <v>〉</v>
      </c>
    </row>
    <row r="9003" spans="1:2" x14ac:dyDescent="0.25">
      <c r="A9003">
        <v>9003</v>
      </c>
      <c r="B9003" t="str">
        <f t="shared" si="140"/>
        <v>⌫</v>
      </c>
    </row>
    <row r="9004" spans="1:2" x14ac:dyDescent="0.25">
      <c r="A9004">
        <v>9004</v>
      </c>
      <c r="B9004" t="str">
        <f t="shared" si="140"/>
        <v>⌬</v>
      </c>
    </row>
    <row r="9005" spans="1:2" x14ac:dyDescent="0.25">
      <c r="A9005">
        <v>9005</v>
      </c>
      <c r="B9005" t="str">
        <f t="shared" si="140"/>
        <v>⌭</v>
      </c>
    </row>
    <row r="9006" spans="1:2" x14ac:dyDescent="0.25">
      <c r="A9006">
        <v>9006</v>
      </c>
      <c r="B9006" t="str">
        <f t="shared" si="140"/>
        <v>⌮</v>
      </c>
    </row>
    <row r="9007" spans="1:2" x14ac:dyDescent="0.25">
      <c r="A9007">
        <v>9007</v>
      </c>
      <c r="B9007" t="str">
        <f t="shared" si="140"/>
        <v>⌯</v>
      </c>
    </row>
    <row r="9008" spans="1:2" x14ac:dyDescent="0.25">
      <c r="A9008">
        <v>9008</v>
      </c>
      <c r="B9008" t="str">
        <f t="shared" si="140"/>
        <v>⌰</v>
      </c>
    </row>
    <row r="9009" spans="1:2" x14ac:dyDescent="0.25">
      <c r="A9009">
        <v>9009</v>
      </c>
      <c r="B9009" t="str">
        <f t="shared" si="140"/>
        <v>⌱</v>
      </c>
    </row>
    <row r="9010" spans="1:2" x14ac:dyDescent="0.25">
      <c r="A9010">
        <v>9010</v>
      </c>
      <c r="B9010" t="str">
        <f t="shared" si="140"/>
        <v>⌲</v>
      </c>
    </row>
    <row r="9011" spans="1:2" x14ac:dyDescent="0.25">
      <c r="A9011">
        <v>9011</v>
      </c>
      <c r="B9011" t="str">
        <f t="shared" si="140"/>
        <v>⌳</v>
      </c>
    </row>
    <row r="9012" spans="1:2" x14ac:dyDescent="0.25">
      <c r="A9012">
        <v>9012</v>
      </c>
      <c r="B9012" t="str">
        <f t="shared" si="140"/>
        <v>⌴</v>
      </c>
    </row>
    <row r="9013" spans="1:2" x14ac:dyDescent="0.25">
      <c r="A9013">
        <v>9013</v>
      </c>
      <c r="B9013" t="str">
        <f t="shared" si="140"/>
        <v>⌵</v>
      </c>
    </row>
    <row r="9014" spans="1:2" x14ac:dyDescent="0.25">
      <c r="A9014">
        <v>9014</v>
      </c>
      <c r="B9014" t="str">
        <f t="shared" si="140"/>
        <v>⌶</v>
      </c>
    </row>
    <row r="9015" spans="1:2" x14ac:dyDescent="0.25">
      <c r="A9015">
        <v>9015</v>
      </c>
      <c r="B9015" t="str">
        <f t="shared" si="140"/>
        <v>⌷</v>
      </c>
    </row>
    <row r="9016" spans="1:2" x14ac:dyDescent="0.25">
      <c r="A9016">
        <v>9016</v>
      </c>
      <c r="B9016" t="str">
        <f t="shared" si="140"/>
        <v>⌸</v>
      </c>
    </row>
    <row r="9017" spans="1:2" x14ac:dyDescent="0.25">
      <c r="A9017">
        <v>9017</v>
      </c>
      <c r="B9017" t="str">
        <f t="shared" si="140"/>
        <v>⌹</v>
      </c>
    </row>
    <row r="9018" spans="1:2" x14ac:dyDescent="0.25">
      <c r="A9018">
        <v>9018</v>
      </c>
      <c r="B9018" t="str">
        <f t="shared" si="140"/>
        <v>⌺</v>
      </c>
    </row>
    <row r="9019" spans="1:2" x14ac:dyDescent="0.25">
      <c r="A9019">
        <v>9019</v>
      </c>
      <c r="B9019" t="str">
        <f t="shared" si="140"/>
        <v>⌻</v>
      </c>
    </row>
    <row r="9020" spans="1:2" x14ac:dyDescent="0.25">
      <c r="A9020">
        <v>9020</v>
      </c>
      <c r="B9020" t="str">
        <f t="shared" si="140"/>
        <v>⌼</v>
      </c>
    </row>
    <row r="9021" spans="1:2" x14ac:dyDescent="0.25">
      <c r="A9021">
        <v>9021</v>
      </c>
      <c r="B9021" t="str">
        <f t="shared" si="140"/>
        <v>⌽</v>
      </c>
    </row>
    <row r="9022" spans="1:2" x14ac:dyDescent="0.25">
      <c r="A9022">
        <v>9022</v>
      </c>
      <c r="B9022" t="str">
        <f t="shared" si="140"/>
        <v>⌾</v>
      </c>
    </row>
    <row r="9023" spans="1:2" x14ac:dyDescent="0.25">
      <c r="A9023">
        <v>9023</v>
      </c>
      <c r="B9023" t="str">
        <f t="shared" si="140"/>
        <v>⌿</v>
      </c>
    </row>
    <row r="9024" spans="1:2" x14ac:dyDescent="0.25">
      <c r="A9024">
        <v>9024</v>
      </c>
      <c r="B9024" t="str">
        <f t="shared" si="140"/>
        <v>⍀</v>
      </c>
    </row>
    <row r="9025" spans="1:2" x14ac:dyDescent="0.25">
      <c r="A9025">
        <v>9025</v>
      </c>
      <c r="B9025" t="str">
        <f t="shared" si="140"/>
        <v>⍁</v>
      </c>
    </row>
    <row r="9026" spans="1:2" x14ac:dyDescent="0.25">
      <c r="A9026">
        <v>9026</v>
      </c>
      <c r="B9026" t="str">
        <f t="shared" ref="B9026:B9089" si="141">_xlfn.UNICHAR(A9026)</f>
        <v>⍂</v>
      </c>
    </row>
    <row r="9027" spans="1:2" x14ac:dyDescent="0.25">
      <c r="A9027">
        <v>9027</v>
      </c>
      <c r="B9027" t="str">
        <f t="shared" si="141"/>
        <v>⍃</v>
      </c>
    </row>
    <row r="9028" spans="1:2" x14ac:dyDescent="0.25">
      <c r="A9028">
        <v>9028</v>
      </c>
      <c r="B9028" t="str">
        <f t="shared" si="141"/>
        <v>⍄</v>
      </c>
    </row>
    <row r="9029" spans="1:2" x14ac:dyDescent="0.25">
      <c r="A9029">
        <v>9029</v>
      </c>
      <c r="B9029" t="str">
        <f t="shared" si="141"/>
        <v>⍅</v>
      </c>
    </row>
    <row r="9030" spans="1:2" x14ac:dyDescent="0.25">
      <c r="A9030">
        <v>9030</v>
      </c>
      <c r="B9030" t="str">
        <f t="shared" si="141"/>
        <v>⍆</v>
      </c>
    </row>
    <row r="9031" spans="1:2" x14ac:dyDescent="0.25">
      <c r="A9031">
        <v>9031</v>
      </c>
      <c r="B9031" t="str">
        <f t="shared" si="141"/>
        <v>⍇</v>
      </c>
    </row>
    <row r="9032" spans="1:2" x14ac:dyDescent="0.25">
      <c r="A9032">
        <v>9032</v>
      </c>
      <c r="B9032" t="str">
        <f t="shared" si="141"/>
        <v>⍈</v>
      </c>
    </row>
    <row r="9033" spans="1:2" x14ac:dyDescent="0.25">
      <c r="A9033">
        <v>9033</v>
      </c>
      <c r="B9033" t="str">
        <f t="shared" si="141"/>
        <v>⍉</v>
      </c>
    </row>
    <row r="9034" spans="1:2" x14ac:dyDescent="0.25">
      <c r="A9034">
        <v>9034</v>
      </c>
      <c r="B9034" t="str">
        <f t="shared" si="141"/>
        <v>⍊</v>
      </c>
    </row>
    <row r="9035" spans="1:2" x14ac:dyDescent="0.25">
      <c r="A9035">
        <v>9035</v>
      </c>
      <c r="B9035" t="str">
        <f t="shared" si="141"/>
        <v>⍋</v>
      </c>
    </row>
    <row r="9036" spans="1:2" x14ac:dyDescent="0.25">
      <c r="A9036">
        <v>9036</v>
      </c>
      <c r="B9036" t="str">
        <f t="shared" si="141"/>
        <v>⍌</v>
      </c>
    </row>
    <row r="9037" spans="1:2" x14ac:dyDescent="0.25">
      <c r="A9037">
        <v>9037</v>
      </c>
      <c r="B9037" t="str">
        <f t="shared" si="141"/>
        <v>⍍</v>
      </c>
    </row>
    <row r="9038" spans="1:2" x14ac:dyDescent="0.25">
      <c r="A9038">
        <v>9038</v>
      </c>
      <c r="B9038" t="str">
        <f t="shared" si="141"/>
        <v>⍎</v>
      </c>
    </row>
    <row r="9039" spans="1:2" x14ac:dyDescent="0.25">
      <c r="A9039">
        <v>9039</v>
      </c>
      <c r="B9039" t="str">
        <f t="shared" si="141"/>
        <v>⍏</v>
      </c>
    </row>
    <row r="9040" spans="1:2" x14ac:dyDescent="0.25">
      <c r="A9040">
        <v>9040</v>
      </c>
      <c r="B9040" t="str">
        <f t="shared" si="141"/>
        <v>⍐</v>
      </c>
    </row>
    <row r="9041" spans="1:2" x14ac:dyDescent="0.25">
      <c r="A9041">
        <v>9041</v>
      </c>
      <c r="B9041" t="str">
        <f t="shared" si="141"/>
        <v>⍑</v>
      </c>
    </row>
    <row r="9042" spans="1:2" x14ac:dyDescent="0.25">
      <c r="A9042">
        <v>9042</v>
      </c>
      <c r="B9042" t="str">
        <f t="shared" si="141"/>
        <v>⍒</v>
      </c>
    </row>
    <row r="9043" spans="1:2" x14ac:dyDescent="0.25">
      <c r="A9043">
        <v>9043</v>
      </c>
      <c r="B9043" t="str">
        <f t="shared" si="141"/>
        <v>⍓</v>
      </c>
    </row>
    <row r="9044" spans="1:2" x14ac:dyDescent="0.25">
      <c r="A9044">
        <v>9044</v>
      </c>
      <c r="B9044" t="str">
        <f t="shared" si="141"/>
        <v>⍔</v>
      </c>
    </row>
    <row r="9045" spans="1:2" x14ac:dyDescent="0.25">
      <c r="A9045">
        <v>9045</v>
      </c>
      <c r="B9045" t="str">
        <f t="shared" si="141"/>
        <v>⍕</v>
      </c>
    </row>
    <row r="9046" spans="1:2" x14ac:dyDescent="0.25">
      <c r="A9046">
        <v>9046</v>
      </c>
      <c r="B9046" t="str">
        <f t="shared" si="141"/>
        <v>⍖</v>
      </c>
    </row>
    <row r="9047" spans="1:2" x14ac:dyDescent="0.25">
      <c r="A9047">
        <v>9047</v>
      </c>
      <c r="B9047" t="str">
        <f t="shared" si="141"/>
        <v>⍗</v>
      </c>
    </row>
    <row r="9048" spans="1:2" x14ac:dyDescent="0.25">
      <c r="A9048">
        <v>9048</v>
      </c>
      <c r="B9048" t="str">
        <f t="shared" si="141"/>
        <v>⍘</v>
      </c>
    </row>
    <row r="9049" spans="1:2" x14ac:dyDescent="0.25">
      <c r="A9049">
        <v>9049</v>
      </c>
      <c r="B9049" t="str">
        <f t="shared" si="141"/>
        <v>⍙</v>
      </c>
    </row>
    <row r="9050" spans="1:2" x14ac:dyDescent="0.25">
      <c r="A9050">
        <v>9050</v>
      </c>
      <c r="B9050" t="str">
        <f t="shared" si="141"/>
        <v>⍚</v>
      </c>
    </row>
    <row r="9051" spans="1:2" x14ac:dyDescent="0.25">
      <c r="A9051">
        <v>9051</v>
      </c>
      <c r="B9051" t="str">
        <f t="shared" si="141"/>
        <v>⍛</v>
      </c>
    </row>
    <row r="9052" spans="1:2" x14ac:dyDescent="0.25">
      <c r="A9052">
        <v>9052</v>
      </c>
      <c r="B9052" t="str">
        <f t="shared" si="141"/>
        <v>⍜</v>
      </c>
    </row>
    <row r="9053" spans="1:2" x14ac:dyDescent="0.25">
      <c r="A9053">
        <v>9053</v>
      </c>
      <c r="B9053" t="str">
        <f t="shared" si="141"/>
        <v>⍝</v>
      </c>
    </row>
    <row r="9054" spans="1:2" x14ac:dyDescent="0.25">
      <c r="A9054">
        <v>9054</v>
      </c>
      <c r="B9054" t="str">
        <f t="shared" si="141"/>
        <v>⍞</v>
      </c>
    </row>
    <row r="9055" spans="1:2" x14ac:dyDescent="0.25">
      <c r="A9055">
        <v>9055</v>
      </c>
      <c r="B9055" t="str">
        <f t="shared" si="141"/>
        <v>⍟</v>
      </c>
    </row>
    <row r="9056" spans="1:2" x14ac:dyDescent="0.25">
      <c r="A9056">
        <v>9056</v>
      </c>
      <c r="B9056" t="str">
        <f t="shared" si="141"/>
        <v>⍠</v>
      </c>
    </row>
    <row r="9057" spans="1:2" x14ac:dyDescent="0.25">
      <c r="A9057">
        <v>9057</v>
      </c>
      <c r="B9057" t="str">
        <f t="shared" si="141"/>
        <v>⍡</v>
      </c>
    </row>
    <row r="9058" spans="1:2" x14ac:dyDescent="0.25">
      <c r="A9058">
        <v>9058</v>
      </c>
      <c r="B9058" t="str">
        <f t="shared" si="141"/>
        <v>⍢</v>
      </c>
    </row>
    <row r="9059" spans="1:2" x14ac:dyDescent="0.25">
      <c r="A9059">
        <v>9059</v>
      </c>
      <c r="B9059" t="str">
        <f t="shared" si="141"/>
        <v>⍣</v>
      </c>
    </row>
    <row r="9060" spans="1:2" x14ac:dyDescent="0.25">
      <c r="A9060">
        <v>9060</v>
      </c>
      <c r="B9060" t="str">
        <f t="shared" si="141"/>
        <v>⍤</v>
      </c>
    </row>
    <row r="9061" spans="1:2" x14ac:dyDescent="0.25">
      <c r="A9061">
        <v>9061</v>
      </c>
      <c r="B9061" t="str">
        <f t="shared" si="141"/>
        <v>⍥</v>
      </c>
    </row>
    <row r="9062" spans="1:2" x14ac:dyDescent="0.25">
      <c r="A9062">
        <v>9062</v>
      </c>
      <c r="B9062" t="str">
        <f t="shared" si="141"/>
        <v>⍦</v>
      </c>
    </row>
    <row r="9063" spans="1:2" x14ac:dyDescent="0.25">
      <c r="A9063">
        <v>9063</v>
      </c>
      <c r="B9063" t="str">
        <f t="shared" si="141"/>
        <v>⍧</v>
      </c>
    </row>
    <row r="9064" spans="1:2" x14ac:dyDescent="0.25">
      <c r="A9064">
        <v>9064</v>
      </c>
      <c r="B9064" t="str">
        <f t="shared" si="141"/>
        <v>⍨</v>
      </c>
    </row>
    <row r="9065" spans="1:2" x14ac:dyDescent="0.25">
      <c r="A9065">
        <v>9065</v>
      </c>
      <c r="B9065" t="str">
        <f t="shared" si="141"/>
        <v>⍩</v>
      </c>
    </row>
    <row r="9066" spans="1:2" x14ac:dyDescent="0.25">
      <c r="A9066">
        <v>9066</v>
      </c>
      <c r="B9066" t="str">
        <f t="shared" si="141"/>
        <v>⍪</v>
      </c>
    </row>
    <row r="9067" spans="1:2" x14ac:dyDescent="0.25">
      <c r="A9067">
        <v>9067</v>
      </c>
      <c r="B9067" t="str">
        <f t="shared" si="141"/>
        <v>⍫</v>
      </c>
    </row>
    <row r="9068" spans="1:2" x14ac:dyDescent="0.25">
      <c r="A9068">
        <v>9068</v>
      </c>
      <c r="B9068" t="str">
        <f t="shared" si="141"/>
        <v>⍬</v>
      </c>
    </row>
    <row r="9069" spans="1:2" x14ac:dyDescent="0.25">
      <c r="A9069">
        <v>9069</v>
      </c>
      <c r="B9069" t="str">
        <f t="shared" si="141"/>
        <v>⍭</v>
      </c>
    </row>
    <row r="9070" spans="1:2" x14ac:dyDescent="0.25">
      <c r="A9070">
        <v>9070</v>
      </c>
      <c r="B9070" t="str">
        <f t="shared" si="141"/>
        <v>⍮</v>
      </c>
    </row>
    <row r="9071" spans="1:2" x14ac:dyDescent="0.25">
      <c r="A9071">
        <v>9071</v>
      </c>
      <c r="B9071" t="str">
        <f t="shared" si="141"/>
        <v>⍯</v>
      </c>
    </row>
    <row r="9072" spans="1:2" x14ac:dyDescent="0.25">
      <c r="A9072">
        <v>9072</v>
      </c>
      <c r="B9072" t="str">
        <f t="shared" si="141"/>
        <v>⍰</v>
      </c>
    </row>
    <row r="9073" spans="1:2" x14ac:dyDescent="0.25">
      <c r="A9073">
        <v>9073</v>
      </c>
      <c r="B9073" t="str">
        <f t="shared" si="141"/>
        <v>⍱</v>
      </c>
    </row>
    <row r="9074" spans="1:2" x14ac:dyDescent="0.25">
      <c r="A9074">
        <v>9074</v>
      </c>
      <c r="B9074" t="str">
        <f t="shared" si="141"/>
        <v>⍲</v>
      </c>
    </row>
    <row r="9075" spans="1:2" x14ac:dyDescent="0.25">
      <c r="A9075">
        <v>9075</v>
      </c>
      <c r="B9075" t="str">
        <f t="shared" si="141"/>
        <v>⍳</v>
      </c>
    </row>
    <row r="9076" spans="1:2" x14ac:dyDescent="0.25">
      <c r="A9076">
        <v>9076</v>
      </c>
      <c r="B9076" t="str">
        <f t="shared" si="141"/>
        <v>⍴</v>
      </c>
    </row>
    <row r="9077" spans="1:2" x14ac:dyDescent="0.25">
      <c r="A9077">
        <v>9077</v>
      </c>
      <c r="B9077" t="str">
        <f t="shared" si="141"/>
        <v>⍵</v>
      </c>
    </row>
    <row r="9078" spans="1:2" x14ac:dyDescent="0.25">
      <c r="A9078">
        <v>9078</v>
      </c>
      <c r="B9078" t="str">
        <f t="shared" si="141"/>
        <v>⍶</v>
      </c>
    </row>
    <row r="9079" spans="1:2" x14ac:dyDescent="0.25">
      <c r="A9079">
        <v>9079</v>
      </c>
      <c r="B9079" t="str">
        <f t="shared" si="141"/>
        <v>⍷</v>
      </c>
    </row>
    <row r="9080" spans="1:2" x14ac:dyDescent="0.25">
      <c r="A9080">
        <v>9080</v>
      </c>
      <c r="B9080" t="str">
        <f t="shared" si="141"/>
        <v>⍸</v>
      </c>
    </row>
    <row r="9081" spans="1:2" x14ac:dyDescent="0.25">
      <c r="A9081">
        <v>9081</v>
      </c>
      <c r="B9081" t="str">
        <f t="shared" si="141"/>
        <v>⍹</v>
      </c>
    </row>
    <row r="9082" spans="1:2" x14ac:dyDescent="0.25">
      <c r="A9082">
        <v>9082</v>
      </c>
      <c r="B9082" t="str">
        <f t="shared" si="141"/>
        <v>⍺</v>
      </c>
    </row>
    <row r="9083" spans="1:2" x14ac:dyDescent="0.25">
      <c r="A9083">
        <v>9083</v>
      </c>
      <c r="B9083" t="str">
        <f t="shared" si="141"/>
        <v>⍻</v>
      </c>
    </row>
    <row r="9084" spans="1:2" x14ac:dyDescent="0.25">
      <c r="A9084">
        <v>9084</v>
      </c>
      <c r="B9084" t="str">
        <f t="shared" si="141"/>
        <v>⍼</v>
      </c>
    </row>
    <row r="9085" spans="1:2" x14ac:dyDescent="0.25">
      <c r="A9085">
        <v>9085</v>
      </c>
      <c r="B9085" t="str">
        <f t="shared" si="141"/>
        <v>⍽</v>
      </c>
    </row>
    <row r="9086" spans="1:2" x14ac:dyDescent="0.25">
      <c r="A9086">
        <v>9086</v>
      </c>
      <c r="B9086" t="str">
        <f t="shared" si="141"/>
        <v>⍾</v>
      </c>
    </row>
    <row r="9087" spans="1:2" x14ac:dyDescent="0.25">
      <c r="A9087">
        <v>9087</v>
      </c>
      <c r="B9087" t="str">
        <f t="shared" si="141"/>
        <v>⍿</v>
      </c>
    </row>
    <row r="9088" spans="1:2" x14ac:dyDescent="0.25">
      <c r="A9088">
        <v>9088</v>
      </c>
      <c r="B9088" t="str">
        <f t="shared" si="141"/>
        <v>⎀</v>
      </c>
    </row>
    <row r="9089" spans="1:2" x14ac:dyDescent="0.25">
      <c r="A9089">
        <v>9089</v>
      </c>
      <c r="B9089" t="str">
        <f t="shared" si="141"/>
        <v>⎁</v>
      </c>
    </row>
    <row r="9090" spans="1:2" x14ac:dyDescent="0.25">
      <c r="A9090">
        <v>9090</v>
      </c>
      <c r="B9090" t="str">
        <f t="shared" ref="B9090:B9153" si="142">_xlfn.UNICHAR(A9090)</f>
        <v>⎂</v>
      </c>
    </row>
    <row r="9091" spans="1:2" x14ac:dyDescent="0.25">
      <c r="A9091">
        <v>9091</v>
      </c>
      <c r="B9091" t="str">
        <f t="shared" si="142"/>
        <v>⎃</v>
      </c>
    </row>
    <row r="9092" spans="1:2" x14ac:dyDescent="0.25">
      <c r="A9092">
        <v>9092</v>
      </c>
      <c r="B9092" t="str">
        <f t="shared" si="142"/>
        <v>⎄</v>
      </c>
    </row>
    <row r="9093" spans="1:2" x14ac:dyDescent="0.25">
      <c r="A9093">
        <v>9093</v>
      </c>
      <c r="B9093" t="str">
        <f t="shared" si="142"/>
        <v>⎅</v>
      </c>
    </row>
    <row r="9094" spans="1:2" x14ac:dyDescent="0.25">
      <c r="A9094">
        <v>9094</v>
      </c>
      <c r="B9094" t="str">
        <f t="shared" si="142"/>
        <v>⎆</v>
      </c>
    </row>
    <row r="9095" spans="1:2" x14ac:dyDescent="0.25">
      <c r="A9095">
        <v>9095</v>
      </c>
      <c r="B9095" t="str">
        <f t="shared" si="142"/>
        <v>⎇</v>
      </c>
    </row>
    <row r="9096" spans="1:2" x14ac:dyDescent="0.25">
      <c r="A9096">
        <v>9096</v>
      </c>
      <c r="B9096" t="str">
        <f t="shared" si="142"/>
        <v>⎈</v>
      </c>
    </row>
    <row r="9097" spans="1:2" x14ac:dyDescent="0.25">
      <c r="A9097">
        <v>9097</v>
      </c>
      <c r="B9097" t="str">
        <f t="shared" si="142"/>
        <v>⎉</v>
      </c>
    </row>
    <row r="9098" spans="1:2" x14ac:dyDescent="0.25">
      <c r="A9098">
        <v>9098</v>
      </c>
      <c r="B9098" t="str">
        <f t="shared" si="142"/>
        <v>⎊</v>
      </c>
    </row>
    <row r="9099" spans="1:2" x14ac:dyDescent="0.25">
      <c r="A9099">
        <v>9099</v>
      </c>
      <c r="B9099" t="str">
        <f t="shared" si="142"/>
        <v>⎋</v>
      </c>
    </row>
    <row r="9100" spans="1:2" x14ac:dyDescent="0.25">
      <c r="A9100">
        <v>9100</v>
      </c>
      <c r="B9100" t="str">
        <f t="shared" si="142"/>
        <v>⎌</v>
      </c>
    </row>
    <row r="9101" spans="1:2" x14ac:dyDescent="0.25">
      <c r="A9101">
        <v>9101</v>
      </c>
      <c r="B9101" t="str">
        <f t="shared" si="142"/>
        <v>⎍</v>
      </c>
    </row>
    <row r="9102" spans="1:2" x14ac:dyDescent="0.25">
      <c r="A9102">
        <v>9102</v>
      </c>
      <c r="B9102" t="str">
        <f t="shared" si="142"/>
        <v>⎎</v>
      </c>
    </row>
    <row r="9103" spans="1:2" x14ac:dyDescent="0.25">
      <c r="A9103">
        <v>9103</v>
      </c>
      <c r="B9103" t="str">
        <f t="shared" si="142"/>
        <v>⎏</v>
      </c>
    </row>
    <row r="9104" spans="1:2" x14ac:dyDescent="0.25">
      <c r="A9104">
        <v>9104</v>
      </c>
      <c r="B9104" t="str">
        <f t="shared" si="142"/>
        <v>⎐</v>
      </c>
    </row>
    <row r="9105" spans="1:2" x14ac:dyDescent="0.25">
      <c r="A9105">
        <v>9105</v>
      </c>
      <c r="B9105" t="str">
        <f t="shared" si="142"/>
        <v>⎑</v>
      </c>
    </row>
    <row r="9106" spans="1:2" x14ac:dyDescent="0.25">
      <c r="A9106">
        <v>9106</v>
      </c>
      <c r="B9106" t="str">
        <f t="shared" si="142"/>
        <v>⎒</v>
      </c>
    </row>
    <row r="9107" spans="1:2" x14ac:dyDescent="0.25">
      <c r="A9107">
        <v>9107</v>
      </c>
      <c r="B9107" t="str">
        <f t="shared" si="142"/>
        <v>⎓</v>
      </c>
    </row>
    <row r="9108" spans="1:2" x14ac:dyDescent="0.25">
      <c r="A9108">
        <v>9108</v>
      </c>
      <c r="B9108" t="str">
        <f t="shared" si="142"/>
        <v>⎔</v>
      </c>
    </row>
    <row r="9109" spans="1:2" x14ac:dyDescent="0.25">
      <c r="A9109">
        <v>9109</v>
      </c>
      <c r="B9109" t="str">
        <f t="shared" si="142"/>
        <v>⎕</v>
      </c>
    </row>
    <row r="9110" spans="1:2" x14ac:dyDescent="0.25">
      <c r="A9110">
        <v>9110</v>
      </c>
      <c r="B9110" t="str">
        <f t="shared" si="142"/>
        <v>⎖</v>
      </c>
    </row>
    <row r="9111" spans="1:2" x14ac:dyDescent="0.25">
      <c r="A9111">
        <v>9111</v>
      </c>
      <c r="B9111" t="str">
        <f t="shared" si="142"/>
        <v>⎗</v>
      </c>
    </row>
    <row r="9112" spans="1:2" x14ac:dyDescent="0.25">
      <c r="A9112">
        <v>9112</v>
      </c>
      <c r="B9112" t="str">
        <f t="shared" si="142"/>
        <v>⎘</v>
      </c>
    </row>
    <row r="9113" spans="1:2" x14ac:dyDescent="0.25">
      <c r="A9113">
        <v>9113</v>
      </c>
      <c r="B9113" t="str">
        <f t="shared" si="142"/>
        <v>⎙</v>
      </c>
    </row>
    <row r="9114" spans="1:2" x14ac:dyDescent="0.25">
      <c r="A9114">
        <v>9114</v>
      </c>
      <c r="B9114" t="str">
        <f t="shared" si="142"/>
        <v>⎚</v>
      </c>
    </row>
    <row r="9115" spans="1:2" x14ac:dyDescent="0.25">
      <c r="A9115">
        <v>9115</v>
      </c>
      <c r="B9115" t="str">
        <f t="shared" si="142"/>
        <v>⎛</v>
      </c>
    </row>
    <row r="9116" spans="1:2" x14ac:dyDescent="0.25">
      <c r="A9116">
        <v>9116</v>
      </c>
      <c r="B9116" t="str">
        <f t="shared" si="142"/>
        <v>⎜</v>
      </c>
    </row>
    <row r="9117" spans="1:2" x14ac:dyDescent="0.25">
      <c r="A9117">
        <v>9117</v>
      </c>
      <c r="B9117" t="str">
        <f t="shared" si="142"/>
        <v>⎝</v>
      </c>
    </row>
    <row r="9118" spans="1:2" x14ac:dyDescent="0.25">
      <c r="A9118">
        <v>9118</v>
      </c>
      <c r="B9118" t="str">
        <f t="shared" si="142"/>
        <v>⎞</v>
      </c>
    </row>
    <row r="9119" spans="1:2" x14ac:dyDescent="0.25">
      <c r="A9119">
        <v>9119</v>
      </c>
      <c r="B9119" t="str">
        <f t="shared" si="142"/>
        <v>⎟</v>
      </c>
    </row>
    <row r="9120" spans="1:2" x14ac:dyDescent="0.25">
      <c r="A9120">
        <v>9120</v>
      </c>
      <c r="B9120" t="str">
        <f t="shared" si="142"/>
        <v>⎠</v>
      </c>
    </row>
    <row r="9121" spans="1:2" x14ac:dyDescent="0.25">
      <c r="A9121">
        <v>9121</v>
      </c>
      <c r="B9121" t="str">
        <f t="shared" si="142"/>
        <v>⎡</v>
      </c>
    </row>
    <row r="9122" spans="1:2" x14ac:dyDescent="0.25">
      <c r="A9122">
        <v>9122</v>
      </c>
      <c r="B9122" t="str">
        <f t="shared" si="142"/>
        <v>⎢</v>
      </c>
    </row>
    <row r="9123" spans="1:2" x14ac:dyDescent="0.25">
      <c r="A9123">
        <v>9123</v>
      </c>
      <c r="B9123" t="str">
        <f t="shared" si="142"/>
        <v>⎣</v>
      </c>
    </row>
    <row r="9124" spans="1:2" x14ac:dyDescent="0.25">
      <c r="A9124">
        <v>9124</v>
      </c>
      <c r="B9124" t="str">
        <f t="shared" si="142"/>
        <v>⎤</v>
      </c>
    </row>
    <row r="9125" spans="1:2" x14ac:dyDescent="0.25">
      <c r="A9125">
        <v>9125</v>
      </c>
      <c r="B9125" t="str">
        <f t="shared" si="142"/>
        <v>⎥</v>
      </c>
    </row>
    <row r="9126" spans="1:2" x14ac:dyDescent="0.25">
      <c r="A9126">
        <v>9126</v>
      </c>
      <c r="B9126" t="str">
        <f t="shared" si="142"/>
        <v>⎦</v>
      </c>
    </row>
    <row r="9127" spans="1:2" x14ac:dyDescent="0.25">
      <c r="A9127">
        <v>9127</v>
      </c>
      <c r="B9127" t="str">
        <f t="shared" si="142"/>
        <v>⎧</v>
      </c>
    </row>
    <row r="9128" spans="1:2" x14ac:dyDescent="0.25">
      <c r="A9128">
        <v>9128</v>
      </c>
      <c r="B9128" t="str">
        <f t="shared" si="142"/>
        <v>⎨</v>
      </c>
    </row>
    <row r="9129" spans="1:2" x14ac:dyDescent="0.25">
      <c r="A9129">
        <v>9129</v>
      </c>
      <c r="B9129" t="str">
        <f t="shared" si="142"/>
        <v>⎩</v>
      </c>
    </row>
    <row r="9130" spans="1:2" x14ac:dyDescent="0.25">
      <c r="A9130">
        <v>9130</v>
      </c>
      <c r="B9130" t="str">
        <f t="shared" si="142"/>
        <v>⎪</v>
      </c>
    </row>
    <row r="9131" spans="1:2" x14ac:dyDescent="0.25">
      <c r="A9131">
        <v>9131</v>
      </c>
      <c r="B9131" t="str">
        <f t="shared" si="142"/>
        <v>⎫</v>
      </c>
    </row>
    <row r="9132" spans="1:2" x14ac:dyDescent="0.25">
      <c r="A9132">
        <v>9132</v>
      </c>
      <c r="B9132" t="str">
        <f t="shared" si="142"/>
        <v>⎬</v>
      </c>
    </row>
    <row r="9133" spans="1:2" x14ac:dyDescent="0.25">
      <c r="A9133">
        <v>9133</v>
      </c>
      <c r="B9133" t="str">
        <f t="shared" si="142"/>
        <v>⎭</v>
      </c>
    </row>
    <row r="9134" spans="1:2" x14ac:dyDescent="0.25">
      <c r="A9134">
        <v>9134</v>
      </c>
      <c r="B9134" t="str">
        <f t="shared" si="142"/>
        <v>⎮</v>
      </c>
    </row>
    <row r="9135" spans="1:2" x14ac:dyDescent="0.25">
      <c r="A9135">
        <v>9135</v>
      </c>
      <c r="B9135" t="str">
        <f t="shared" si="142"/>
        <v>⎯</v>
      </c>
    </row>
    <row r="9136" spans="1:2" x14ac:dyDescent="0.25">
      <c r="A9136">
        <v>9136</v>
      </c>
      <c r="B9136" t="str">
        <f t="shared" si="142"/>
        <v>⎰</v>
      </c>
    </row>
    <row r="9137" spans="1:2" x14ac:dyDescent="0.25">
      <c r="A9137">
        <v>9137</v>
      </c>
      <c r="B9137" t="str">
        <f t="shared" si="142"/>
        <v>⎱</v>
      </c>
    </row>
    <row r="9138" spans="1:2" x14ac:dyDescent="0.25">
      <c r="A9138">
        <v>9138</v>
      </c>
      <c r="B9138" t="str">
        <f t="shared" si="142"/>
        <v>⎲</v>
      </c>
    </row>
    <row r="9139" spans="1:2" x14ac:dyDescent="0.25">
      <c r="A9139">
        <v>9139</v>
      </c>
      <c r="B9139" t="str">
        <f t="shared" si="142"/>
        <v>⎳</v>
      </c>
    </row>
    <row r="9140" spans="1:2" x14ac:dyDescent="0.25">
      <c r="A9140">
        <v>9140</v>
      </c>
      <c r="B9140" t="str">
        <f t="shared" si="142"/>
        <v>⎴</v>
      </c>
    </row>
    <row r="9141" spans="1:2" x14ac:dyDescent="0.25">
      <c r="A9141">
        <v>9141</v>
      </c>
      <c r="B9141" t="str">
        <f t="shared" si="142"/>
        <v>⎵</v>
      </c>
    </row>
    <row r="9142" spans="1:2" x14ac:dyDescent="0.25">
      <c r="A9142">
        <v>9142</v>
      </c>
      <c r="B9142" t="str">
        <f t="shared" si="142"/>
        <v>⎶</v>
      </c>
    </row>
    <row r="9143" spans="1:2" x14ac:dyDescent="0.25">
      <c r="A9143">
        <v>9143</v>
      </c>
      <c r="B9143" t="str">
        <f t="shared" si="142"/>
        <v>⎷</v>
      </c>
    </row>
    <row r="9144" spans="1:2" x14ac:dyDescent="0.25">
      <c r="A9144">
        <v>9144</v>
      </c>
      <c r="B9144" t="str">
        <f t="shared" si="142"/>
        <v>⎸</v>
      </c>
    </row>
    <row r="9145" spans="1:2" x14ac:dyDescent="0.25">
      <c r="A9145">
        <v>9145</v>
      </c>
      <c r="B9145" t="str">
        <f t="shared" si="142"/>
        <v>⎹</v>
      </c>
    </row>
    <row r="9146" spans="1:2" x14ac:dyDescent="0.25">
      <c r="A9146">
        <v>9146</v>
      </c>
      <c r="B9146" t="str">
        <f t="shared" si="142"/>
        <v>⎺</v>
      </c>
    </row>
    <row r="9147" spans="1:2" x14ac:dyDescent="0.25">
      <c r="A9147">
        <v>9147</v>
      </c>
      <c r="B9147" t="str">
        <f t="shared" si="142"/>
        <v>⎻</v>
      </c>
    </row>
    <row r="9148" spans="1:2" x14ac:dyDescent="0.25">
      <c r="A9148">
        <v>9148</v>
      </c>
      <c r="B9148" t="str">
        <f t="shared" si="142"/>
        <v>⎼</v>
      </c>
    </row>
    <row r="9149" spans="1:2" x14ac:dyDescent="0.25">
      <c r="A9149">
        <v>9149</v>
      </c>
      <c r="B9149" t="str">
        <f t="shared" si="142"/>
        <v>⎽</v>
      </c>
    </row>
    <row r="9150" spans="1:2" x14ac:dyDescent="0.25">
      <c r="A9150">
        <v>9150</v>
      </c>
      <c r="B9150" t="str">
        <f t="shared" si="142"/>
        <v>⎾</v>
      </c>
    </row>
    <row r="9151" spans="1:2" x14ac:dyDescent="0.25">
      <c r="A9151">
        <v>9151</v>
      </c>
      <c r="B9151" t="str">
        <f t="shared" si="142"/>
        <v>⎿</v>
      </c>
    </row>
    <row r="9152" spans="1:2" x14ac:dyDescent="0.25">
      <c r="A9152">
        <v>9152</v>
      </c>
      <c r="B9152" t="str">
        <f t="shared" si="142"/>
        <v>⏀</v>
      </c>
    </row>
    <row r="9153" spans="1:2" x14ac:dyDescent="0.25">
      <c r="A9153">
        <v>9153</v>
      </c>
      <c r="B9153" t="str">
        <f t="shared" si="142"/>
        <v>⏁</v>
      </c>
    </row>
    <row r="9154" spans="1:2" x14ac:dyDescent="0.25">
      <c r="A9154">
        <v>9154</v>
      </c>
      <c r="B9154" t="str">
        <f t="shared" ref="B9154:B9217" si="143">_xlfn.UNICHAR(A9154)</f>
        <v>⏂</v>
      </c>
    </row>
    <row r="9155" spans="1:2" x14ac:dyDescent="0.25">
      <c r="A9155">
        <v>9155</v>
      </c>
      <c r="B9155" t="str">
        <f t="shared" si="143"/>
        <v>⏃</v>
      </c>
    </row>
    <row r="9156" spans="1:2" x14ac:dyDescent="0.25">
      <c r="A9156">
        <v>9156</v>
      </c>
      <c r="B9156" t="str">
        <f t="shared" si="143"/>
        <v>⏄</v>
      </c>
    </row>
    <row r="9157" spans="1:2" x14ac:dyDescent="0.25">
      <c r="A9157">
        <v>9157</v>
      </c>
      <c r="B9157" t="str">
        <f t="shared" si="143"/>
        <v>⏅</v>
      </c>
    </row>
    <row r="9158" spans="1:2" x14ac:dyDescent="0.25">
      <c r="A9158">
        <v>9158</v>
      </c>
      <c r="B9158" t="str">
        <f t="shared" si="143"/>
        <v>⏆</v>
      </c>
    </row>
    <row r="9159" spans="1:2" x14ac:dyDescent="0.25">
      <c r="A9159">
        <v>9159</v>
      </c>
      <c r="B9159" t="str">
        <f t="shared" si="143"/>
        <v>⏇</v>
      </c>
    </row>
    <row r="9160" spans="1:2" x14ac:dyDescent="0.25">
      <c r="A9160">
        <v>9160</v>
      </c>
      <c r="B9160" t="str">
        <f t="shared" si="143"/>
        <v>⏈</v>
      </c>
    </row>
    <row r="9161" spans="1:2" x14ac:dyDescent="0.25">
      <c r="A9161">
        <v>9161</v>
      </c>
      <c r="B9161" t="str">
        <f t="shared" si="143"/>
        <v>⏉</v>
      </c>
    </row>
    <row r="9162" spans="1:2" x14ac:dyDescent="0.25">
      <c r="A9162">
        <v>9162</v>
      </c>
      <c r="B9162" t="str">
        <f t="shared" si="143"/>
        <v>⏊</v>
      </c>
    </row>
    <row r="9163" spans="1:2" x14ac:dyDescent="0.25">
      <c r="A9163">
        <v>9163</v>
      </c>
      <c r="B9163" t="str">
        <f t="shared" si="143"/>
        <v>⏋</v>
      </c>
    </row>
    <row r="9164" spans="1:2" x14ac:dyDescent="0.25">
      <c r="A9164">
        <v>9164</v>
      </c>
      <c r="B9164" t="str">
        <f t="shared" si="143"/>
        <v>⏌</v>
      </c>
    </row>
    <row r="9165" spans="1:2" x14ac:dyDescent="0.25">
      <c r="A9165">
        <v>9165</v>
      </c>
      <c r="B9165" t="str">
        <f t="shared" si="143"/>
        <v>⏍</v>
      </c>
    </row>
    <row r="9166" spans="1:2" x14ac:dyDescent="0.25">
      <c r="A9166">
        <v>9166</v>
      </c>
      <c r="B9166" t="str">
        <f t="shared" si="143"/>
        <v>⏎</v>
      </c>
    </row>
    <row r="9167" spans="1:2" x14ac:dyDescent="0.25">
      <c r="A9167">
        <v>9167</v>
      </c>
      <c r="B9167" t="str">
        <f t="shared" si="143"/>
        <v>⏏</v>
      </c>
    </row>
    <row r="9168" spans="1:2" x14ac:dyDescent="0.25">
      <c r="A9168">
        <v>9168</v>
      </c>
      <c r="B9168" t="str">
        <f t="shared" si="143"/>
        <v>⏐</v>
      </c>
    </row>
    <row r="9169" spans="1:2" x14ac:dyDescent="0.25">
      <c r="A9169">
        <v>9169</v>
      </c>
      <c r="B9169" t="str">
        <f t="shared" si="143"/>
        <v>⏑</v>
      </c>
    </row>
    <row r="9170" spans="1:2" x14ac:dyDescent="0.25">
      <c r="A9170">
        <v>9170</v>
      </c>
      <c r="B9170" t="str">
        <f t="shared" si="143"/>
        <v>⏒</v>
      </c>
    </row>
    <row r="9171" spans="1:2" x14ac:dyDescent="0.25">
      <c r="A9171">
        <v>9171</v>
      </c>
      <c r="B9171" t="str">
        <f t="shared" si="143"/>
        <v>⏓</v>
      </c>
    </row>
    <row r="9172" spans="1:2" x14ac:dyDescent="0.25">
      <c r="A9172">
        <v>9172</v>
      </c>
      <c r="B9172" t="str">
        <f t="shared" si="143"/>
        <v>⏔</v>
      </c>
    </row>
    <row r="9173" spans="1:2" x14ac:dyDescent="0.25">
      <c r="A9173">
        <v>9173</v>
      </c>
      <c r="B9173" t="str">
        <f t="shared" si="143"/>
        <v>⏕</v>
      </c>
    </row>
    <row r="9174" spans="1:2" x14ac:dyDescent="0.25">
      <c r="A9174">
        <v>9174</v>
      </c>
      <c r="B9174" t="str">
        <f t="shared" si="143"/>
        <v>⏖</v>
      </c>
    </row>
    <row r="9175" spans="1:2" x14ac:dyDescent="0.25">
      <c r="A9175">
        <v>9175</v>
      </c>
      <c r="B9175" t="str">
        <f t="shared" si="143"/>
        <v>⏗</v>
      </c>
    </row>
    <row r="9176" spans="1:2" x14ac:dyDescent="0.25">
      <c r="A9176">
        <v>9176</v>
      </c>
      <c r="B9176" t="str">
        <f t="shared" si="143"/>
        <v>⏘</v>
      </c>
    </row>
    <row r="9177" spans="1:2" x14ac:dyDescent="0.25">
      <c r="A9177">
        <v>9177</v>
      </c>
      <c r="B9177" t="str">
        <f t="shared" si="143"/>
        <v>⏙</v>
      </c>
    </row>
    <row r="9178" spans="1:2" x14ac:dyDescent="0.25">
      <c r="A9178">
        <v>9178</v>
      </c>
      <c r="B9178" t="str">
        <f t="shared" si="143"/>
        <v>⏚</v>
      </c>
    </row>
    <row r="9179" spans="1:2" x14ac:dyDescent="0.25">
      <c r="A9179">
        <v>9179</v>
      </c>
      <c r="B9179" t="str">
        <f t="shared" si="143"/>
        <v>⏛</v>
      </c>
    </row>
    <row r="9180" spans="1:2" x14ac:dyDescent="0.25">
      <c r="A9180">
        <v>9180</v>
      </c>
      <c r="B9180" t="str">
        <f t="shared" si="143"/>
        <v>⏜</v>
      </c>
    </row>
    <row r="9181" spans="1:2" x14ac:dyDescent="0.25">
      <c r="A9181">
        <v>9181</v>
      </c>
      <c r="B9181" t="str">
        <f t="shared" si="143"/>
        <v>⏝</v>
      </c>
    </row>
    <row r="9182" spans="1:2" x14ac:dyDescent="0.25">
      <c r="A9182">
        <v>9182</v>
      </c>
      <c r="B9182" t="str">
        <f t="shared" si="143"/>
        <v>⏞</v>
      </c>
    </row>
    <row r="9183" spans="1:2" x14ac:dyDescent="0.25">
      <c r="A9183">
        <v>9183</v>
      </c>
      <c r="B9183" t="str">
        <f t="shared" si="143"/>
        <v>⏟</v>
      </c>
    </row>
    <row r="9184" spans="1:2" x14ac:dyDescent="0.25">
      <c r="A9184">
        <v>9184</v>
      </c>
      <c r="B9184" t="str">
        <f t="shared" si="143"/>
        <v>⏠</v>
      </c>
    </row>
    <row r="9185" spans="1:2" x14ac:dyDescent="0.25">
      <c r="A9185">
        <v>9185</v>
      </c>
      <c r="B9185" t="str">
        <f t="shared" si="143"/>
        <v>⏡</v>
      </c>
    </row>
    <row r="9186" spans="1:2" x14ac:dyDescent="0.25">
      <c r="A9186">
        <v>9186</v>
      </c>
      <c r="B9186" t="str">
        <f t="shared" si="143"/>
        <v>⏢</v>
      </c>
    </row>
    <row r="9187" spans="1:2" x14ac:dyDescent="0.25">
      <c r="A9187">
        <v>9187</v>
      </c>
      <c r="B9187" t="str">
        <f t="shared" si="143"/>
        <v>⏣</v>
      </c>
    </row>
    <row r="9188" spans="1:2" x14ac:dyDescent="0.25">
      <c r="A9188">
        <v>9188</v>
      </c>
      <c r="B9188" t="str">
        <f t="shared" si="143"/>
        <v>⏤</v>
      </c>
    </row>
    <row r="9189" spans="1:2" x14ac:dyDescent="0.25">
      <c r="A9189">
        <v>9189</v>
      </c>
      <c r="B9189" t="str">
        <f t="shared" si="143"/>
        <v>⏥</v>
      </c>
    </row>
    <row r="9190" spans="1:2" x14ac:dyDescent="0.25">
      <c r="A9190">
        <v>9190</v>
      </c>
      <c r="B9190" t="str">
        <f t="shared" si="143"/>
        <v>⏦</v>
      </c>
    </row>
    <row r="9191" spans="1:2" x14ac:dyDescent="0.25">
      <c r="A9191">
        <v>9191</v>
      </c>
      <c r="B9191" t="str">
        <f t="shared" si="143"/>
        <v>⏧</v>
      </c>
    </row>
    <row r="9192" spans="1:2" x14ac:dyDescent="0.25">
      <c r="A9192">
        <v>9192</v>
      </c>
      <c r="B9192" t="str">
        <f t="shared" si="143"/>
        <v>⏨</v>
      </c>
    </row>
    <row r="9193" spans="1:2" x14ac:dyDescent="0.25">
      <c r="A9193">
        <v>9193</v>
      </c>
      <c r="B9193" t="str">
        <f t="shared" si="143"/>
        <v>⏩</v>
      </c>
    </row>
    <row r="9194" spans="1:2" x14ac:dyDescent="0.25">
      <c r="A9194">
        <v>9194</v>
      </c>
      <c r="B9194" t="str">
        <f t="shared" si="143"/>
        <v>⏪</v>
      </c>
    </row>
    <row r="9195" spans="1:2" x14ac:dyDescent="0.25">
      <c r="A9195">
        <v>9195</v>
      </c>
      <c r="B9195" t="str">
        <f t="shared" si="143"/>
        <v>⏫</v>
      </c>
    </row>
    <row r="9196" spans="1:2" x14ac:dyDescent="0.25">
      <c r="A9196">
        <v>9196</v>
      </c>
      <c r="B9196" t="str">
        <f t="shared" si="143"/>
        <v>⏬</v>
      </c>
    </row>
    <row r="9197" spans="1:2" x14ac:dyDescent="0.25">
      <c r="A9197">
        <v>9197</v>
      </c>
      <c r="B9197" t="str">
        <f t="shared" si="143"/>
        <v>⏭</v>
      </c>
    </row>
    <row r="9198" spans="1:2" x14ac:dyDescent="0.25">
      <c r="A9198">
        <v>9198</v>
      </c>
      <c r="B9198" t="str">
        <f t="shared" si="143"/>
        <v>⏮</v>
      </c>
    </row>
    <row r="9199" spans="1:2" x14ac:dyDescent="0.25">
      <c r="A9199">
        <v>9199</v>
      </c>
      <c r="B9199" t="str">
        <f t="shared" si="143"/>
        <v>⏯</v>
      </c>
    </row>
    <row r="9200" spans="1:2" x14ac:dyDescent="0.25">
      <c r="A9200">
        <v>9200</v>
      </c>
      <c r="B9200" t="str">
        <f t="shared" si="143"/>
        <v>⏰</v>
      </c>
    </row>
    <row r="9201" spans="1:2" x14ac:dyDescent="0.25">
      <c r="A9201">
        <v>9201</v>
      </c>
      <c r="B9201" t="str">
        <f t="shared" si="143"/>
        <v>⏱</v>
      </c>
    </row>
    <row r="9202" spans="1:2" x14ac:dyDescent="0.25">
      <c r="A9202">
        <v>9202</v>
      </c>
      <c r="B9202" t="str">
        <f t="shared" si="143"/>
        <v>⏲</v>
      </c>
    </row>
    <row r="9203" spans="1:2" x14ac:dyDescent="0.25">
      <c r="A9203">
        <v>9203</v>
      </c>
      <c r="B9203" t="str">
        <f t="shared" si="143"/>
        <v>⏳</v>
      </c>
    </row>
    <row r="9204" spans="1:2" x14ac:dyDescent="0.25">
      <c r="A9204">
        <v>9204</v>
      </c>
      <c r="B9204" t="str">
        <f t="shared" si="143"/>
        <v>⏴</v>
      </c>
    </row>
    <row r="9205" spans="1:2" x14ac:dyDescent="0.25">
      <c r="A9205">
        <v>9205</v>
      </c>
      <c r="B9205" t="str">
        <f t="shared" si="143"/>
        <v>⏵</v>
      </c>
    </row>
    <row r="9206" spans="1:2" x14ac:dyDescent="0.25">
      <c r="A9206">
        <v>9206</v>
      </c>
      <c r="B9206" t="str">
        <f t="shared" si="143"/>
        <v>⏶</v>
      </c>
    </row>
    <row r="9207" spans="1:2" x14ac:dyDescent="0.25">
      <c r="A9207">
        <v>9207</v>
      </c>
      <c r="B9207" t="str">
        <f t="shared" si="143"/>
        <v>⏷</v>
      </c>
    </row>
    <row r="9208" spans="1:2" x14ac:dyDescent="0.25">
      <c r="A9208">
        <v>9208</v>
      </c>
      <c r="B9208" t="str">
        <f t="shared" si="143"/>
        <v>⏸</v>
      </c>
    </row>
    <row r="9209" spans="1:2" x14ac:dyDescent="0.25">
      <c r="A9209">
        <v>9209</v>
      </c>
      <c r="B9209" t="str">
        <f t="shared" si="143"/>
        <v>⏹</v>
      </c>
    </row>
    <row r="9210" spans="1:2" x14ac:dyDescent="0.25">
      <c r="A9210">
        <v>9210</v>
      </c>
      <c r="B9210" t="str">
        <f t="shared" si="143"/>
        <v>⏺</v>
      </c>
    </row>
    <row r="9211" spans="1:2" x14ac:dyDescent="0.25">
      <c r="A9211">
        <v>9211</v>
      </c>
      <c r="B9211" t="str">
        <f t="shared" si="143"/>
        <v>⏻</v>
      </c>
    </row>
    <row r="9212" spans="1:2" x14ac:dyDescent="0.25">
      <c r="A9212">
        <v>9212</v>
      </c>
      <c r="B9212" t="str">
        <f t="shared" si="143"/>
        <v>⏼</v>
      </c>
    </row>
    <row r="9213" spans="1:2" x14ac:dyDescent="0.25">
      <c r="A9213">
        <v>9213</v>
      </c>
      <c r="B9213" t="str">
        <f t="shared" si="143"/>
        <v>⏽</v>
      </c>
    </row>
    <row r="9214" spans="1:2" x14ac:dyDescent="0.25">
      <c r="A9214">
        <v>9214</v>
      </c>
      <c r="B9214" t="str">
        <f t="shared" si="143"/>
        <v>⏾</v>
      </c>
    </row>
    <row r="9215" spans="1:2" x14ac:dyDescent="0.25">
      <c r="A9215">
        <v>9215</v>
      </c>
      <c r="B9215" t="str">
        <f t="shared" si="143"/>
        <v>⏿</v>
      </c>
    </row>
    <row r="9216" spans="1:2" x14ac:dyDescent="0.25">
      <c r="A9216">
        <v>9216</v>
      </c>
      <c r="B9216" t="str">
        <f t="shared" si="143"/>
        <v>␀</v>
      </c>
    </row>
    <row r="9217" spans="1:2" x14ac:dyDescent="0.25">
      <c r="A9217">
        <v>9217</v>
      </c>
      <c r="B9217" t="str">
        <f t="shared" si="143"/>
        <v>␁</v>
      </c>
    </row>
    <row r="9218" spans="1:2" x14ac:dyDescent="0.25">
      <c r="A9218">
        <v>9218</v>
      </c>
      <c r="B9218" t="str">
        <f t="shared" ref="B9218:B9281" si="144">_xlfn.UNICHAR(A9218)</f>
        <v>␂</v>
      </c>
    </row>
    <row r="9219" spans="1:2" x14ac:dyDescent="0.25">
      <c r="A9219">
        <v>9219</v>
      </c>
      <c r="B9219" t="str">
        <f t="shared" si="144"/>
        <v>␃</v>
      </c>
    </row>
    <row r="9220" spans="1:2" x14ac:dyDescent="0.25">
      <c r="A9220">
        <v>9220</v>
      </c>
      <c r="B9220" t="str">
        <f t="shared" si="144"/>
        <v>␄</v>
      </c>
    </row>
    <row r="9221" spans="1:2" x14ac:dyDescent="0.25">
      <c r="A9221">
        <v>9221</v>
      </c>
      <c r="B9221" t="str">
        <f t="shared" si="144"/>
        <v>␅</v>
      </c>
    </row>
    <row r="9222" spans="1:2" x14ac:dyDescent="0.25">
      <c r="A9222">
        <v>9222</v>
      </c>
      <c r="B9222" t="str">
        <f t="shared" si="144"/>
        <v>␆</v>
      </c>
    </row>
    <row r="9223" spans="1:2" x14ac:dyDescent="0.25">
      <c r="A9223">
        <v>9223</v>
      </c>
      <c r="B9223" t="str">
        <f t="shared" si="144"/>
        <v>␇</v>
      </c>
    </row>
    <row r="9224" spans="1:2" x14ac:dyDescent="0.25">
      <c r="A9224">
        <v>9224</v>
      </c>
      <c r="B9224" t="str">
        <f t="shared" si="144"/>
        <v>␈</v>
      </c>
    </row>
    <row r="9225" spans="1:2" x14ac:dyDescent="0.25">
      <c r="A9225">
        <v>9225</v>
      </c>
      <c r="B9225" t="str">
        <f t="shared" si="144"/>
        <v>␉</v>
      </c>
    </row>
    <row r="9226" spans="1:2" x14ac:dyDescent="0.25">
      <c r="A9226">
        <v>9226</v>
      </c>
      <c r="B9226" t="str">
        <f t="shared" si="144"/>
        <v>␊</v>
      </c>
    </row>
    <row r="9227" spans="1:2" x14ac:dyDescent="0.25">
      <c r="A9227">
        <v>9227</v>
      </c>
      <c r="B9227" t="str">
        <f t="shared" si="144"/>
        <v>␋</v>
      </c>
    </row>
    <row r="9228" spans="1:2" x14ac:dyDescent="0.25">
      <c r="A9228">
        <v>9228</v>
      </c>
      <c r="B9228" t="str">
        <f t="shared" si="144"/>
        <v>␌</v>
      </c>
    </row>
    <row r="9229" spans="1:2" x14ac:dyDescent="0.25">
      <c r="A9229">
        <v>9229</v>
      </c>
      <c r="B9229" t="str">
        <f t="shared" si="144"/>
        <v>␍</v>
      </c>
    </row>
    <row r="9230" spans="1:2" x14ac:dyDescent="0.25">
      <c r="A9230">
        <v>9230</v>
      </c>
      <c r="B9230" t="str">
        <f t="shared" si="144"/>
        <v>␎</v>
      </c>
    </row>
    <row r="9231" spans="1:2" x14ac:dyDescent="0.25">
      <c r="A9231">
        <v>9231</v>
      </c>
      <c r="B9231" t="str">
        <f t="shared" si="144"/>
        <v>␏</v>
      </c>
    </row>
    <row r="9232" spans="1:2" x14ac:dyDescent="0.25">
      <c r="A9232">
        <v>9232</v>
      </c>
      <c r="B9232" t="str">
        <f t="shared" si="144"/>
        <v>␐</v>
      </c>
    </row>
    <row r="9233" spans="1:2" x14ac:dyDescent="0.25">
      <c r="A9233">
        <v>9233</v>
      </c>
      <c r="B9233" t="str">
        <f t="shared" si="144"/>
        <v>␑</v>
      </c>
    </row>
    <row r="9234" spans="1:2" x14ac:dyDescent="0.25">
      <c r="A9234">
        <v>9234</v>
      </c>
      <c r="B9234" t="str">
        <f t="shared" si="144"/>
        <v>␒</v>
      </c>
    </row>
    <row r="9235" spans="1:2" x14ac:dyDescent="0.25">
      <c r="A9235">
        <v>9235</v>
      </c>
      <c r="B9235" t="str">
        <f t="shared" si="144"/>
        <v>␓</v>
      </c>
    </row>
    <row r="9236" spans="1:2" x14ac:dyDescent="0.25">
      <c r="A9236">
        <v>9236</v>
      </c>
      <c r="B9236" t="str">
        <f t="shared" si="144"/>
        <v>␔</v>
      </c>
    </row>
    <row r="9237" spans="1:2" x14ac:dyDescent="0.25">
      <c r="A9237">
        <v>9237</v>
      </c>
      <c r="B9237" t="str">
        <f t="shared" si="144"/>
        <v>␕</v>
      </c>
    </row>
    <row r="9238" spans="1:2" x14ac:dyDescent="0.25">
      <c r="A9238">
        <v>9238</v>
      </c>
      <c r="B9238" t="str">
        <f t="shared" si="144"/>
        <v>␖</v>
      </c>
    </row>
    <row r="9239" spans="1:2" x14ac:dyDescent="0.25">
      <c r="A9239">
        <v>9239</v>
      </c>
      <c r="B9239" t="str">
        <f t="shared" si="144"/>
        <v>␗</v>
      </c>
    </row>
    <row r="9240" spans="1:2" x14ac:dyDescent="0.25">
      <c r="A9240">
        <v>9240</v>
      </c>
      <c r="B9240" t="str">
        <f t="shared" si="144"/>
        <v>␘</v>
      </c>
    </row>
    <row r="9241" spans="1:2" x14ac:dyDescent="0.25">
      <c r="A9241">
        <v>9241</v>
      </c>
      <c r="B9241" t="str">
        <f t="shared" si="144"/>
        <v>␙</v>
      </c>
    </row>
    <row r="9242" spans="1:2" x14ac:dyDescent="0.25">
      <c r="A9242">
        <v>9242</v>
      </c>
      <c r="B9242" t="str">
        <f t="shared" si="144"/>
        <v>␚</v>
      </c>
    </row>
    <row r="9243" spans="1:2" x14ac:dyDescent="0.25">
      <c r="A9243">
        <v>9243</v>
      </c>
      <c r="B9243" t="str">
        <f t="shared" si="144"/>
        <v>␛</v>
      </c>
    </row>
    <row r="9244" spans="1:2" x14ac:dyDescent="0.25">
      <c r="A9244">
        <v>9244</v>
      </c>
      <c r="B9244" t="str">
        <f t="shared" si="144"/>
        <v>␜</v>
      </c>
    </row>
    <row r="9245" spans="1:2" x14ac:dyDescent="0.25">
      <c r="A9245">
        <v>9245</v>
      </c>
      <c r="B9245" t="str">
        <f t="shared" si="144"/>
        <v>␝</v>
      </c>
    </row>
    <row r="9246" spans="1:2" x14ac:dyDescent="0.25">
      <c r="A9246">
        <v>9246</v>
      </c>
      <c r="B9246" t="str">
        <f t="shared" si="144"/>
        <v>␞</v>
      </c>
    </row>
    <row r="9247" spans="1:2" x14ac:dyDescent="0.25">
      <c r="A9247">
        <v>9247</v>
      </c>
      <c r="B9247" t="str">
        <f t="shared" si="144"/>
        <v>␟</v>
      </c>
    </row>
    <row r="9248" spans="1:2" x14ac:dyDescent="0.25">
      <c r="A9248">
        <v>9248</v>
      </c>
      <c r="B9248" t="str">
        <f t="shared" si="144"/>
        <v>␠</v>
      </c>
    </row>
    <row r="9249" spans="1:2" x14ac:dyDescent="0.25">
      <c r="A9249">
        <v>9249</v>
      </c>
      <c r="B9249" t="str">
        <f t="shared" si="144"/>
        <v>␡</v>
      </c>
    </row>
    <row r="9250" spans="1:2" x14ac:dyDescent="0.25">
      <c r="A9250">
        <v>9250</v>
      </c>
      <c r="B9250" t="str">
        <f t="shared" si="144"/>
        <v>␢</v>
      </c>
    </row>
    <row r="9251" spans="1:2" x14ac:dyDescent="0.25">
      <c r="A9251">
        <v>9251</v>
      </c>
      <c r="B9251" t="str">
        <f t="shared" si="144"/>
        <v>␣</v>
      </c>
    </row>
    <row r="9252" spans="1:2" x14ac:dyDescent="0.25">
      <c r="A9252">
        <v>9252</v>
      </c>
      <c r="B9252" t="str">
        <f t="shared" si="144"/>
        <v>␤</v>
      </c>
    </row>
    <row r="9253" spans="1:2" x14ac:dyDescent="0.25">
      <c r="A9253">
        <v>9253</v>
      </c>
      <c r="B9253" t="str">
        <f t="shared" si="144"/>
        <v>␥</v>
      </c>
    </row>
    <row r="9254" spans="1:2" x14ac:dyDescent="0.25">
      <c r="A9254">
        <v>9254</v>
      </c>
      <c r="B9254" t="str">
        <f t="shared" si="144"/>
        <v>␦</v>
      </c>
    </row>
    <row r="9255" spans="1:2" x14ac:dyDescent="0.25">
      <c r="A9255">
        <v>9255</v>
      </c>
      <c r="B9255" t="str">
        <f t="shared" si="144"/>
        <v>␧</v>
      </c>
    </row>
    <row r="9256" spans="1:2" x14ac:dyDescent="0.25">
      <c r="A9256">
        <v>9256</v>
      </c>
      <c r="B9256" t="str">
        <f t="shared" si="144"/>
        <v>␨</v>
      </c>
    </row>
    <row r="9257" spans="1:2" x14ac:dyDescent="0.25">
      <c r="A9257">
        <v>9257</v>
      </c>
      <c r="B9257" t="str">
        <f t="shared" si="144"/>
        <v>␩</v>
      </c>
    </row>
    <row r="9258" spans="1:2" x14ac:dyDescent="0.25">
      <c r="A9258">
        <v>9258</v>
      </c>
      <c r="B9258" t="str">
        <f t="shared" si="144"/>
        <v>␪</v>
      </c>
    </row>
    <row r="9259" spans="1:2" x14ac:dyDescent="0.25">
      <c r="A9259">
        <v>9259</v>
      </c>
      <c r="B9259" t="str">
        <f t="shared" si="144"/>
        <v>␫</v>
      </c>
    </row>
    <row r="9260" spans="1:2" x14ac:dyDescent="0.25">
      <c r="A9260">
        <v>9260</v>
      </c>
      <c r="B9260" t="str">
        <f t="shared" si="144"/>
        <v>␬</v>
      </c>
    </row>
    <row r="9261" spans="1:2" x14ac:dyDescent="0.25">
      <c r="A9261">
        <v>9261</v>
      </c>
      <c r="B9261" t="str">
        <f t="shared" si="144"/>
        <v>␭</v>
      </c>
    </row>
    <row r="9262" spans="1:2" x14ac:dyDescent="0.25">
      <c r="A9262">
        <v>9262</v>
      </c>
      <c r="B9262" t="str">
        <f t="shared" si="144"/>
        <v>␮</v>
      </c>
    </row>
    <row r="9263" spans="1:2" x14ac:dyDescent="0.25">
      <c r="A9263">
        <v>9263</v>
      </c>
      <c r="B9263" t="str">
        <f t="shared" si="144"/>
        <v>␯</v>
      </c>
    </row>
    <row r="9264" spans="1:2" x14ac:dyDescent="0.25">
      <c r="A9264">
        <v>9264</v>
      </c>
      <c r="B9264" t="str">
        <f t="shared" si="144"/>
        <v>␰</v>
      </c>
    </row>
    <row r="9265" spans="1:2" x14ac:dyDescent="0.25">
      <c r="A9265">
        <v>9265</v>
      </c>
      <c r="B9265" t="str">
        <f t="shared" si="144"/>
        <v>␱</v>
      </c>
    </row>
    <row r="9266" spans="1:2" x14ac:dyDescent="0.25">
      <c r="A9266">
        <v>9266</v>
      </c>
      <c r="B9266" t="str">
        <f t="shared" si="144"/>
        <v>␲</v>
      </c>
    </row>
    <row r="9267" spans="1:2" x14ac:dyDescent="0.25">
      <c r="A9267">
        <v>9267</v>
      </c>
      <c r="B9267" t="str">
        <f t="shared" si="144"/>
        <v>␳</v>
      </c>
    </row>
    <row r="9268" spans="1:2" x14ac:dyDescent="0.25">
      <c r="A9268">
        <v>9268</v>
      </c>
      <c r="B9268" t="str">
        <f t="shared" si="144"/>
        <v>␴</v>
      </c>
    </row>
    <row r="9269" spans="1:2" x14ac:dyDescent="0.25">
      <c r="A9269">
        <v>9269</v>
      </c>
      <c r="B9269" t="str">
        <f t="shared" si="144"/>
        <v>␵</v>
      </c>
    </row>
    <row r="9270" spans="1:2" x14ac:dyDescent="0.25">
      <c r="A9270">
        <v>9270</v>
      </c>
      <c r="B9270" t="str">
        <f t="shared" si="144"/>
        <v>␶</v>
      </c>
    </row>
    <row r="9271" spans="1:2" x14ac:dyDescent="0.25">
      <c r="A9271">
        <v>9271</v>
      </c>
      <c r="B9271" t="str">
        <f t="shared" si="144"/>
        <v>␷</v>
      </c>
    </row>
    <row r="9272" spans="1:2" x14ac:dyDescent="0.25">
      <c r="A9272">
        <v>9272</v>
      </c>
      <c r="B9272" t="str">
        <f t="shared" si="144"/>
        <v>␸</v>
      </c>
    </row>
    <row r="9273" spans="1:2" x14ac:dyDescent="0.25">
      <c r="A9273">
        <v>9273</v>
      </c>
      <c r="B9273" t="str">
        <f t="shared" si="144"/>
        <v>␹</v>
      </c>
    </row>
    <row r="9274" spans="1:2" x14ac:dyDescent="0.25">
      <c r="A9274">
        <v>9274</v>
      </c>
      <c r="B9274" t="str">
        <f t="shared" si="144"/>
        <v>␺</v>
      </c>
    </row>
    <row r="9275" spans="1:2" x14ac:dyDescent="0.25">
      <c r="A9275">
        <v>9275</v>
      </c>
      <c r="B9275" t="str">
        <f t="shared" si="144"/>
        <v>␻</v>
      </c>
    </row>
    <row r="9276" spans="1:2" x14ac:dyDescent="0.25">
      <c r="A9276">
        <v>9276</v>
      </c>
      <c r="B9276" t="str">
        <f t="shared" si="144"/>
        <v>␼</v>
      </c>
    </row>
    <row r="9277" spans="1:2" x14ac:dyDescent="0.25">
      <c r="A9277">
        <v>9277</v>
      </c>
      <c r="B9277" t="str">
        <f t="shared" si="144"/>
        <v>␽</v>
      </c>
    </row>
    <row r="9278" spans="1:2" x14ac:dyDescent="0.25">
      <c r="A9278">
        <v>9278</v>
      </c>
      <c r="B9278" t="str">
        <f t="shared" si="144"/>
        <v>␾</v>
      </c>
    </row>
    <row r="9279" spans="1:2" x14ac:dyDescent="0.25">
      <c r="A9279">
        <v>9279</v>
      </c>
      <c r="B9279" t="str">
        <f t="shared" si="144"/>
        <v>␿</v>
      </c>
    </row>
    <row r="9280" spans="1:2" x14ac:dyDescent="0.25">
      <c r="A9280">
        <v>9280</v>
      </c>
      <c r="B9280" t="str">
        <f t="shared" si="144"/>
        <v>⑀</v>
      </c>
    </row>
    <row r="9281" spans="1:2" x14ac:dyDescent="0.25">
      <c r="A9281">
        <v>9281</v>
      </c>
      <c r="B9281" t="str">
        <f t="shared" si="144"/>
        <v>⑁</v>
      </c>
    </row>
    <row r="9282" spans="1:2" x14ac:dyDescent="0.25">
      <c r="A9282">
        <v>9282</v>
      </c>
      <c r="B9282" t="str">
        <f t="shared" ref="B9282:B9345" si="145">_xlfn.UNICHAR(A9282)</f>
        <v>⑂</v>
      </c>
    </row>
    <row r="9283" spans="1:2" x14ac:dyDescent="0.25">
      <c r="A9283">
        <v>9283</v>
      </c>
      <c r="B9283" t="str">
        <f t="shared" si="145"/>
        <v>⑃</v>
      </c>
    </row>
    <row r="9284" spans="1:2" x14ac:dyDescent="0.25">
      <c r="A9284">
        <v>9284</v>
      </c>
      <c r="B9284" t="str">
        <f t="shared" si="145"/>
        <v>⑄</v>
      </c>
    </row>
    <row r="9285" spans="1:2" x14ac:dyDescent="0.25">
      <c r="A9285">
        <v>9285</v>
      </c>
      <c r="B9285" t="str">
        <f t="shared" si="145"/>
        <v>⑅</v>
      </c>
    </row>
    <row r="9286" spans="1:2" x14ac:dyDescent="0.25">
      <c r="A9286">
        <v>9286</v>
      </c>
      <c r="B9286" t="str">
        <f t="shared" si="145"/>
        <v>⑆</v>
      </c>
    </row>
    <row r="9287" spans="1:2" x14ac:dyDescent="0.25">
      <c r="A9287">
        <v>9287</v>
      </c>
      <c r="B9287" t="str">
        <f t="shared" si="145"/>
        <v>⑇</v>
      </c>
    </row>
    <row r="9288" spans="1:2" x14ac:dyDescent="0.25">
      <c r="A9288">
        <v>9288</v>
      </c>
      <c r="B9288" t="str">
        <f t="shared" si="145"/>
        <v>⑈</v>
      </c>
    </row>
    <row r="9289" spans="1:2" x14ac:dyDescent="0.25">
      <c r="A9289">
        <v>9289</v>
      </c>
      <c r="B9289" t="str">
        <f t="shared" si="145"/>
        <v>⑉</v>
      </c>
    </row>
    <row r="9290" spans="1:2" x14ac:dyDescent="0.25">
      <c r="A9290">
        <v>9290</v>
      </c>
      <c r="B9290" t="str">
        <f t="shared" si="145"/>
        <v>⑊</v>
      </c>
    </row>
    <row r="9291" spans="1:2" x14ac:dyDescent="0.25">
      <c r="A9291">
        <v>9291</v>
      </c>
      <c r="B9291" t="str">
        <f t="shared" si="145"/>
        <v>⑋</v>
      </c>
    </row>
    <row r="9292" spans="1:2" x14ac:dyDescent="0.25">
      <c r="A9292">
        <v>9292</v>
      </c>
      <c r="B9292" t="str">
        <f t="shared" si="145"/>
        <v>⑌</v>
      </c>
    </row>
    <row r="9293" spans="1:2" x14ac:dyDescent="0.25">
      <c r="A9293">
        <v>9293</v>
      </c>
      <c r="B9293" t="str">
        <f t="shared" si="145"/>
        <v>⑍</v>
      </c>
    </row>
    <row r="9294" spans="1:2" x14ac:dyDescent="0.25">
      <c r="A9294">
        <v>9294</v>
      </c>
      <c r="B9294" t="str">
        <f t="shared" si="145"/>
        <v>⑎</v>
      </c>
    </row>
    <row r="9295" spans="1:2" x14ac:dyDescent="0.25">
      <c r="A9295">
        <v>9295</v>
      </c>
      <c r="B9295" t="str">
        <f t="shared" si="145"/>
        <v>⑏</v>
      </c>
    </row>
    <row r="9296" spans="1:2" x14ac:dyDescent="0.25">
      <c r="A9296">
        <v>9296</v>
      </c>
      <c r="B9296" t="str">
        <f t="shared" si="145"/>
        <v>⑐</v>
      </c>
    </row>
    <row r="9297" spans="1:2" x14ac:dyDescent="0.25">
      <c r="A9297">
        <v>9297</v>
      </c>
      <c r="B9297" t="str">
        <f t="shared" si="145"/>
        <v>⑑</v>
      </c>
    </row>
    <row r="9298" spans="1:2" x14ac:dyDescent="0.25">
      <c r="A9298">
        <v>9298</v>
      </c>
      <c r="B9298" t="str">
        <f t="shared" si="145"/>
        <v>⑒</v>
      </c>
    </row>
    <row r="9299" spans="1:2" x14ac:dyDescent="0.25">
      <c r="A9299">
        <v>9299</v>
      </c>
      <c r="B9299" t="str">
        <f t="shared" si="145"/>
        <v>⑓</v>
      </c>
    </row>
    <row r="9300" spans="1:2" x14ac:dyDescent="0.25">
      <c r="A9300">
        <v>9300</v>
      </c>
      <c r="B9300" t="str">
        <f t="shared" si="145"/>
        <v>⑔</v>
      </c>
    </row>
    <row r="9301" spans="1:2" x14ac:dyDescent="0.25">
      <c r="A9301">
        <v>9301</v>
      </c>
      <c r="B9301" t="str">
        <f t="shared" si="145"/>
        <v>⑕</v>
      </c>
    </row>
    <row r="9302" spans="1:2" x14ac:dyDescent="0.25">
      <c r="A9302">
        <v>9302</v>
      </c>
      <c r="B9302" t="str">
        <f t="shared" si="145"/>
        <v>⑖</v>
      </c>
    </row>
    <row r="9303" spans="1:2" x14ac:dyDescent="0.25">
      <c r="A9303">
        <v>9303</v>
      </c>
      <c r="B9303" t="str">
        <f t="shared" si="145"/>
        <v>⑗</v>
      </c>
    </row>
    <row r="9304" spans="1:2" x14ac:dyDescent="0.25">
      <c r="A9304">
        <v>9304</v>
      </c>
      <c r="B9304" t="str">
        <f t="shared" si="145"/>
        <v>⑘</v>
      </c>
    </row>
    <row r="9305" spans="1:2" x14ac:dyDescent="0.25">
      <c r="A9305">
        <v>9305</v>
      </c>
      <c r="B9305" t="str">
        <f t="shared" si="145"/>
        <v>⑙</v>
      </c>
    </row>
    <row r="9306" spans="1:2" x14ac:dyDescent="0.25">
      <c r="A9306">
        <v>9306</v>
      </c>
      <c r="B9306" t="str">
        <f t="shared" si="145"/>
        <v>⑚</v>
      </c>
    </row>
    <row r="9307" spans="1:2" x14ac:dyDescent="0.25">
      <c r="A9307">
        <v>9307</v>
      </c>
      <c r="B9307" t="str">
        <f t="shared" si="145"/>
        <v>⑛</v>
      </c>
    </row>
    <row r="9308" spans="1:2" x14ac:dyDescent="0.25">
      <c r="A9308">
        <v>9308</v>
      </c>
      <c r="B9308" t="str">
        <f t="shared" si="145"/>
        <v>⑜</v>
      </c>
    </row>
    <row r="9309" spans="1:2" x14ac:dyDescent="0.25">
      <c r="A9309">
        <v>9309</v>
      </c>
      <c r="B9309" t="str">
        <f t="shared" si="145"/>
        <v>⑝</v>
      </c>
    </row>
    <row r="9310" spans="1:2" x14ac:dyDescent="0.25">
      <c r="A9310">
        <v>9310</v>
      </c>
      <c r="B9310" t="str">
        <f t="shared" si="145"/>
        <v>⑞</v>
      </c>
    </row>
    <row r="9311" spans="1:2" x14ac:dyDescent="0.25">
      <c r="A9311">
        <v>9311</v>
      </c>
      <c r="B9311" t="str">
        <f t="shared" si="145"/>
        <v>⑟</v>
      </c>
    </row>
    <row r="9312" spans="1:2" x14ac:dyDescent="0.25">
      <c r="A9312">
        <v>9312</v>
      </c>
      <c r="B9312" t="str">
        <f t="shared" si="145"/>
        <v>①</v>
      </c>
    </row>
    <row r="9313" spans="1:2" x14ac:dyDescent="0.25">
      <c r="A9313">
        <v>9313</v>
      </c>
      <c r="B9313" t="str">
        <f t="shared" si="145"/>
        <v>②</v>
      </c>
    </row>
    <row r="9314" spans="1:2" x14ac:dyDescent="0.25">
      <c r="A9314">
        <v>9314</v>
      </c>
      <c r="B9314" t="str">
        <f t="shared" si="145"/>
        <v>③</v>
      </c>
    </row>
    <row r="9315" spans="1:2" x14ac:dyDescent="0.25">
      <c r="A9315">
        <v>9315</v>
      </c>
      <c r="B9315" t="str">
        <f t="shared" si="145"/>
        <v>④</v>
      </c>
    </row>
    <row r="9316" spans="1:2" x14ac:dyDescent="0.25">
      <c r="A9316">
        <v>9316</v>
      </c>
      <c r="B9316" t="str">
        <f t="shared" si="145"/>
        <v>⑤</v>
      </c>
    </row>
    <row r="9317" spans="1:2" x14ac:dyDescent="0.25">
      <c r="A9317">
        <v>9317</v>
      </c>
      <c r="B9317" t="str">
        <f t="shared" si="145"/>
        <v>⑥</v>
      </c>
    </row>
    <row r="9318" spans="1:2" x14ac:dyDescent="0.25">
      <c r="A9318">
        <v>9318</v>
      </c>
      <c r="B9318" t="str">
        <f t="shared" si="145"/>
        <v>⑦</v>
      </c>
    </row>
    <row r="9319" spans="1:2" x14ac:dyDescent="0.25">
      <c r="A9319">
        <v>9319</v>
      </c>
      <c r="B9319" t="str">
        <f t="shared" si="145"/>
        <v>⑧</v>
      </c>
    </row>
    <row r="9320" spans="1:2" x14ac:dyDescent="0.25">
      <c r="A9320">
        <v>9320</v>
      </c>
      <c r="B9320" t="str">
        <f t="shared" si="145"/>
        <v>⑨</v>
      </c>
    </row>
    <row r="9321" spans="1:2" x14ac:dyDescent="0.25">
      <c r="A9321">
        <v>9321</v>
      </c>
      <c r="B9321" t="str">
        <f t="shared" si="145"/>
        <v>⑩</v>
      </c>
    </row>
    <row r="9322" spans="1:2" x14ac:dyDescent="0.25">
      <c r="A9322">
        <v>9322</v>
      </c>
      <c r="B9322" t="str">
        <f t="shared" si="145"/>
        <v>⑪</v>
      </c>
    </row>
    <row r="9323" spans="1:2" x14ac:dyDescent="0.25">
      <c r="A9323">
        <v>9323</v>
      </c>
      <c r="B9323" t="str">
        <f t="shared" si="145"/>
        <v>⑫</v>
      </c>
    </row>
    <row r="9324" spans="1:2" x14ac:dyDescent="0.25">
      <c r="A9324">
        <v>9324</v>
      </c>
      <c r="B9324" t="str">
        <f t="shared" si="145"/>
        <v>⑬</v>
      </c>
    </row>
    <row r="9325" spans="1:2" x14ac:dyDescent="0.25">
      <c r="A9325">
        <v>9325</v>
      </c>
      <c r="B9325" t="str">
        <f t="shared" si="145"/>
        <v>⑭</v>
      </c>
    </row>
    <row r="9326" spans="1:2" x14ac:dyDescent="0.25">
      <c r="A9326">
        <v>9326</v>
      </c>
      <c r="B9326" t="str">
        <f t="shared" si="145"/>
        <v>⑮</v>
      </c>
    </row>
    <row r="9327" spans="1:2" x14ac:dyDescent="0.25">
      <c r="A9327">
        <v>9327</v>
      </c>
      <c r="B9327" t="str">
        <f t="shared" si="145"/>
        <v>⑯</v>
      </c>
    </row>
    <row r="9328" spans="1:2" x14ac:dyDescent="0.25">
      <c r="A9328">
        <v>9328</v>
      </c>
      <c r="B9328" t="str">
        <f t="shared" si="145"/>
        <v>⑰</v>
      </c>
    </row>
    <row r="9329" spans="1:2" x14ac:dyDescent="0.25">
      <c r="A9329">
        <v>9329</v>
      </c>
      <c r="B9329" t="str">
        <f t="shared" si="145"/>
        <v>⑱</v>
      </c>
    </row>
    <row r="9330" spans="1:2" x14ac:dyDescent="0.25">
      <c r="A9330">
        <v>9330</v>
      </c>
      <c r="B9330" t="str">
        <f t="shared" si="145"/>
        <v>⑲</v>
      </c>
    </row>
    <row r="9331" spans="1:2" x14ac:dyDescent="0.25">
      <c r="A9331">
        <v>9331</v>
      </c>
      <c r="B9331" t="str">
        <f t="shared" si="145"/>
        <v>⑳</v>
      </c>
    </row>
    <row r="9332" spans="1:2" x14ac:dyDescent="0.25">
      <c r="A9332">
        <v>9332</v>
      </c>
      <c r="B9332" t="str">
        <f t="shared" si="145"/>
        <v>⑴</v>
      </c>
    </row>
    <row r="9333" spans="1:2" x14ac:dyDescent="0.25">
      <c r="A9333">
        <v>9333</v>
      </c>
      <c r="B9333" t="str">
        <f t="shared" si="145"/>
        <v>⑵</v>
      </c>
    </row>
    <row r="9334" spans="1:2" x14ac:dyDescent="0.25">
      <c r="A9334">
        <v>9334</v>
      </c>
      <c r="B9334" t="str">
        <f t="shared" si="145"/>
        <v>⑶</v>
      </c>
    </row>
    <row r="9335" spans="1:2" x14ac:dyDescent="0.25">
      <c r="A9335">
        <v>9335</v>
      </c>
      <c r="B9335" t="str">
        <f t="shared" si="145"/>
        <v>⑷</v>
      </c>
    </row>
    <row r="9336" spans="1:2" x14ac:dyDescent="0.25">
      <c r="A9336">
        <v>9336</v>
      </c>
      <c r="B9336" t="str">
        <f t="shared" si="145"/>
        <v>⑸</v>
      </c>
    </row>
    <row r="9337" spans="1:2" x14ac:dyDescent="0.25">
      <c r="A9337">
        <v>9337</v>
      </c>
      <c r="B9337" t="str">
        <f t="shared" si="145"/>
        <v>⑹</v>
      </c>
    </row>
    <row r="9338" spans="1:2" x14ac:dyDescent="0.25">
      <c r="A9338">
        <v>9338</v>
      </c>
      <c r="B9338" t="str">
        <f t="shared" si="145"/>
        <v>⑺</v>
      </c>
    </row>
    <row r="9339" spans="1:2" x14ac:dyDescent="0.25">
      <c r="A9339">
        <v>9339</v>
      </c>
      <c r="B9339" t="str">
        <f t="shared" si="145"/>
        <v>⑻</v>
      </c>
    </row>
    <row r="9340" spans="1:2" x14ac:dyDescent="0.25">
      <c r="A9340">
        <v>9340</v>
      </c>
      <c r="B9340" t="str">
        <f t="shared" si="145"/>
        <v>⑼</v>
      </c>
    </row>
    <row r="9341" spans="1:2" x14ac:dyDescent="0.25">
      <c r="A9341">
        <v>9341</v>
      </c>
      <c r="B9341" t="str">
        <f t="shared" si="145"/>
        <v>⑽</v>
      </c>
    </row>
    <row r="9342" spans="1:2" x14ac:dyDescent="0.25">
      <c r="A9342">
        <v>9342</v>
      </c>
      <c r="B9342" t="str">
        <f t="shared" si="145"/>
        <v>⑾</v>
      </c>
    </row>
    <row r="9343" spans="1:2" x14ac:dyDescent="0.25">
      <c r="A9343">
        <v>9343</v>
      </c>
      <c r="B9343" t="str">
        <f t="shared" si="145"/>
        <v>⑿</v>
      </c>
    </row>
    <row r="9344" spans="1:2" x14ac:dyDescent="0.25">
      <c r="A9344">
        <v>9344</v>
      </c>
      <c r="B9344" t="str">
        <f t="shared" si="145"/>
        <v>⒀</v>
      </c>
    </row>
    <row r="9345" spans="1:2" x14ac:dyDescent="0.25">
      <c r="A9345">
        <v>9345</v>
      </c>
      <c r="B9345" t="str">
        <f t="shared" si="145"/>
        <v>⒁</v>
      </c>
    </row>
    <row r="9346" spans="1:2" x14ac:dyDescent="0.25">
      <c r="A9346">
        <v>9346</v>
      </c>
      <c r="B9346" t="str">
        <f t="shared" ref="B9346:B9409" si="146">_xlfn.UNICHAR(A9346)</f>
        <v>⒂</v>
      </c>
    </row>
    <row r="9347" spans="1:2" x14ac:dyDescent="0.25">
      <c r="A9347">
        <v>9347</v>
      </c>
      <c r="B9347" t="str">
        <f t="shared" si="146"/>
        <v>⒃</v>
      </c>
    </row>
    <row r="9348" spans="1:2" x14ac:dyDescent="0.25">
      <c r="A9348">
        <v>9348</v>
      </c>
      <c r="B9348" t="str">
        <f t="shared" si="146"/>
        <v>⒄</v>
      </c>
    </row>
    <row r="9349" spans="1:2" x14ac:dyDescent="0.25">
      <c r="A9349">
        <v>9349</v>
      </c>
      <c r="B9349" t="str">
        <f t="shared" si="146"/>
        <v>⒅</v>
      </c>
    </row>
    <row r="9350" spans="1:2" x14ac:dyDescent="0.25">
      <c r="A9350">
        <v>9350</v>
      </c>
      <c r="B9350" t="str">
        <f t="shared" si="146"/>
        <v>⒆</v>
      </c>
    </row>
    <row r="9351" spans="1:2" x14ac:dyDescent="0.25">
      <c r="A9351">
        <v>9351</v>
      </c>
      <c r="B9351" t="str">
        <f t="shared" si="146"/>
        <v>⒇</v>
      </c>
    </row>
    <row r="9352" spans="1:2" x14ac:dyDescent="0.25">
      <c r="A9352">
        <v>9352</v>
      </c>
      <c r="B9352" t="str">
        <f t="shared" si="146"/>
        <v>⒈</v>
      </c>
    </row>
    <row r="9353" spans="1:2" x14ac:dyDescent="0.25">
      <c r="A9353">
        <v>9353</v>
      </c>
      <c r="B9353" t="str">
        <f t="shared" si="146"/>
        <v>⒉</v>
      </c>
    </row>
    <row r="9354" spans="1:2" x14ac:dyDescent="0.25">
      <c r="A9354">
        <v>9354</v>
      </c>
      <c r="B9354" t="str">
        <f t="shared" si="146"/>
        <v>⒊</v>
      </c>
    </row>
    <row r="9355" spans="1:2" x14ac:dyDescent="0.25">
      <c r="A9355">
        <v>9355</v>
      </c>
      <c r="B9355" t="str">
        <f t="shared" si="146"/>
        <v>⒋</v>
      </c>
    </row>
    <row r="9356" spans="1:2" x14ac:dyDescent="0.25">
      <c r="A9356">
        <v>9356</v>
      </c>
      <c r="B9356" t="str">
        <f t="shared" si="146"/>
        <v>⒌</v>
      </c>
    </row>
    <row r="9357" spans="1:2" x14ac:dyDescent="0.25">
      <c r="A9357">
        <v>9357</v>
      </c>
      <c r="B9357" t="str">
        <f t="shared" si="146"/>
        <v>⒍</v>
      </c>
    </row>
    <row r="9358" spans="1:2" x14ac:dyDescent="0.25">
      <c r="A9358">
        <v>9358</v>
      </c>
      <c r="B9358" t="str">
        <f t="shared" si="146"/>
        <v>⒎</v>
      </c>
    </row>
    <row r="9359" spans="1:2" x14ac:dyDescent="0.25">
      <c r="A9359">
        <v>9359</v>
      </c>
      <c r="B9359" t="str">
        <f t="shared" si="146"/>
        <v>⒏</v>
      </c>
    </row>
    <row r="9360" spans="1:2" x14ac:dyDescent="0.25">
      <c r="A9360">
        <v>9360</v>
      </c>
      <c r="B9360" t="str">
        <f t="shared" si="146"/>
        <v>⒐</v>
      </c>
    </row>
    <row r="9361" spans="1:2" x14ac:dyDescent="0.25">
      <c r="A9361">
        <v>9361</v>
      </c>
      <c r="B9361" t="str">
        <f t="shared" si="146"/>
        <v>⒑</v>
      </c>
    </row>
    <row r="9362" spans="1:2" x14ac:dyDescent="0.25">
      <c r="A9362">
        <v>9362</v>
      </c>
      <c r="B9362" t="str">
        <f t="shared" si="146"/>
        <v>⒒</v>
      </c>
    </row>
    <row r="9363" spans="1:2" x14ac:dyDescent="0.25">
      <c r="A9363">
        <v>9363</v>
      </c>
      <c r="B9363" t="str">
        <f t="shared" si="146"/>
        <v>⒓</v>
      </c>
    </row>
    <row r="9364" spans="1:2" x14ac:dyDescent="0.25">
      <c r="A9364">
        <v>9364</v>
      </c>
      <c r="B9364" t="str">
        <f t="shared" si="146"/>
        <v>⒔</v>
      </c>
    </row>
    <row r="9365" spans="1:2" x14ac:dyDescent="0.25">
      <c r="A9365">
        <v>9365</v>
      </c>
      <c r="B9365" t="str">
        <f t="shared" si="146"/>
        <v>⒕</v>
      </c>
    </row>
    <row r="9366" spans="1:2" x14ac:dyDescent="0.25">
      <c r="A9366">
        <v>9366</v>
      </c>
      <c r="B9366" t="str">
        <f t="shared" si="146"/>
        <v>⒖</v>
      </c>
    </row>
    <row r="9367" spans="1:2" x14ac:dyDescent="0.25">
      <c r="A9367">
        <v>9367</v>
      </c>
      <c r="B9367" t="str">
        <f t="shared" si="146"/>
        <v>⒗</v>
      </c>
    </row>
    <row r="9368" spans="1:2" x14ac:dyDescent="0.25">
      <c r="A9368">
        <v>9368</v>
      </c>
      <c r="B9368" t="str">
        <f t="shared" si="146"/>
        <v>⒘</v>
      </c>
    </row>
    <row r="9369" spans="1:2" x14ac:dyDescent="0.25">
      <c r="A9369">
        <v>9369</v>
      </c>
      <c r="B9369" t="str">
        <f t="shared" si="146"/>
        <v>⒙</v>
      </c>
    </row>
    <row r="9370" spans="1:2" x14ac:dyDescent="0.25">
      <c r="A9370">
        <v>9370</v>
      </c>
      <c r="B9370" t="str">
        <f t="shared" si="146"/>
        <v>⒚</v>
      </c>
    </row>
    <row r="9371" spans="1:2" x14ac:dyDescent="0.25">
      <c r="A9371">
        <v>9371</v>
      </c>
      <c r="B9371" t="str">
        <f t="shared" si="146"/>
        <v>⒛</v>
      </c>
    </row>
    <row r="9372" spans="1:2" x14ac:dyDescent="0.25">
      <c r="A9372">
        <v>9372</v>
      </c>
      <c r="B9372" t="str">
        <f t="shared" si="146"/>
        <v>⒜</v>
      </c>
    </row>
    <row r="9373" spans="1:2" x14ac:dyDescent="0.25">
      <c r="A9373">
        <v>9373</v>
      </c>
      <c r="B9373" t="str">
        <f t="shared" si="146"/>
        <v>⒝</v>
      </c>
    </row>
    <row r="9374" spans="1:2" x14ac:dyDescent="0.25">
      <c r="A9374">
        <v>9374</v>
      </c>
      <c r="B9374" t="str">
        <f t="shared" si="146"/>
        <v>⒞</v>
      </c>
    </row>
    <row r="9375" spans="1:2" x14ac:dyDescent="0.25">
      <c r="A9375">
        <v>9375</v>
      </c>
      <c r="B9375" t="str">
        <f t="shared" si="146"/>
        <v>⒟</v>
      </c>
    </row>
    <row r="9376" spans="1:2" x14ac:dyDescent="0.25">
      <c r="A9376">
        <v>9376</v>
      </c>
      <c r="B9376" t="str">
        <f t="shared" si="146"/>
        <v>⒠</v>
      </c>
    </row>
    <row r="9377" spans="1:2" x14ac:dyDescent="0.25">
      <c r="A9377">
        <v>9377</v>
      </c>
      <c r="B9377" t="str">
        <f t="shared" si="146"/>
        <v>⒡</v>
      </c>
    </row>
    <row r="9378" spans="1:2" x14ac:dyDescent="0.25">
      <c r="A9378">
        <v>9378</v>
      </c>
      <c r="B9378" t="str">
        <f t="shared" si="146"/>
        <v>⒢</v>
      </c>
    </row>
    <row r="9379" spans="1:2" x14ac:dyDescent="0.25">
      <c r="A9379">
        <v>9379</v>
      </c>
      <c r="B9379" t="str">
        <f t="shared" si="146"/>
        <v>⒣</v>
      </c>
    </row>
    <row r="9380" spans="1:2" x14ac:dyDescent="0.25">
      <c r="A9380">
        <v>9380</v>
      </c>
      <c r="B9380" t="str">
        <f t="shared" si="146"/>
        <v>⒤</v>
      </c>
    </row>
    <row r="9381" spans="1:2" x14ac:dyDescent="0.25">
      <c r="A9381">
        <v>9381</v>
      </c>
      <c r="B9381" t="str">
        <f t="shared" si="146"/>
        <v>⒥</v>
      </c>
    </row>
    <row r="9382" spans="1:2" x14ac:dyDescent="0.25">
      <c r="A9382">
        <v>9382</v>
      </c>
      <c r="B9382" t="str">
        <f t="shared" si="146"/>
        <v>⒦</v>
      </c>
    </row>
    <row r="9383" spans="1:2" x14ac:dyDescent="0.25">
      <c r="A9383">
        <v>9383</v>
      </c>
      <c r="B9383" t="str">
        <f t="shared" si="146"/>
        <v>⒧</v>
      </c>
    </row>
    <row r="9384" spans="1:2" x14ac:dyDescent="0.25">
      <c r="A9384">
        <v>9384</v>
      </c>
      <c r="B9384" t="str">
        <f t="shared" si="146"/>
        <v>⒨</v>
      </c>
    </row>
    <row r="9385" spans="1:2" x14ac:dyDescent="0.25">
      <c r="A9385">
        <v>9385</v>
      </c>
      <c r="B9385" t="str">
        <f t="shared" si="146"/>
        <v>⒩</v>
      </c>
    </row>
    <row r="9386" spans="1:2" x14ac:dyDescent="0.25">
      <c r="A9386">
        <v>9386</v>
      </c>
      <c r="B9386" t="str">
        <f t="shared" si="146"/>
        <v>⒪</v>
      </c>
    </row>
    <row r="9387" spans="1:2" x14ac:dyDescent="0.25">
      <c r="A9387">
        <v>9387</v>
      </c>
      <c r="B9387" t="str">
        <f t="shared" si="146"/>
        <v>⒫</v>
      </c>
    </row>
    <row r="9388" spans="1:2" x14ac:dyDescent="0.25">
      <c r="A9388">
        <v>9388</v>
      </c>
      <c r="B9388" t="str">
        <f t="shared" si="146"/>
        <v>⒬</v>
      </c>
    </row>
    <row r="9389" spans="1:2" x14ac:dyDescent="0.25">
      <c r="A9389">
        <v>9389</v>
      </c>
      <c r="B9389" t="str">
        <f t="shared" si="146"/>
        <v>⒭</v>
      </c>
    </row>
    <row r="9390" spans="1:2" x14ac:dyDescent="0.25">
      <c r="A9390">
        <v>9390</v>
      </c>
      <c r="B9390" t="str">
        <f t="shared" si="146"/>
        <v>⒮</v>
      </c>
    </row>
    <row r="9391" spans="1:2" x14ac:dyDescent="0.25">
      <c r="A9391">
        <v>9391</v>
      </c>
      <c r="B9391" t="str">
        <f t="shared" si="146"/>
        <v>⒯</v>
      </c>
    </row>
    <row r="9392" spans="1:2" x14ac:dyDescent="0.25">
      <c r="A9392">
        <v>9392</v>
      </c>
      <c r="B9392" t="str">
        <f t="shared" si="146"/>
        <v>⒰</v>
      </c>
    </row>
    <row r="9393" spans="1:2" x14ac:dyDescent="0.25">
      <c r="A9393">
        <v>9393</v>
      </c>
      <c r="B9393" t="str">
        <f t="shared" si="146"/>
        <v>⒱</v>
      </c>
    </row>
    <row r="9394" spans="1:2" x14ac:dyDescent="0.25">
      <c r="A9394">
        <v>9394</v>
      </c>
      <c r="B9394" t="str">
        <f t="shared" si="146"/>
        <v>⒲</v>
      </c>
    </row>
    <row r="9395" spans="1:2" x14ac:dyDescent="0.25">
      <c r="A9395">
        <v>9395</v>
      </c>
      <c r="B9395" t="str">
        <f t="shared" si="146"/>
        <v>⒳</v>
      </c>
    </row>
    <row r="9396" spans="1:2" x14ac:dyDescent="0.25">
      <c r="A9396">
        <v>9396</v>
      </c>
      <c r="B9396" t="str">
        <f t="shared" si="146"/>
        <v>⒴</v>
      </c>
    </row>
    <row r="9397" spans="1:2" x14ac:dyDescent="0.25">
      <c r="A9397">
        <v>9397</v>
      </c>
      <c r="B9397" t="str">
        <f t="shared" si="146"/>
        <v>⒵</v>
      </c>
    </row>
    <row r="9398" spans="1:2" x14ac:dyDescent="0.25">
      <c r="A9398">
        <v>9398</v>
      </c>
      <c r="B9398" t="str">
        <f t="shared" si="146"/>
        <v>Ⓐ</v>
      </c>
    </row>
    <row r="9399" spans="1:2" x14ac:dyDescent="0.25">
      <c r="A9399">
        <v>9399</v>
      </c>
      <c r="B9399" t="str">
        <f t="shared" si="146"/>
        <v>Ⓑ</v>
      </c>
    </row>
    <row r="9400" spans="1:2" x14ac:dyDescent="0.25">
      <c r="A9400">
        <v>9400</v>
      </c>
      <c r="B9400" t="str">
        <f t="shared" si="146"/>
        <v>Ⓒ</v>
      </c>
    </row>
    <row r="9401" spans="1:2" x14ac:dyDescent="0.25">
      <c r="A9401">
        <v>9401</v>
      </c>
      <c r="B9401" t="str">
        <f t="shared" si="146"/>
        <v>Ⓓ</v>
      </c>
    </row>
    <row r="9402" spans="1:2" x14ac:dyDescent="0.25">
      <c r="A9402">
        <v>9402</v>
      </c>
      <c r="B9402" t="str">
        <f t="shared" si="146"/>
        <v>Ⓔ</v>
      </c>
    </row>
    <row r="9403" spans="1:2" x14ac:dyDescent="0.25">
      <c r="A9403">
        <v>9403</v>
      </c>
      <c r="B9403" t="str">
        <f t="shared" si="146"/>
        <v>Ⓕ</v>
      </c>
    </row>
    <row r="9404" spans="1:2" x14ac:dyDescent="0.25">
      <c r="A9404">
        <v>9404</v>
      </c>
      <c r="B9404" t="str">
        <f t="shared" si="146"/>
        <v>Ⓖ</v>
      </c>
    </row>
    <row r="9405" spans="1:2" x14ac:dyDescent="0.25">
      <c r="A9405">
        <v>9405</v>
      </c>
      <c r="B9405" t="str">
        <f t="shared" si="146"/>
        <v>Ⓗ</v>
      </c>
    </row>
    <row r="9406" spans="1:2" x14ac:dyDescent="0.25">
      <c r="A9406">
        <v>9406</v>
      </c>
      <c r="B9406" t="str">
        <f t="shared" si="146"/>
        <v>Ⓘ</v>
      </c>
    </row>
    <row r="9407" spans="1:2" x14ac:dyDescent="0.25">
      <c r="A9407">
        <v>9407</v>
      </c>
      <c r="B9407" t="str">
        <f t="shared" si="146"/>
        <v>Ⓙ</v>
      </c>
    </row>
    <row r="9408" spans="1:2" x14ac:dyDescent="0.25">
      <c r="A9408">
        <v>9408</v>
      </c>
      <c r="B9408" t="str">
        <f t="shared" si="146"/>
        <v>Ⓚ</v>
      </c>
    </row>
    <row r="9409" spans="1:2" x14ac:dyDescent="0.25">
      <c r="A9409">
        <v>9409</v>
      </c>
      <c r="B9409" t="str">
        <f t="shared" si="146"/>
        <v>Ⓛ</v>
      </c>
    </row>
    <row r="9410" spans="1:2" x14ac:dyDescent="0.25">
      <c r="A9410">
        <v>9410</v>
      </c>
      <c r="B9410" t="str">
        <f t="shared" ref="B9410:B9473" si="147">_xlfn.UNICHAR(A9410)</f>
        <v>Ⓜ</v>
      </c>
    </row>
    <row r="9411" spans="1:2" x14ac:dyDescent="0.25">
      <c r="A9411">
        <v>9411</v>
      </c>
      <c r="B9411" t="str">
        <f t="shared" si="147"/>
        <v>Ⓝ</v>
      </c>
    </row>
    <row r="9412" spans="1:2" x14ac:dyDescent="0.25">
      <c r="A9412">
        <v>9412</v>
      </c>
      <c r="B9412" t="str">
        <f t="shared" si="147"/>
        <v>Ⓞ</v>
      </c>
    </row>
    <row r="9413" spans="1:2" x14ac:dyDescent="0.25">
      <c r="A9413">
        <v>9413</v>
      </c>
      <c r="B9413" t="str">
        <f t="shared" si="147"/>
        <v>Ⓟ</v>
      </c>
    </row>
    <row r="9414" spans="1:2" x14ac:dyDescent="0.25">
      <c r="A9414">
        <v>9414</v>
      </c>
      <c r="B9414" t="str">
        <f t="shared" si="147"/>
        <v>Ⓠ</v>
      </c>
    </row>
    <row r="9415" spans="1:2" x14ac:dyDescent="0.25">
      <c r="A9415">
        <v>9415</v>
      </c>
      <c r="B9415" t="str">
        <f t="shared" si="147"/>
        <v>Ⓡ</v>
      </c>
    </row>
    <row r="9416" spans="1:2" x14ac:dyDescent="0.25">
      <c r="A9416">
        <v>9416</v>
      </c>
      <c r="B9416" t="str">
        <f t="shared" si="147"/>
        <v>Ⓢ</v>
      </c>
    </row>
    <row r="9417" spans="1:2" x14ac:dyDescent="0.25">
      <c r="A9417">
        <v>9417</v>
      </c>
      <c r="B9417" t="str">
        <f t="shared" si="147"/>
        <v>Ⓣ</v>
      </c>
    </row>
    <row r="9418" spans="1:2" x14ac:dyDescent="0.25">
      <c r="A9418">
        <v>9418</v>
      </c>
      <c r="B9418" t="str">
        <f t="shared" si="147"/>
        <v>Ⓤ</v>
      </c>
    </row>
    <row r="9419" spans="1:2" x14ac:dyDescent="0.25">
      <c r="A9419">
        <v>9419</v>
      </c>
      <c r="B9419" t="str">
        <f t="shared" si="147"/>
        <v>Ⓥ</v>
      </c>
    </row>
    <row r="9420" spans="1:2" x14ac:dyDescent="0.25">
      <c r="A9420">
        <v>9420</v>
      </c>
      <c r="B9420" t="str">
        <f t="shared" si="147"/>
        <v>Ⓦ</v>
      </c>
    </row>
    <row r="9421" spans="1:2" x14ac:dyDescent="0.25">
      <c r="A9421">
        <v>9421</v>
      </c>
      <c r="B9421" t="str">
        <f t="shared" si="147"/>
        <v>Ⓧ</v>
      </c>
    </row>
    <row r="9422" spans="1:2" x14ac:dyDescent="0.25">
      <c r="A9422">
        <v>9422</v>
      </c>
      <c r="B9422" t="str">
        <f t="shared" si="147"/>
        <v>Ⓨ</v>
      </c>
    </row>
    <row r="9423" spans="1:2" x14ac:dyDescent="0.25">
      <c r="A9423">
        <v>9423</v>
      </c>
      <c r="B9423" t="str">
        <f t="shared" si="147"/>
        <v>Ⓩ</v>
      </c>
    </row>
    <row r="9424" spans="1:2" x14ac:dyDescent="0.25">
      <c r="A9424">
        <v>9424</v>
      </c>
      <c r="B9424" t="str">
        <f t="shared" si="147"/>
        <v>ⓐ</v>
      </c>
    </row>
    <row r="9425" spans="1:2" x14ac:dyDescent="0.25">
      <c r="A9425">
        <v>9425</v>
      </c>
      <c r="B9425" t="str">
        <f t="shared" si="147"/>
        <v>ⓑ</v>
      </c>
    </row>
    <row r="9426" spans="1:2" x14ac:dyDescent="0.25">
      <c r="A9426">
        <v>9426</v>
      </c>
      <c r="B9426" t="str">
        <f t="shared" si="147"/>
        <v>ⓒ</v>
      </c>
    </row>
    <row r="9427" spans="1:2" x14ac:dyDescent="0.25">
      <c r="A9427">
        <v>9427</v>
      </c>
      <c r="B9427" t="str">
        <f t="shared" si="147"/>
        <v>ⓓ</v>
      </c>
    </row>
    <row r="9428" spans="1:2" x14ac:dyDescent="0.25">
      <c r="A9428">
        <v>9428</v>
      </c>
      <c r="B9428" t="str">
        <f t="shared" si="147"/>
        <v>ⓔ</v>
      </c>
    </row>
    <row r="9429" spans="1:2" x14ac:dyDescent="0.25">
      <c r="A9429">
        <v>9429</v>
      </c>
      <c r="B9429" t="str">
        <f t="shared" si="147"/>
        <v>ⓕ</v>
      </c>
    </row>
    <row r="9430" spans="1:2" x14ac:dyDescent="0.25">
      <c r="A9430">
        <v>9430</v>
      </c>
      <c r="B9430" t="str">
        <f t="shared" si="147"/>
        <v>ⓖ</v>
      </c>
    </row>
    <row r="9431" spans="1:2" x14ac:dyDescent="0.25">
      <c r="A9431">
        <v>9431</v>
      </c>
      <c r="B9431" t="str">
        <f t="shared" si="147"/>
        <v>ⓗ</v>
      </c>
    </row>
    <row r="9432" spans="1:2" x14ac:dyDescent="0.25">
      <c r="A9432">
        <v>9432</v>
      </c>
      <c r="B9432" t="str">
        <f t="shared" si="147"/>
        <v>ⓘ</v>
      </c>
    </row>
    <row r="9433" spans="1:2" x14ac:dyDescent="0.25">
      <c r="A9433">
        <v>9433</v>
      </c>
      <c r="B9433" t="str">
        <f t="shared" si="147"/>
        <v>ⓙ</v>
      </c>
    </row>
    <row r="9434" spans="1:2" x14ac:dyDescent="0.25">
      <c r="A9434">
        <v>9434</v>
      </c>
      <c r="B9434" t="str">
        <f t="shared" si="147"/>
        <v>ⓚ</v>
      </c>
    </row>
    <row r="9435" spans="1:2" x14ac:dyDescent="0.25">
      <c r="A9435">
        <v>9435</v>
      </c>
      <c r="B9435" t="str">
        <f t="shared" si="147"/>
        <v>ⓛ</v>
      </c>
    </row>
    <row r="9436" spans="1:2" x14ac:dyDescent="0.25">
      <c r="A9436">
        <v>9436</v>
      </c>
      <c r="B9436" t="str">
        <f t="shared" si="147"/>
        <v>ⓜ</v>
      </c>
    </row>
    <row r="9437" spans="1:2" x14ac:dyDescent="0.25">
      <c r="A9437">
        <v>9437</v>
      </c>
      <c r="B9437" t="str">
        <f t="shared" si="147"/>
        <v>ⓝ</v>
      </c>
    </row>
    <row r="9438" spans="1:2" x14ac:dyDescent="0.25">
      <c r="A9438">
        <v>9438</v>
      </c>
      <c r="B9438" t="str">
        <f t="shared" si="147"/>
        <v>ⓞ</v>
      </c>
    </row>
    <row r="9439" spans="1:2" x14ac:dyDescent="0.25">
      <c r="A9439">
        <v>9439</v>
      </c>
      <c r="B9439" t="str">
        <f t="shared" si="147"/>
        <v>ⓟ</v>
      </c>
    </row>
    <row r="9440" spans="1:2" x14ac:dyDescent="0.25">
      <c r="A9440">
        <v>9440</v>
      </c>
      <c r="B9440" t="str">
        <f t="shared" si="147"/>
        <v>ⓠ</v>
      </c>
    </row>
    <row r="9441" spans="1:2" x14ac:dyDescent="0.25">
      <c r="A9441">
        <v>9441</v>
      </c>
      <c r="B9441" t="str">
        <f t="shared" si="147"/>
        <v>ⓡ</v>
      </c>
    </row>
    <row r="9442" spans="1:2" x14ac:dyDescent="0.25">
      <c r="A9442">
        <v>9442</v>
      </c>
      <c r="B9442" t="str">
        <f t="shared" si="147"/>
        <v>ⓢ</v>
      </c>
    </row>
    <row r="9443" spans="1:2" x14ac:dyDescent="0.25">
      <c r="A9443">
        <v>9443</v>
      </c>
      <c r="B9443" t="str">
        <f t="shared" si="147"/>
        <v>ⓣ</v>
      </c>
    </row>
    <row r="9444" spans="1:2" x14ac:dyDescent="0.25">
      <c r="A9444">
        <v>9444</v>
      </c>
      <c r="B9444" t="str">
        <f t="shared" si="147"/>
        <v>ⓤ</v>
      </c>
    </row>
    <row r="9445" spans="1:2" x14ac:dyDescent="0.25">
      <c r="A9445">
        <v>9445</v>
      </c>
      <c r="B9445" t="str">
        <f t="shared" si="147"/>
        <v>ⓥ</v>
      </c>
    </row>
    <row r="9446" spans="1:2" x14ac:dyDescent="0.25">
      <c r="A9446">
        <v>9446</v>
      </c>
      <c r="B9446" t="str">
        <f t="shared" si="147"/>
        <v>ⓦ</v>
      </c>
    </row>
    <row r="9447" spans="1:2" x14ac:dyDescent="0.25">
      <c r="A9447">
        <v>9447</v>
      </c>
      <c r="B9447" t="str">
        <f t="shared" si="147"/>
        <v>ⓧ</v>
      </c>
    </row>
    <row r="9448" spans="1:2" x14ac:dyDescent="0.25">
      <c r="A9448">
        <v>9448</v>
      </c>
      <c r="B9448" t="str">
        <f t="shared" si="147"/>
        <v>ⓨ</v>
      </c>
    </row>
    <row r="9449" spans="1:2" x14ac:dyDescent="0.25">
      <c r="A9449">
        <v>9449</v>
      </c>
      <c r="B9449" t="str">
        <f t="shared" si="147"/>
        <v>ⓩ</v>
      </c>
    </row>
    <row r="9450" spans="1:2" x14ac:dyDescent="0.25">
      <c r="A9450">
        <v>9450</v>
      </c>
      <c r="B9450" t="str">
        <f t="shared" si="147"/>
        <v>⓪</v>
      </c>
    </row>
    <row r="9451" spans="1:2" x14ac:dyDescent="0.25">
      <c r="A9451">
        <v>9451</v>
      </c>
      <c r="B9451" t="str">
        <f t="shared" si="147"/>
        <v>⓫</v>
      </c>
    </row>
    <row r="9452" spans="1:2" x14ac:dyDescent="0.25">
      <c r="A9452">
        <v>9452</v>
      </c>
      <c r="B9452" t="str">
        <f t="shared" si="147"/>
        <v>⓬</v>
      </c>
    </row>
    <row r="9453" spans="1:2" x14ac:dyDescent="0.25">
      <c r="A9453">
        <v>9453</v>
      </c>
      <c r="B9453" t="str">
        <f t="shared" si="147"/>
        <v>⓭</v>
      </c>
    </row>
    <row r="9454" spans="1:2" x14ac:dyDescent="0.25">
      <c r="A9454">
        <v>9454</v>
      </c>
      <c r="B9454" t="str">
        <f t="shared" si="147"/>
        <v>⓮</v>
      </c>
    </row>
    <row r="9455" spans="1:2" x14ac:dyDescent="0.25">
      <c r="A9455">
        <v>9455</v>
      </c>
      <c r="B9455" t="str">
        <f t="shared" si="147"/>
        <v>⓯</v>
      </c>
    </row>
    <row r="9456" spans="1:2" x14ac:dyDescent="0.25">
      <c r="A9456">
        <v>9456</v>
      </c>
      <c r="B9456" t="str">
        <f t="shared" si="147"/>
        <v>⓰</v>
      </c>
    </row>
    <row r="9457" spans="1:2" x14ac:dyDescent="0.25">
      <c r="A9457">
        <v>9457</v>
      </c>
      <c r="B9457" t="str">
        <f t="shared" si="147"/>
        <v>⓱</v>
      </c>
    </row>
    <row r="9458" spans="1:2" x14ac:dyDescent="0.25">
      <c r="A9458">
        <v>9458</v>
      </c>
      <c r="B9458" t="str">
        <f t="shared" si="147"/>
        <v>⓲</v>
      </c>
    </row>
    <row r="9459" spans="1:2" x14ac:dyDescent="0.25">
      <c r="A9459">
        <v>9459</v>
      </c>
      <c r="B9459" t="str">
        <f t="shared" si="147"/>
        <v>⓳</v>
      </c>
    </row>
    <row r="9460" spans="1:2" x14ac:dyDescent="0.25">
      <c r="A9460">
        <v>9460</v>
      </c>
      <c r="B9460" t="str">
        <f t="shared" si="147"/>
        <v>⓴</v>
      </c>
    </row>
    <row r="9461" spans="1:2" x14ac:dyDescent="0.25">
      <c r="A9461">
        <v>9461</v>
      </c>
      <c r="B9461" t="str">
        <f t="shared" si="147"/>
        <v>⓵</v>
      </c>
    </row>
    <row r="9462" spans="1:2" x14ac:dyDescent="0.25">
      <c r="A9462">
        <v>9462</v>
      </c>
      <c r="B9462" t="str">
        <f t="shared" si="147"/>
        <v>⓶</v>
      </c>
    </row>
    <row r="9463" spans="1:2" x14ac:dyDescent="0.25">
      <c r="A9463">
        <v>9463</v>
      </c>
      <c r="B9463" t="str">
        <f t="shared" si="147"/>
        <v>⓷</v>
      </c>
    </row>
    <row r="9464" spans="1:2" x14ac:dyDescent="0.25">
      <c r="A9464">
        <v>9464</v>
      </c>
      <c r="B9464" t="str">
        <f t="shared" si="147"/>
        <v>⓸</v>
      </c>
    </row>
    <row r="9465" spans="1:2" x14ac:dyDescent="0.25">
      <c r="A9465">
        <v>9465</v>
      </c>
      <c r="B9465" t="str">
        <f t="shared" si="147"/>
        <v>⓹</v>
      </c>
    </row>
    <row r="9466" spans="1:2" x14ac:dyDescent="0.25">
      <c r="A9466">
        <v>9466</v>
      </c>
      <c r="B9466" t="str">
        <f t="shared" si="147"/>
        <v>⓺</v>
      </c>
    </row>
    <row r="9467" spans="1:2" x14ac:dyDescent="0.25">
      <c r="A9467">
        <v>9467</v>
      </c>
      <c r="B9467" t="str">
        <f t="shared" si="147"/>
        <v>⓻</v>
      </c>
    </row>
    <row r="9468" spans="1:2" x14ac:dyDescent="0.25">
      <c r="A9468">
        <v>9468</v>
      </c>
      <c r="B9468" t="str">
        <f t="shared" si="147"/>
        <v>⓼</v>
      </c>
    </row>
    <row r="9469" spans="1:2" x14ac:dyDescent="0.25">
      <c r="A9469">
        <v>9469</v>
      </c>
      <c r="B9469" t="str">
        <f t="shared" si="147"/>
        <v>⓽</v>
      </c>
    </row>
    <row r="9470" spans="1:2" x14ac:dyDescent="0.25">
      <c r="A9470">
        <v>9470</v>
      </c>
      <c r="B9470" t="str">
        <f t="shared" si="147"/>
        <v>⓾</v>
      </c>
    </row>
    <row r="9471" spans="1:2" x14ac:dyDescent="0.25">
      <c r="A9471">
        <v>9471</v>
      </c>
      <c r="B9471" t="str">
        <f t="shared" si="147"/>
        <v>⓿</v>
      </c>
    </row>
    <row r="9472" spans="1:2" x14ac:dyDescent="0.25">
      <c r="A9472">
        <v>9472</v>
      </c>
      <c r="B9472" t="str">
        <f t="shared" si="147"/>
        <v>─</v>
      </c>
    </row>
    <row r="9473" spans="1:2" x14ac:dyDescent="0.25">
      <c r="A9473">
        <v>9473</v>
      </c>
      <c r="B9473" t="str">
        <f t="shared" si="147"/>
        <v>━</v>
      </c>
    </row>
    <row r="9474" spans="1:2" x14ac:dyDescent="0.25">
      <c r="A9474">
        <v>9474</v>
      </c>
      <c r="B9474" t="str">
        <f t="shared" ref="B9474:B9537" si="148">_xlfn.UNICHAR(A9474)</f>
        <v>│</v>
      </c>
    </row>
    <row r="9475" spans="1:2" x14ac:dyDescent="0.25">
      <c r="A9475">
        <v>9475</v>
      </c>
      <c r="B9475" t="str">
        <f t="shared" si="148"/>
        <v>┃</v>
      </c>
    </row>
    <row r="9476" spans="1:2" x14ac:dyDescent="0.25">
      <c r="A9476">
        <v>9476</v>
      </c>
      <c r="B9476" t="str">
        <f t="shared" si="148"/>
        <v>┄</v>
      </c>
    </row>
    <row r="9477" spans="1:2" x14ac:dyDescent="0.25">
      <c r="A9477">
        <v>9477</v>
      </c>
      <c r="B9477" t="str">
        <f t="shared" si="148"/>
        <v>┅</v>
      </c>
    </row>
    <row r="9478" spans="1:2" x14ac:dyDescent="0.25">
      <c r="A9478">
        <v>9478</v>
      </c>
      <c r="B9478" t="str">
        <f t="shared" si="148"/>
        <v>┆</v>
      </c>
    </row>
    <row r="9479" spans="1:2" x14ac:dyDescent="0.25">
      <c r="A9479">
        <v>9479</v>
      </c>
      <c r="B9479" t="str">
        <f t="shared" si="148"/>
        <v>┇</v>
      </c>
    </row>
    <row r="9480" spans="1:2" x14ac:dyDescent="0.25">
      <c r="A9480">
        <v>9480</v>
      </c>
      <c r="B9480" t="str">
        <f t="shared" si="148"/>
        <v>┈</v>
      </c>
    </row>
    <row r="9481" spans="1:2" x14ac:dyDescent="0.25">
      <c r="A9481">
        <v>9481</v>
      </c>
      <c r="B9481" t="str">
        <f t="shared" si="148"/>
        <v>┉</v>
      </c>
    </row>
    <row r="9482" spans="1:2" x14ac:dyDescent="0.25">
      <c r="A9482">
        <v>9482</v>
      </c>
      <c r="B9482" t="str">
        <f t="shared" si="148"/>
        <v>┊</v>
      </c>
    </row>
    <row r="9483" spans="1:2" x14ac:dyDescent="0.25">
      <c r="A9483">
        <v>9483</v>
      </c>
      <c r="B9483" t="str">
        <f t="shared" si="148"/>
        <v>┋</v>
      </c>
    </row>
    <row r="9484" spans="1:2" x14ac:dyDescent="0.25">
      <c r="A9484">
        <v>9484</v>
      </c>
      <c r="B9484" t="str">
        <f t="shared" si="148"/>
        <v>┌</v>
      </c>
    </row>
    <row r="9485" spans="1:2" x14ac:dyDescent="0.25">
      <c r="A9485">
        <v>9485</v>
      </c>
      <c r="B9485" t="str">
        <f t="shared" si="148"/>
        <v>┍</v>
      </c>
    </row>
    <row r="9486" spans="1:2" x14ac:dyDescent="0.25">
      <c r="A9486">
        <v>9486</v>
      </c>
      <c r="B9486" t="str">
        <f t="shared" si="148"/>
        <v>┎</v>
      </c>
    </row>
    <row r="9487" spans="1:2" x14ac:dyDescent="0.25">
      <c r="A9487">
        <v>9487</v>
      </c>
      <c r="B9487" t="str">
        <f t="shared" si="148"/>
        <v>┏</v>
      </c>
    </row>
    <row r="9488" spans="1:2" x14ac:dyDescent="0.25">
      <c r="A9488">
        <v>9488</v>
      </c>
      <c r="B9488" t="str">
        <f t="shared" si="148"/>
        <v>┐</v>
      </c>
    </row>
    <row r="9489" spans="1:2" x14ac:dyDescent="0.25">
      <c r="A9489">
        <v>9489</v>
      </c>
      <c r="B9489" t="str">
        <f t="shared" si="148"/>
        <v>┑</v>
      </c>
    </row>
    <row r="9490" spans="1:2" x14ac:dyDescent="0.25">
      <c r="A9490">
        <v>9490</v>
      </c>
      <c r="B9490" t="str">
        <f t="shared" si="148"/>
        <v>┒</v>
      </c>
    </row>
    <row r="9491" spans="1:2" x14ac:dyDescent="0.25">
      <c r="A9491">
        <v>9491</v>
      </c>
      <c r="B9491" t="str">
        <f t="shared" si="148"/>
        <v>┓</v>
      </c>
    </row>
    <row r="9492" spans="1:2" x14ac:dyDescent="0.25">
      <c r="A9492">
        <v>9492</v>
      </c>
      <c r="B9492" t="str">
        <f t="shared" si="148"/>
        <v>└</v>
      </c>
    </row>
    <row r="9493" spans="1:2" x14ac:dyDescent="0.25">
      <c r="A9493">
        <v>9493</v>
      </c>
      <c r="B9493" t="str">
        <f t="shared" si="148"/>
        <v>┕</v>
      </c>
    </row>
    <row r="9494" spans="1:2" x14ac:dyDescent="0.25">
      <c r="A9494">
        <v>9494</v>
      </c>
      <c r="B9494" t="str">
        <f t="shared" si="148"/>
        <v>┖</v>
      </c>
    </row>
    <row r="9495" spans="1:2" x14ac:dyDescent="0.25">
      <c r="A9495">
        <v>9495</v>
      </c>
      <c r="B9495" t="str">
        <f t="shared" si="148"/>
        <v>┗</v>
      </c>
    </row>
    <row r="9496" spans="1:2" x14ac:dyDescent="0.25">
      <c r="A9496">
        <v>9496</v>
      </c>
      <c r="B9496" t="str">
        <f t="shared" si="148"/>
        <v>┘</v>
      </c>
    </row>
    <row r="9497" spans="1:2" x14ac:dyDescent="0.25">
      <c r="A9497">
        <v>9497</v>
      </c>
      <c r="B9497" t="str">
        <f t="shared" si="148"/>
        <v>┙</v>
      </c>
    </row>
    <row r="9498" spans="1:2" x14ac:dyDescent="0.25">
      <c r="A9498">
        <v>9498</v>
      </c>
      <c r="B9498" t="str">
        <f t="shared" si="148"/>
        <v>┚</v>
      </c>
    </row>
    <row r="9499" spans="1:2" x14ac:dyDescent="0.25">
      <c r="A9499">
        <v>9499</v>
      </c>
      <c r="B9499" t="str">
        <f t="shared" si="148"/>
        <v>┛</v>
      </c>
    </row>
    <row r="9500" spans="1:2" x14ac:dyDescent="0.25">
      <c r="A9500">
        <v>9500</v>
      </c>
      <c r="B9500" t="str">
        <f t="shared" si="148"/>
        <v>├</v>
      </c>
    </row>
    <row r="9501" spans="1:2" x14ac:dyDescent="0.25">
      <c r="A9501">
        <v>9501</v>
      </c>
      <c r="B9501" t="str">
        <f t="shared" si="148"/>
        <v>┝</v>
      </c>
    </row>
    <row r="9502" spans="1:2" x14ac:dyDescent="0.25">
      <c r="A9502">
        <v>9502</v>
      </c>
      <c r="B9502" t="str">
        <f t="shared" si="148"/>
        <v>┞</v>
      </c>
    </row>
    <row r="9503" spans="1:2" x14ac:dyDescent="0.25">
      <c r="A9503">
        <v>9503</v>
      </c>
      <c r="B9503" t="str">
        <f t="shared" si="148"/>
        <v>┟</v>
      </c>
    </row>
    <row r="9504" spans="1:2" x14ac:dyDescent="0.25">
      <c r="A9504">
        <v>9504</v>
      </c>
      <c r="B9504" t="str">
        <f t="shared" si="148"/>
        <v>┠</v>
      </c>
    </row>
    <row r="9505" spans="1:2" x14ac:dyDescent="0.25">
      <c r="A9505">
        <v>9505</v>
      </c>
      <c r="B9505" t="str">
        <f t="shared" si="148"/>
        <v>┡</v>
      </c>
    </row>
    <row r="9506" spans="1:2" x14ac:dyDescent="0.25">
      <c r="A9506">
        <v>9506</v>
      </c>
      <c r="B9506" t="str">
        <f t="shared" si="148"/>
        <v>┢</v>
      </c>
    </row>
    <row r="9507" spans="1:2" x14ac:dyDescent="0.25">
      <c r="A9507">
        <v>9507</v>
      </c>
      <c r="B9507" t="str">
        <f t="shared" si="148"/>
        <v>┣</v>
      </c>
    </row>
    <row r="9508" spans="1:2" x14ac:dyDescent="0.25">
      <c r="A9508">
        <v>9508</v>
      </c>
      <c r="B9508" t="str">
        <f t="shared" si="148"/>
        <v>┤</v>
      </c>
    </row>
    <row r="9509" spans="1:2" x14ac:dyDescent="0.25">
      <c r="A9509">
        <v>9509</v>
      </c>
      <c r="B9509" t="str">
        <f t="shared" si="148"/>
        <v>┥</v>
      </c>
    </row>
    <row r="9510" spans="1:2" x14ac:dyDescent="0.25">
      <c r="A9510">
        <v>9510</v>
      </c>
      <c r="B9510" t="str">
        <f t="shared" si="148"/>
        <v>┦</v>
      </c>
    </row>
    <row r="9511" spans="1:2" x14ac:dyDescent="0.25">
      <c r="A9511">
        <v>9511</v>
      </c>
      <c r="B9511" t="str">
        <f t="shared" si="148"/>
        <v>┧</v>
      </c>
    </row>
    <row r="9512" spans="1:2" x14ac:dyDescent="0.25">
      <c r="A9512">
        <v>9512</v>
      </c>
      <c r="B9512" t="str">
        <f t="shared" si="148"/>
        <v>┨</v>
      </c>
    </row>
    <row r="9513" spans="1:2" x14ac:dyDescent="0.25">
      <c r="A9513">
        <v>9513</v>
      </c>
      <c r="B9513" t="str">
        <f t="shared" si="148"/>
        <v>┩</v>
      </c>
    </row>
    <row r="9514" spans="1:2" x14ac:dyDescent="0.25">
      <c r="A9514">
        <v>9514</v>
      </c>
      <c r="B9514" t="str">
        <f t="shared" si="148"/>
        <v>┪</v>
      </c>
    </row>
    <row r="9515" spans="1:2" x14ac:dyDescent="0.25">
      <c r="A9515">
        <v>9515</v>
      </c>
      <c r="B9515" t="str">
        <f t="shared" si="148"/>
        <v>┫</v>
      </c>
    </row>
    <row r="9516" spans="1:2" x14ac:dyDescent="0.25">
      <c r="A9516">
        <v>9516</v>
      </c>
      <c r="B9516" t="str">
        <f t="shared" si="148"/>
        <v>┬</v>
      </c>
    </row>
    <row r="9517" spans="1:2" x14ac:dyDescent="0.25">
      <c r="A9517">
        <v>9517</v>
      </c>
      <c r="B9517" t="str">
        <f t="shared" si="148"/>
        <v>┭</v>
      </c>
    </row>
    <row r="9518" spans="1:2" x14ac:dyDescent="0.25">
      <c r="A9518">
        <v>9518</v>
      </c>
      <c r="B9518" t="str">
        <f t="shared" si="148"/>
        <v>┮</v>
      </c>
    </row>
    <row r="9519" spans="1:2" x14ac:dyDescent="0.25">
      <c r="A9519">
        <v>9519</v>
      </c>
      <c r="B9519" t="str">
        <f t="shared" si="148"/>
        <v>┯</v>
      </c>
    </row>
    <row r="9520" spans="1:2" x14ac:dyDescent="0.25">
      <c r="A9520">
        <v>9520</v>
      </c>
      <c r="B9520" t="str">
        <f t="shared" si="148"/>
        <v>┰</v>
      </c>
    </row>
    <row r="9521" spans="1:2" x14ac:dyDescent="0.25">
      <c r="A9521">
        <v>9521</v>
      </c>
      <c r="B9521" t="str">
        <f t="shared" si="148"/>
        <v>┱</v>
      </c>
    </row>
    <row r="9522" spans="1:2" x14ac:dyDescent="0.25">
      <c r="A9522">
        <v>9522</v>
      </c>
      <c r="B9522" t="str">
        <f t="shared" si="148"/>
        <v>┲</v>
      </c>
    </row>
    <row r="9523" spans="1:2" x14ac:dyDescent="0.25">
      <c r="A9523">
        <v>9523</v>
      </c>
      <c r="B9523" t="str">
        <f t="shared" si="148"/>
        <v>┳</v>
      </c>
    </row>
    <row r="9524" spans="1:2" x14ac:dyDescent="0.25">
      <c r="A9524">
        <v>9524</v>
      </c>
      <c r="B9524" t="str">
        <f t="shared" si="148"/>
        <v>┴</v>
      </c>
    </row>
    <row r="9525" spans="1:2" x14ac:dyDescent="0.25">
      <c r="A9525">
        <v>9525</v>
      </c>
      <c r="B9525" t="str">
        <f t="shared" si="148"/>
        <v>┵</v>
      </c>
    </row>
    <row r="9526" spans="1:2" x14ac:dyDescent="0.25">
      <c r="A9526">
        <v>9526</v>
      </c>
      <c r="B9526" t="str">
        <f t="shared" si="148"/>
        <v>┶</v>
      </c>
    </row>
    <row r="9527" spans="1:2" x14ac:dyDescent="0.25">
      <c r="A9527">
        <v>9527</v>
      </c>
      <c r="B9527" t="str">
        <f t="shared" si="148"/>
        <v>┷</v>
      </c>
    </row>
    <row r="9528" spans="1:2" x14ac:dyDescent="0.25">
      <c r="A9528">
        <v>9528</v>
      </c>
      <c r="B9528" t="str">
        <f t="shared" si="148"/>
        <v>┸</v>
      </c>
    </row>
    <row r="9529" spans="1:2" x14ac:dyDescent="0.25">
      <c r="A9529">
        <v>9529</v>
      </c>
      <c r="B9529" t="str">
        <f t="shared" si="148"/>
        <v>┹</v>
      </c>
    </row>
    <row r="9530" spans="1:2" x14ac:dyDescent="0.25">
      <c r="A9530">
        <v>9530</v>
      </c>
      <c r="B9530" t="str">
        <f t="shared" si="148"/>
        <v>┺</v>
      </c>
    </row>
    <row r="9531" spans="1:2" x14ac:dyDescent="0.25">
      <c r="A9531">
        <v>9531</v>
      </c>
      <c r="B9531" t="str">
        <f t="shared" si="148"/>
        <v>┻</v>
      </c>
    </row>
    <row r="9532" spans="1:2" x14ac:dyDescent="0.25">
      <c r="A9532">
        <v>9532</v>
      </c>
      <c r="B9532" t="str">
        <f t="shared" si="148"/>
        <v>┼</v>
      </c>
    </row>
    <row r="9533" spans="1:2" x14ac:dyDescent="0.25">
      <c r="A9533">
        <v>9533</v>
      </c>
      <c r="B9533" t="str">
        <f t="shared" si="148"/>
        <v>┽</v>
      </c>
    </row>
    <row r="9534" spans="1:2" x14ac:dyDescent="0.25">
      <c r="A9534">
        <v>9534</v>
      </c>
      <c r="B9534" t="str">
        <f t="shared" si="148"/>
        <v>┾</v>
      </c>
    </row>
    <row r="9535" spans="1:2" x14ac:dyDescent="0.25">
      <c r="A9535">
        <v>9535</v>
      </c>
      <c r="B9535" t="str">
        <f t="shared" si="148"/>
        <v>┿</v>
      </c>
    </row>
    <row r="9536" spans="1:2" x14ac:dyDescent="0.25">
      <c r="A9536">
        <v>9536</v>
      </c>
      <c r="B9536" t="str">
        <f t="shared" si="148"/>
        <v>╀</v>
      </c>
    </row>
    <row r="9537" spans="1:2" x14ac:dyDescent="0.25">
      <c r="A9537">
        <v>9537</v>
      </c>
      <c r="B9537" t="str">
        <f t="shared" si="148"/>
        <v>╁</v>
      </c>
    </row>
    <row r="9538" spans="1:2" x14ac:dyDescent="0.25">
      <c r="A9538">
        <v>9538</v>
      </c>
      <c r="B9538" t="str">
        <f t="shared" ref="B9538:B9601" si="149">_xlfn.UNICHAR(A9538)</f>
        <v>╂</v>
      </c>
    </row>
    <row r="9539" spans="1:2" x14ac:dyDescent="0.25">
      <c r="A9539">
        <v>9539</v>
      </c>
      <c r="B9539" t="str">
        <f t="shared" si="149"/>
        <v>╃</v>
      </c>
    </row>
    <row r="9540" spans="1:2" x14ac:dyDescent="0.25">
      <c r="A9540">
        <v>9540</v>
      </c>
      <c r="B9540" t="str">
        <f t="shared" si="149"/>
        <v>╄</v>
      </c>
    </row>
    <row r="9541" spans="1:2" x14ac:dyDescent="0.25">
      <c r="A9541">
        <v>9541</v>
      </c>
      <c r="B9541" t="str">
        <f t="shared" si="149"/>
        <v>╅</v>
      </c>
    </row>
    <row r="9542" spans="1:2" x14ac:dyDescent="0.25">
      <c r="A9542">
        <v>9542</v>
      </c>
      <c r="B9542" t="str">
        <f t="shared" si="149"/>
        <v>╆</v>
      </c>
    </row>
    <row r="9543" spans="1:2" x14ac:dyDescent="0.25">
      <c r="A9543">
        <v>9543</v>
      </c>
      <c r="B9543" t="str">
        <f t="shared" si="149"/>
        <v>╇</v>
      </c>
    </row>
    <row r="9544" spans="1:2" x14ac:dyDescent="0.25">
      <c r="A9544">
        <v>9544</v>
      </c>
      <c r="B9544" t="str">
        <f t="shared" si="149"/>
        <v>╈</v>
      </c>
    </row>
    <row r="9545" spans="1:2" x14ac:dyDescent="0.25">
      <c r="A9545">
        <v>9545</v>
      </c>
      <c r="B9545" t="str">
        <f t="shared" si="149"/>
        <v>╉</v>
      </c>
    </row>
    <row r="9546" spans="1:2" x14ac:dyDescent="0.25">
      <c r="A9546">
        <v>9546</v>
      </c>
      <c r="B9546" t="str">
        <f t="shared" si="149"/>
        <v>╊</v>
      </c>
    </row>
    <row r="9547" spans="1:2" x14ac:dyDescent="0.25">
      <c r="A9547">
        <v>9547</v>
      </c>
      <c r="B9547" t="str">
        <f t="shared" si="149"/>
        <v>╋</v>
      </c>
    </row>
    <row r="9548" spans="1:2" x14ac:dyDescent="0.25">
      <c r="A9548">
        <v>9548</v>
      </c>
      <c r="B9548" t="str">
        <f t="shared" si="149"/>
        <v>╌</v>
      </c>
    </row>
    <row r="9549" spans="1:2" x14ac:dyDescent="0.25">
      <c r="A9549">
        <v>9549</v>
      </c>
      <c r="B9549" t="str">
        <f t="shared" si="149"/>
        <v>╍</v>
      </c>
    </row>
    <row r="9550" spans="1:2" x14ac:dyDescent="0.25">
      <c r="A9550">
        <v>9550</v>
      </c>
      <c r="B9550" t="str">
        <f t="shared" si="149"/>
        <v>╎</v>
      </c>
    </row>
    <row r="9551" spans="1:2" x14ac:dyDescent="0.25">
      <c r="A9551">
        <v>9551</v>
      </c>
      <c r="B9551" t="str">
        <f t="shared" si="149"/>
        <v>╏</v>
      </c>
    </row>
    <row r="9552" spans="1:2" x14ac:dyDescent="0.25">
      <c r="A9552">
        <v>9552</v>
      </c>
      <c r="B9552" t="str">
        <f t="shared" si="149"/>
        <v>═</v>
      </c>
    </row>
    <row r="9553" spans="1:2" x14ac:dyDescent="0.25">
      <c r="A9553">
        <v>9553</v>
      </c>
      <c r="B9553" t="str">
        <f t="shared" si="149"/>
        <v>║</v>
      </c>
    </row>
    <row r="9554" spans="1:2" x14ac:dyDescent="0.25">
      <c r="A9554">
        <v>9554</v>
      </c>
      <c r="B9554" t="str">
        <f t="shared" si="149"/>
        <v>╒</v>
      </c>
    </row>
    <row r="9555" spans="1:2" x14ac:dyDescent="0.25">
      <c r="A9555">
        <v>9555</v>
      </c>
      <c r="B9555" t="str">
        <f t="shared" si="149"/>
        <v>╓</v>
      </c>
    </row>
    <row r="9556" spans="1:2" x14ac:dyDescent="0.25">
      <c r="A9556">
        <v>9556</v>
      </c>
      <c r="B9556" t="str">
        <f t="shared" si="149"/>
        <v>╔</v>
      </c>
    </row>
    <row r="9557" spans="1:2" x14ac:dyDescent="0.25">
      <c r="A9557">
        <v>9557</v>
      </c>
      <c r="B9557" t="str">
        <f t="shared" si="149"/>
        <v>╕</v>
      </c>
    </row>
    <row r="9558" spans="1:2" x14ac:dyDescent="0.25">
      <c r="A9558">
        <v>9558</v>
      </c>
      <c r="B9558" t="str">
        <f t="shared" si="149"/>
        <v>╖</v>
      </c>
    </row>
    <row r="9559" spans="1:2" x14ac:dyDescent="0.25">
      <c r="A9559">
        <v>9559</v>
      </c>
      <c r="B9559" t="str">
        <f t="shared" si="149"/>
        <v>╗</v>
      </c>
    </row>
    <row r="9560" spans="1:2" x14ac:dyDescent="0.25">
      <c r="A9560">
        <v>9560</v>
      </c>
      <c r="B9560" t="str">
        <f t="shared" si="149"/>
        <v>╘</v>
      </c>
    </row>
    <row r="9561" spans="1:2" x14ac:dyDescent="0.25">
      <c r="A9561">
        <v>9561</v>
      </c>
      <c r="B9561" t="str">
        <f t="shared" si="149"/>
        <v>╙</v>
      </c>
    </row>
    <row r="9562" spans="1:2" x14ac:dyDescent="0.25">
      <c r="A9562">
        <v>9562</v>
      </c>
      <c r="B9562" t="str">
        <f t="shared" si="149"/>
        <v>╚</v>
      </c>
    </row>
    <row r="9563" spans="1:2" x14ac:dyDescent="0.25">
      <c r="A9563">
        <v>9563</v>
      </c>
      <c r="B9563" t="str">
        <f t="shared" si="149"/>
        <v>╛</v>
      </c>
    </row>
    <row r="9564" spans="1:2" x14ac:dyDescent="0.25">
      <c r="A9564">
        <v>9564</v>
      </c>
      <c r="B9564" t="str">
        <f t="shared" si="149"/>
        <v>╜</v>
      </c>
    </row>
    <row r="9565" spans="1:2" x14ac:dyDescent="0.25">
      <c r="A9565">
        <v>9565</v>
      </c>
      <c r="B9565" t="str">
        <f t="shared" si="149"/>
        <v>╝</v>
      </c>
    </row>
    <row r="9566" spans="1:2" x14ac:dyDescent="0.25">
      <c r="A9566">
        <v>9566</v>
      </c>
      <c r="B9566" t="str">
        <f t="shared" si="149"/>
        <v>╞</v>
      </c>
    </row>
    <row r="9567" spans="1:2" x14ac:dyDescent="0.25">
      <c r="A9567">
        <v>9567</v>
      </c>
      <c r="B9567" t="str">
        <f t="shared" si="149"/>
        <v>╟</v>
      </c>
    </row>
    <row r="9568" spans="1:2" x14ac:dyDescent="0.25">
      <c r="A9568">
        <v>9568</v>
      </c>
      <c r="B9568" t="str">
        <f t="shared" si="149"/>
        <v>╠</v>
      </c>
    </row>
    <row r="9569" spans="1:2" x14ac:dyDescent="0.25">
      <c r="A9569">
        <v>9569</v>
      </c>
      <c r="B9569" t="str">
        <f t="shared" si="149"/>
        <v>╡</v>
      </c>
    </row>
    <row r="9570" spans="1:2" x14ac:dyDescent="0.25">
      <c r="A9570">
        <v>9570</v>
      </c>
      <c r="B9570" t="str">
        <f t="shared" si="149"/>
        <v>╢</v>
      </c>
    </row>
    <row r="9571" spans="1:2" x14ac:dyDescent="0.25">
      <c r="A9571">
        <v>9571</v>
      </c>
      <c r="B9571" t="str">
        <f t="shared" si="149"/>
        <v>╣</v>
      </c>
    </row>
    <row r="9572" spans="1:2" x14ac:dyDescent="0.25">
      <c r="A9572">
        <v>9572</v>
      </c>
      <c r="B9572" t="str">
        <f t="shared" si="149"/>
        <v>╤</v>
      </c>
    </row>
    <row r="9573" spans="1:2" x14ac:dyDescent="0.25">
      <c r="A9573">
        <v>9573</v>
      </c>
      <c r="B9573" t="str">
        <f t="shared" si="149"/>
        <v>╥</v>
      </c>
    </row>
    <row r="9574" spans="1:2" x14ac:dyDescent="0.25">
      <c r="A9574">
        <v>9574</v>
      </c>
      <c r="B9574" t="str">
        <f t="shared" si="149"/>
        <v>╦</v>
      </c>
    </row>
    <row r="9575" spans="1:2" x14ac:dyDescent="0.25">
      <c r="A9575">
        <v>9575</v>
      </c>
      <c r="B9575" t="str">
        <f t="shared" si="149"/>
        <v>╧</v>
      </c>
    </row>
    <row r="9576" spans="1:2" x14ac:dyDescent="0.25">
      <c r="A9576">
        <v>9576</v>
      </c>
      <c r="B9576" t="str">
        <f t="shared" si="149"/>
        <v>╨</v>
      </c>
    </row>
    <row r="9577" spans="1:2" x14ac:dyDescent="0.25">
      <c r="A9577">
        <v>9577</v>
      </c>
      <c r="B9577" t="str">
        <f t="shared" si="149"/>
        <v>╩</v>
      </c>
    </row>
    <row r="9578" spans="1:2" x14ac:dyDescent="0.25">
      <c r="A9578">
        <v>9578</v>
      </c>
      <c r="B9578" t="str">
        <f t="shared" si="149"/>
        <v>╪</v>
      </c>
    </row>
    <row r="9579" spans="1:2" x14ac:dyDescent="0.25">
      <c r="A9579">
        <v>9579</v>
      </c>
      <c r="B9579" t="str">
        <f t="shared" si="149"/>
        <v>╫</v>
      </c>
    </row>
    <row r="9580" spans="1:2" x14ac:dyDescent="0.25">
      <c r="A9580">
        <v>9580</v>
      </c>
      <c r="B9580" t="str">
        <f t="shared" si="149"/>
        <v>╬</v>
      </c>
    </row>
    <row r="9581" spans="1:2" x14ac:dyDescent="0.25">
      <c r="A9581">
        <v>9581</v>
      </c>
      <c r="B9581" t="str">
        <f t="shared" si="149"/>
        <v>╭</v>
      </c>
    </row>
    <row r="9582" spans="1:2" x14ac:dyDescent="0.25">
      <c r="A9582">
        <v>9582</v>
      </c>
      <c r="B9582" t="str">
        <f t="shared" si="149"/>
        <v>╮</v>
      </c>
    </row>
    <row r="9583" spans="1:2" x14ac:dyDescent="0.25">
      <c r="A9583">
        <v>9583</v>
      </c>
      <c r="B9583" t="str">
        <f t="shared" si="149"/>
        <v>╯</v>
      </c>
    </row>
    <row r="9584" spans="1:2" x14ac:dyDescent="0.25">
      <c r="A9584">
        <v>9584</v>
      </c>
      <c r="B9584" t="str">
        <f t="shared" si="149"/>
        <v>╰</v>
      </c>
    </row>
    <row r="9585" spans="1:2" x14ac:dyDescent="0.25">
      <c r="A9585">
        <v>9585</v>
      </c>
      <c r="B9585" t="str">
        <f t="shared" si="149"/>
        <v>╱</v>
      </c>
    </row>
    <row r="9586" spans="1:2" x14ac:dyDescent="0.25">
      <c r="A9586">
        <v>9586</v>
      </c>
      <c r="B9586" t="str">
        <f t="shared" si="149"/>
        <v>╲</v>
      </c>
    </row>
    <row r="9587" spans="1:2" x14ac:dyDescent="0.25">
      <c r="A9587">
        <v>9587</v>
      </c>
      <c r="B9587" t="str">
        <f t="shared" si="149"/>
        <v>╳</v>
      </c>
    </row>
    <row r="9588" spans="1:2" x14ac:dyDescent="0.25">
      <c r="A9588">
        <v>9588</v>
      </c>
      <c r="B9588" t="str">
        <f t="shared" si="149"/>
        <v>╴</v>
      </c>
    </row>
    <row r="9589" spans="1:2" x14ac:dyDescent="0.25">
      <c r="A9589">
        <v>9589</v>
      </c>
      <c r="B9589" t="str">
        <f t="shared" si="149"/>
        <v>╵</v>
      </c>
    </row>
    <row r="9590" spans="1:2" x14ac:dyDescent="0.25">
      <c r="A9590">
        <v>9590</v>
      </c>
      <c r="B9590" t="str">
        <f t="shared" si="149"/>
        <v>╶</v>
      </c>
    </row>
    <row r="9591" spans="1:2" x14ac:dyDescent="0.25">
      <c r="A9591">
        <v>9591</v>
      </c>
      <c r="B9591" t="str">
        <f t="shared" si="149"/>
        <v>╷</v>
      </c>
    </row>
    <row r="9592" spans="1:2" x14ac:dyDescent="0.25">
      <c r="A9592">
        <v>9592</v>
      </c>
      <c r="B9592" t="str">
        <f t="shared" si="149"/>
        <v>╸</v>
      </c>
    </row>
    <row r="9593" spans="1:2" x14ac:dyDescent="0.25">
      <c r="A9593">
        <v>9593</v>
      </c>
      <c r="B9593" t="str">
        <f t="shared" si="149"/>
        <v>╹</v>
      </c>
    </row>
    <row r="9594" spans="1:2" x14ac:dyDescent="0.25">
      <c r="A9594">
        <v>9594</v>
      </c>
      <c r="B9594" t="str">
        <f t="shared" si="149"/>
        <v>╺</v>
      </c>
    </row>
    <row r="9595" spans="1:2" x14ac:dyDescent="0.25">
      <c r="A9595">
        <v>9595</v>
      </c>
      <c r="B9595" t="str">
        <f t="shared" si="149"/>
        <v>╻</v>
      </c>
    </row>
    <row r="9596" spans="1:2" x14ac:dyDescent="0.25">
      <c r="A9596">
        <v>9596</v>
      </c>
      <c r="B9596" t="str">
        <f t="shared" si="149"/>
        <v>╼</v>
      </c>
    </row>
    <row r="9597" spans="1:2" x14ac:dyDescent="0.25">
      <c r="A9597">
        <v>9597</v>
      </c>
      <c r="B9597" t="str">
        <f t="shared" si="149"/>
        <v>╽</v>
      </c>
    </row>
    <row r="9598" spans="1:2" x14ac:dyDescent="0.25">
      <c r="A9598">
        <v>9598</v>
      </c>
      <c r="B9598" t="str">
        <f t="shared" si="149"/>
        <v>╾</v>
      </c>
    </row>
    <row r="9599" spans="1:2" x14ac:dyDescent="0.25">
      <c r="A9599">
        <v>9599</v>
      </c>
      <c r="B9599" t="str">
        <f t="shared" si="149"/>
        <v>╿</v>
      </c>
    </row>
    <row r="9600" spans="1:2" x14ac:dyDescent="0.25">
      <c r="A9600">
        <v>9600</v>
      </c>
      <c r="B9600" t="str">
        <f t="shared" si="149"/>
        <v>▀</v>
      </c>
    </row>
    <row r="9601" spans="1:2" x14ac:dyDescent="0.25">
      <c r="A9601">
        <v>9601</v>
      </c>
      <c r="B9601" t="str">
        <f t="shared" si="149"/>
        <v>▁</v>
      </c>
    </row>
    <row r="9602" spans="1:2" x14ac:dyDescent="0.25">
      <c r="A9602">
        <v>9602</v>
      </c>
      <c r="B9602" t="str">
        <f t="shared" ref="B9602:B9665" si="150">_xlfn.UNICHAR(A9602)</f>
        <v>▂</v>
      </c>
    </row>
    <row r="9603" spans="1:2" x14ac:dyDescent="0.25">
      <c r="A9603">
        <v>9603</v>
      </c>
      <c r="B9603" t="str">
        <f t="shared" si="150"/>
        <v>▃</v>
      </c>
    </row>
    <row r="9604" spans="1:2" x14ac:dyDescent="0.25">
      <c r="A9604">
        <v>9604</v>
      </c>
      <c r="B9604" t="str">
        <f t="shared" si="150"/>
        <v>▄</v>
      </c>
    </row>
    <row r="9605" spans="1:2" x14ac:dyDescent="0.25">
      <c r="A9605">
        <v>9605</v>
      </c>
      <c r="B9605" t="str">
        <f t="shared" si="150"/>
        <v>▅</v>
      </c>
    </row>
    <row r="9606" spans="1:2" x14ac:dyDescent="0.25">
      <c r="A9606">
        <v>9606</v>
      </c>
      <c r="B9606" t="str">
        <f t="shared" si="150"/>
        <v>▆</v>
      </c>
    </row>
    <row r="9607" spans="1:2" x14ac:dyDescent="0.25">
      <c r="A9607">
        <v>9607</v>
      </c>
      <c r="B9607" t="str">
        <f t="shared" si="150"/>
        <v>▇</v>
      </c>
    </row>
    <row r="9608" spans="1:2" x14ac:dyDescent="0.25">
      <c r="A9608">
        <v>9608</v>
      </c>
      <c r="B9608" t="str">
        <f t="shared" si="150"/>
        <v>█</v>
      </c>
    </row>
    <row r="9609" spans="1:2" x14ac:dyDescent="0.25">
      <c r="A9609">
        <v>9609</v>
      </c>
      <c r="B9609" t="str">
        <f t="shared" si="150"/>
        <v>▉</v>
      </c>
    </row>
    <row r="9610" spans="1:2" x14ac:dyDescent="0.25">
      <c r="A9610">
        <v>9610</v>
      </c>
      <c r="B9610" t="str">
        <f t="shared" si="150"/>
        <v>▊</v>
      </c>
    </row>
    <row r="9611" spans="1:2" x14ac:dyDescent="0.25">
      <c r="A9611">
        <v>9611</v>
      </c>
      <c r="B9611" t="str">
        <f t="shared" si="150"/>
        <v>▋</v>
      </c>
    </row>
    <row r="9612" spans="1:2" x14ac:dyDescent="0.25">
      <c r="A9612">
        <v>9612</v>
      </c>
      <c r="B9612" t="str">
        <f t="shared" si="150"/>
        <v>▌</v>
      </c>
    </row>
    <row r="9613" spans="1:2" x14ac:dyDescent="0.25">
      <c r="A9613">
        <v>9613</v>
      </c>
      <c r="B9613" t="str">
        <f t="shared" si="150"/>
        <v>▍</v>
      </c>
    </row>
    <row r="9614" spans="1:2" x14ac:dyDescent="0.25">
      <c r="A9614">
        <v>9614</v>
      </c>
      <c r="B9614" t="str">
        <f t="shared" si="150"/>
        <v>▎</v>
      </c>
    </row>
    <row r="9615" spans="1:2" x14ac:dyDescent="0.25">
      <c r="A9615">
        <v>9615</v>
      </c>
      <c r="B9615" t="str">
        <f t="shared" si="150"/>
        <v>▏</v>
      </c>
    </row>
    <row r="9616" spans="1:2" x14ac:dyDescent="0.25">
      <c r="A9616">
        <v>9616</v>
      </c>
      <c r="B9616" t="str">
        <f t="shared" si="150"/>
        <v>▐</v>
      </c>
    </row>
    <row r="9617" spans="1:2" x14ac:dyDescent="0.25">
      <c r="A9617">
        <v>9617</v>
      </c>
      <c r="B9617" t="str">
        <f t="shared" si="150"/>
        <v>░</v>
      </c>
    </row>
    <row r="9618" spans="1:2" x14ac:dyDescent="0.25">
      <c r="A9618">
        <v>9618</v>
      </c>
      <c r="B9618" t="str">
        <f t="shared" si="150"/>
        <v>▒</v>
      </c>
    </row>
    <row r="9619" spans="1:2" x14ac:dyDescent="0.25">
      <c r="A9619">
        <v>9619</v>
      </c>
      <c r="B9619" t="str">
        <f t="shared" si="150"/>
        <v>▓</v>
      </c>
    </row>
    <row r="9620" spans="1:2" x14ac:dyDescent="0.25">
      <c r="A9620">
        <v>9620</v>
      </c>
      <c r="B9620" t="str">
        <f t="shared" si="150"/>
        <v>▔</v>
      </c>
    </row>
    <row r="9621" spans="1:2" x14ac:dyDescent="0.25">
      <c r="A9621">
        <v>9621</v>
      </c>
      <c r="B9621" t="str">
        <f t="shared" si="150"/>
        <v>▕</v>
      </c>
    </row>
    <row r="9622" spans="1:2" x14ac:dyDescent="0.25">
      <c r="A9622">
        <v>9622</v>
      </c>
      <c r="B9622" t="str">
        <f t="shared" si="150"/>
        <v>▖</v>
      </c>
    </row>
    <row r="9623" spans="1:2" x14ac:dyDescent="0.25">
      <c r="A9623">
        <v>9623</v>
      </c>
      <c r="B9623" t="str">
        <f t="shared" si="150"/>
        <v>▗</v>
      </c>
    </row>
    <row r="9624" spans="1:2" x14ac:dyDescent="0.25">
      <c r="A9624">
        <v>9624</v>
      </c>
      <c r="B9624" t="str">
        <f t="shared" si="150"/>
        <v>▘</v>
      </c>
    </row>
    <row r="9625" spans="1:2" x14ac:dyDescent="0.25">
      <c r="A9625">
        <v>9625</v>
      </c>
      <c r="B9625" t="str">
        <f t="shared" si="150"/>
        <v>▙</v>
      </c>
    </row>
    <row r="9626" spans="1:2" x14ac:dyDescent="0.25">
      <c r="A9626">
        <v>9626</v>
      </c>
      <c r="B9626" t="str">
        <f t="shared" si="150"/>
        <v>▚</v>
      </c>
    </row>
    <row r="9627" spans="1:2" x14ac:dyDescent="0.25">
      <c r="A9627">
        <v>9627</v>
      </c>
      <c r="B9627" t="str">
        <f t="shared" si="150"/>
        <v>▛</v>
      </c>
    </row>
    <row r="9628" spans="1:2" x14ac:dyDescent="0.25">
      <c r="A9628">
        <v>9628</v>
      </c>
      <c r="B9628" t="str">
        <f t="shared" si="150"/>
        <v>▜</v>
      </c>
    </row>
    <row r="9629" spans="1:2" x14ac:dyDescent="0.25">
      <c r="A9629">
        <v>9629</v>
      </c>
      <c r="B9629" t="str">
        <f t="shared" si="150"/>
        <v>▝</v>
      </c>
    </row>
    <row r="9630" spans="1:2" x14ac:dyDescent="0.25">
      <c r="A9630">
        <v>9630</v>
      </c>
      <c r="B9630" t="str">
        <f t="shared" si="150"/>
        <v>▞</v>
      </c>
    </row>
    <row r="9631" spans="1:2" x14ac:dyDescent="0.25">
      <c r="A9631">
        <v>9631</v>
      </c>
      <c r="B9631" t="str">
        <f t="shared" si="150"/>
        <v>▟</v>
      </c>
    </row>
    <row r="9632" spans="1:2" x14ac:dyDescent="0.25">
      <c r="A9632">
        <v>9632</v>
      </c>
      <c r="B9632" t="str">
        <f t="shared" si="150"/>
        <v>■</v>
      </c>
    </row>
    <row r="9633" spans="1:2" x14ac:dyDescent="0.25">
      <c r="A9633">
        <v>9633</v>
      </c>
      <c r="B9633" t="str">
        <f t="shared" si="150"/>
        <v>□</v>
      </c>
    </row>
    <row r="9634" spans="1:2" x14ac:dyDescent="0.25">
      <c r="A9634">
        <v>9634</v>
      </c>
      <c r="B9634" t="str">
        <f t="shared" si="150"/>
        <v>▢</v>
      </c>
    </row>
    <row r="9635" spans="1:2" x14ac:dyDescent="0.25">
      <c r="A9635">
        <v>9635</v>
      </c>
      <c r="B9635" t="str">
        <f t="shared" si="150"/>
        <v>▣</v>
      </c>
    </row>
    <row r="9636" spans="1:2" x14ac:dyDescent="0.25">
      <c r="A9636">
        <v>9636</v>
      </c>
      <c r="B9636" t="str">
        <f t="shared" si="150"/>
        <v>▤</v>
      </c>
    </row>
    <row r="9637" spans="1:2" x14ac:dyDescent="0.25">
      <c r="A9637">
        <v>9637</v>
      </c>
      <c r="B9637" t="str">
        <f t="shared" si="150"/>
        <v>▥</v>
      </c>
    </row>
    <row r="9638" spans="1:2" x14ac:dyDescent="0.25">
      <c r="A9638">
        <v>9638</v>
      </c>
      <c r="B9638" t="str">
        <f t="shared" si="150"/>
        <v>▦</v>
      </c>
    </row>
    <row r="9639" spans="1:2" x14ac:dyDescent="0.25">
      <c r="A9639">
        <v>9639</v>
      </c>
      <c r="B9639" t="str">
        <f t="shared" si="150"/>
        <v>▧</v>
      </c>
    </row>
    <row r="9640" spans="1:2" x14ac:dyDescent="0.25">
      <c r="A9640">
        <v>9640</v>
      </c>
      <c r="B9640" t="str">
        <f t="shared" si="150"/>
        <v>▨</v>
      </c>
    </row>
    <row r="9641" spans="1:2" x14ac:dyDescent="0.25">
      <c r="A9641">
        <v>9641</v>
      </c>
      <c r="B9641" t="str">
        <f t="shared" si="150"/>
        <v>▩</v>
      </c>
    </row>
    <row r="9642" spans="1:2" x14ac:dyDescent="0.25">
      <c r="A9642">
        <v>9642</v>
      </c>
      <c r="B9642" t="str">
        <f t="shared" si="150"/>
        <v>▪</v>
      </c>
    </row>
    <row r="9643" spans="1:2" x14ac:dyDescent="0.25">
      <c r="A9643">
        <v>9643</v>
      </c>
      <c r="B9643" t="str">
        <f t="shared" si="150"/>
        <v>▫</v>
      </c>
    </row>
    <row r="9644" spans="1:2" x14ac:dyDescent="0.25">
      <c r="A9644">
        <v>9644</v>
      </c>
      <c r="B9644" t="str">
        <f t="shared" si="150"/>
        <v>▬</v>
      </c>
    </row>
    <row r="9645" spans="1:2" x14ac:dyDescent="0.25">
      <c r="A9645">
        <v>9645</v>
      </c>
      <c r="B9645" t="str">
        <f t="shared" si="150"/>
        <v>▭</v>
      </c>
    </row>
    <row r="9646" spans="1:2" x14ac:dyDescent="0.25">
      <c r="A9646">
        <v>9646</v>
      </c>
      <c r="B9646" t="str">
        <f t="shared" si="150"/>
        <v>▮</v>
      </c>
    </row>
    <row r="9647" spans="1:2" x14ac:dyDescent="0.25">
      <c r="A9647">
        <v>9647</v>
      </c>
      <c r="B9647" t="str">
        <f t="shared" si="150"/>
        <v>▯</v>
      </c>
    </row>
    <row r="9648" spans="1:2" x14ac:dyDescent="0.25">
      <c r="A9648">
        <v>9648</v>
      </c>
      <c r="B9648" t="str">
        <f t="shared" si="150"/>
        <v>▰</v>
      </c>
    </row>
    <row r="9649" spans="1:2" x14ac:dyDescent="0.25">
      <c r="A9649">
        <v>9649</v>
      </c>
      <c r="B9649" t="str">
        <f t="shared" si="150"/>
        <v>▱</v>
      </c>
    </row>
    <row r="9650" spans="1:2" x14ac:dyDescent="0.25">
      <c r="A9650">
        <v>9650</v>
      </c>
      <c r="B9650" t="str">
        <f t="shared" si="150"/>
        <v>▲</v>
      </c>
    </row>
    <row r="9651" spans="1:2" x14ac:dyDescent="0.25">
      <c r="A9651">
        <v>9651</v>
      </c>
      <c r="B9651" t="str">
        <f t="shared" si="150"/>
        <v>△</v>
      </c>
    </row>
    <row r="9652" spans="1:2" x14ac:dyDescent="0.25">
      <c r="A9652">
        <v>9652</v>
      </c>
      <c r="B9652" t="str">
        <f t="shared" si="150"/>
        <v>▴</v>
      </c>
    </row>
    <row r="9653" spans="1:2" x14ac:dyDescent="0.25">
      <c r="A9653">
        <v>9653</v>
      </c>
      <c r="B9653" t="str">
        <f t="shared" si="150"/>
        <v>▵</v>
      </c>
    </row>
    <row r="9654" spans="1:2" x14ac:dyDescent="0.25">
      <c r="A9654">
        <v>9654</v>
      </c>
      <c r="B9654" t="str">
        <f t="shared" si="150"/>
        <v>▶</v>
      </c>
    </row>
    <row r="9655" spans="1:2" x14ac:dyDescent="0.25">
      <c r="A9655">
        <v>9655</v>
      </c>
      <c r="B9655" t="str">
        <f t="shared" si="150"/>
        <v>▷</v>
      </c>
    </row>
    <row r="9656" spans="1:2" x14ac:dyDescent="0.25">
      <c r="A9656">
        <v>9656</v>
      </c>
      <c r="B9656" t="str">
        <f t="shared" si="150"/>
        <v>▸</v>
      </c>
    </row>
    <row r="9657" spans="1:2" x14ac:dyDescent="0.25">
      <c r="A9657">
        <v>9657</v>
      </c>
      <c r="B9657" t="str">
        <f t="shared" si="150"/>
        <v>▹</v>
      </c>
    </row>
    <row r="9658" spans="1:2" x14ac:dyDescent="0.25">
      <c r="A9658">
        <v>9658</v>
      </c>
      <c r="B9658" t="str">
        <f t="shared" si="150"/>
        <v>►</v>
      </c>
    </row>
    <row r="9659" spans="1:2" x14ac:dyDescent="0.25">
      <c r="A9659">
        <v>9659</v>
      </c>
      <c r="B9659" t="str">
        <f t="shared" si="150"/>
        <v>▻</v>
      </c>
    </row>
    <row r="9660" spans="1:2" x14ac:dyDescent="0.25">
      <c r="A9660">
        <v>9660</v>
      </c>
      <c r="B9660" t="str">
        <f t="shared" si="150"/>
        <v>▼</v>
      </c>
    </row>
    <row r="9661" spans="1:2" x14ac:dyDescent="0.25">
      <c r="A9661">
        <v>9661</v>
      </c>
      <c r="B9661" t="str">
        <f t="shared" si="150"/>
        <v>▽</v>
      </c>
    </row>
    <row r="9662" spans="1:2" x14ac:dyDescent="0.25">
      <c r="A9662">
        <v>9662</v>
      </c>
      <c r="B9662" t="str">
        <f t="shared" si="150"/>
        <v>▾</v>
      </c>
    </row>
    <row r="9663" spans="1:2" x14ac:dyDescent="0.25">
      <c r="A9663">
        <v>9663</v>
      </c>
      <c r="B9663" t="str">
        <f t="shared" si="150"/>
        <v>▿</v>
      </c>
    </row>
    <row r="9664" spans="1:2" x14ac:dyDescent="0.25">
      <c r="A9664">
        <v>9664</v>
      </c>
      <c r="B9664" t="str">
        <f t="shared" si="150"/>
        <v>◀</v>
      </c>
    </row>
    <row r="9665" spans="1:2" x14ac:dyDescent="0.25">
      <c r="A9665">
        <v>9665</v>
      </c>
      <c r="B9665" t="str">
        <f t="shared" si="150"/>
        <v>◁</v>
      </c>
    </row>
    <row r="9666" spans="1:2" x14ac:dyDescent="0.25">
      <c r="A9666">
        <v>9666</v>
      </c>
      <c r="B9666" t="str">
        <f t="shared" ref="B9666:B9729" si="151">_xlfn.UNICHAR(A9666)</f>
        <v>◂</v>
      </c>
    </row>
    <row r="9667" spans="1:2" x14ac:dyDescent="0.25">
      <c r="A9667">
        <v>9667</v>
      </c>
      <c r="B9667" t="str">
        <f t="shared" si="151"/>
        <v>◃</v>
      </c>
    </row>
    <row r="9668" spans="1:2" x14ac:dyDescent="0.25">
      <c r="A9668">
        <v>9668</v>
      </c>
      <c r="B9668" t="str">
        <f t="shared" si="151"/>
        <v>◄</v>
      </c>
    </row>
    <row r="9669" spans="1:2" x14ac:dyDescent="0.25">
      <c r="A9669">
        <v>9669</v>
      </c>
      <c r="B9669" t="str">
        <f t="shared" si="151"/>
        <v>◅</v>
      </c>
    </row>
    <row r="9670" spans="1:2" x14ac:dyDescent="0.25">
      <c r="A9670">
        <v>9670</v>
      </c>
      <c r="B9670" t="str">
        <f t="shared" si="151"/>
        <v>◆</v>
      </c>
    </row>
    <row r="9671" spans="1:2" x14ac:dyDescent="0.25">
      <c r="A9671">
        <v>9671</v>
      </c>
      <c r="B9671" t="str">
        <f t="shared" si="151"/>
        <v>◇</v>
      </c>
    </row>
    <row r="9672" spans="1:2" x14ac:dyDescent="0.25">
      <c r="A9672">
        <v>9672</v>
      </c>
      <c r="B9672" t="str">
        <f t="shared" si="151"/>
        <v>◈</v>
      </c>
    </row>
    <row r="9673" spans="1:2" x14ac:dyDescent="0.25">
      <c r="A9673">
        <v>9673</v>
      </c>
      <c r="B9673" t="str">
        <f t="shared" si="151"/>
        <v>◉</v>
      </c>
    </row>
    <row r="9674" spans="1:2" x14ac:dyDescent="0.25">
      <c r="A9674">
        <v>9674</v>
      </c>
      <c r="B9674" t="str">
        <f t="shared" si="151"/>
        <v>◊</v>
      </c>
    </row>
    <row r="9675" spans="1:2" x14ac:dyDescent="0.25">
      <c r="A9675">
        <v>9675</v>
      </c>
      <c r="B9675" t="str">
        <f t="shared" si="151"/>
        <v>○</v>
      </c>
    </row>
    <row r="9676" spans="1:2" x14ac:dyDescent="0.25">
      <c r="A9676">
        <v>9676</v>
      </c>
      <c r="B9676" t="str">
        <f t="shared" si="151"/>
        <v>◌</v>
      </c>
    </row>
    <row r="9677" spans="1:2" x14ac:dyDescent="0.25">
      <c r="A9677">
        <v>9677</v>
      </c>
      <c r="B9677" t="str">
        <f t="shared" si="151"/>
        <v>◍</v>
      </c>
    </row>
    <row r="9678" spans="1:2" x14ac:dyDescent="0.25">
      <c r="A9678">
        <v>9678</v>
      </c>
      <c r="B9678" t="str">
        <f t="shared" si="151"/>
        <v>◎</v>
      </c>
    </row>
    <row r="9679" spans="1:2" x14ac:dyDescent="0.25">
      <c r="A9679">
        <v>9679</v>
      </c>
      <c r="B9679" t="str">
        <f t="shared" si="151"/>
        <v>●</v>
      </c>
    </row>
    <row r="9680" spans="1:2" x14ac:dyDescent="0.25">
      <c r="A9680">
        <v>9680</v>
      </c>
      <c r="B9680" t="str">
        <f t="shared" si="151"/>
        <v>◐</v>
      </c>
    </row>
    <row r="9681" spans="1:2" x14ac:dyDescent="0.25">
      <c r="A9681">
        <v>9681</v>
      </c>
      <c r="B9681" t="str">
        <f t="shared" si="151"/>
        <v>◑</v>
      </c>
    </row>
    <row r="9682" spans="1:2" x14ac:dyDescent="0.25">
      <c r="A9682">
        <v>9682</v>
      </c>
      <c r="B9682" t="str">
        <f t="shared" si="151"/>
        <v>◒</v>
      </c>
    </row>
    <row r="9683" spans="1:2" x14ac:dyDescent="0.25">
      <c r="A9683">
        <v>9683</v>
      </c>
      <c r="B9683" t="str">
        <f t="shared" si="151"/>
        <v>◓</v>
      </c>
    </row>
    <row r="9684" spans="1:2" x14ac:dyDescent="0.25">
      <c r="A9684">
        <v>9684</v>
      </c>
      <c r="B9684" t="str">
        <f t="shared" si="151"/>
        <v>◔</v>
      </c>
    </row>
    <row r="9685" spans="1:2" x14ac:dyDescent="0.25">
      <c r="A9685">
        <v>9685</v>
      </c>
      <c r="B9685" t="str">
        <f t="shared" si="151"/>
        <v>◕</v>
      </c>
    </row>
    <row r="9686" spans="1:2" x14ac:dyDescent="0.25">
      <c r="A9686">
        <v>9686</v>
      </c>
      <c r="B9686" t="str">
        <f t="shared" si="151"/>
        <v>◖</v>
      </c>
    </row>
    <row r="9687" spans="1:2" x14ac:dyDescent="0.25">
      <c r="A9687">
        <v>9687</v>
      </c>
      <c r="B9687" t="str">
        <f t="shared" si="151"/>
        <v>◗</v>
      </c>
    </row>
    <row r="9688" spans="1:2" x14ac:dyDescent="0.25">
      <c r="A9688">
        <v>9688</v>
      </c>
      <c r="B9688" t="str">
        <f t="shared" si="151"/>
        <v>◘</v>
      </c>
    </row>
    <row r="9689" spans="1:2" x14ac:dyDescent="0.25">
      <c r="A9689">
        <v>9689</v>
      </c>
      <c r="B9689" t="str">
        <f t="shared" si="151"/>
        <v>◙</v>
      </c>
    </row>
    <row r="9690" spans="1:2" x14ac:dyDescent="0.25">
      <c r="A9690">
        <v>9690</v>
      </c>
      <c r="B9690" t="str">
        <f t="shared" si="151"/>
        <v>◚</v>
      </c>
    </row>
    <row r="9691" spans="1:2" x14ac:dyDescent="0.25">
      <c r="A9691">
        <v>9691</v>
      </c>
      <c r="B9691" t="str">
        <f t="shared" si="151"/>
        <v>◛</v>
      </c>
    </row>
    <row r="9692" spans="1:2" x14ac:dyDescent="0.25">
      <c r="A9692">
        <v>9692</v>
      </c>
      <c r="B9692" t="str">
        <f t="shared" si="151"/>
        <v>◜</v>
      </c>
    </row>
    <row r="9693" spans="1:2" x14ac:dyDescent="0.25">
      <c r="A9693">
        <v>9693</v>
      </c>
      <c r="B9693" t="str">
        <f t="shared" si="151"/>
        <v>◝</v>
      </c>
    </row>
    <row r="9694" spans="1:2" x14ac:dyDescent="0.25">
      <c r="A9694">
        <v>9694</v>
      </c>
      <c r="B9694" t="str">
        <f t="shared" si="151"/>
        <v>◞</v>
      </c>
    </row>
    <row r="9695" spans="1:2" x14ac:dyDescent="0.25">
      <c r="A9695">
        <v>9695</v>
      </c>
      <c r="B9695" t="str">
        <f t="shared" si="151"/>
        <v>◟</v>
      </c>
    </row>
    <row r="9696" spans="1:2" x14ac:dyDescent="0.25">
      <c r="A9696">
        <v>9696</v>
      </c>
      <c r="B9696" t="str">
        <f t="shared" si="151"/>
        <v>◠</v>
      </c>
    </row>
    <row r="9697" spans="1:2" x14ac:dyDescent="0.25">
      <c r="A9697">
        <v>9697</v>
      </c>
      <c r="B9697" t="str">
        <f t="shared" si="151"/>
        <v>◡</v>
      </c>
    </row>
    <row r="9698" spans="1:2" x14ac:dyDescent="0.25">
      <c r="A9698">
        <v>9698</v>
      </c>
      <c r="B9698" t="str">
        <f t="shared" si="151"/>
        <v>◢</v>
      </c>
    </row>
    <row r="9699" spans="1:2" x14ac:dyDescent="0.25">
      <c r="A9699">
        <v>9699</v>
      </c>
      <c r="B9699" t="str">
        <f t="shared" si="151"/>
        <v>◣</v>
      </c>
    </row>
    <row r="9700" spans="1:2" x14ac:dyDescent="0.25">
      <c r="A9700">
        <v>9700</v>
      </c>
      <c r="B9700" t="str">
        <f t="shared" si="151"/>
        <v>◤</v>
      </c>
    </row>
    <row r="9701" spans="1:2" x14ac:dyDescent="0.25">
      <c r="A9701">
        <v>9701</v>
      </c>
      <c r="B9701" t="str">
        <f t="shared" si="151"/>
        <v>◥</v>
      </c>
    </row>
    <row r="9702" spans="1:2" x14ac:dyDescent="0.25">
      <c r="A9702">
        <v>9702</v>
      </c>
      <c r="B9702" t="str">
        <f t="shared" si="151"/>
        <v>◦</v>
      </c>
    </row>
    <row r="9703" spans="1:2" x14ac:dyDescent="0.25">
      <c r="A9703">
        <v>9703</v>
      </c>
      <c r="B9703" t="str">
        <f t="shared" si="151"/>
        <v>◧</v>
      </c>
    </row>
    <row r="9704" spans="1:2" x14ac:dyDescent="0.25">
      <c r="A9704">
        <v>9704</v>
      </c>
      <c r="B9704" t="str">
        <f t="shared" si="151"/>
        <v>◨</v>
      </c>
    </row>
    <row r="9705" spans="1:2" x14ac:dyDescent="0.25">
      <c r="A9705">
        <v>9705</v>
      </c>
      <c r="B9705" t="str">
        <f t="shared" si="151"/>
        <v>◩</v>
      </c>
    </row>
    <row r="9706" spans="1:2" x14ac:dyDescent="0.25">
      <c r="A9706">
        <v>9706</v>
      </c>
      <c r="B9706" t="str">
        <f t="shared" si="151"/>
        <v>◪</v>
      </c>
    </row>
    <row r="9707" spans="1:2" x14ac:dyDescent="0.25">
      <c r="A9707">
        <v>9707</v>
      </c>
      <c r="B9707" t="str">
        <f t="shared" si="151"/>
        <v>◫</v>
      </c>
    </row>
    <row r="9708" spans="1:2" x14ac:dyDescent="0.25">
      <c r="A9708">
        <v>9708</v>
      </c>
      <c r="B9708" t="str">
        <f t="shared" si="151"/>
        <v>◬</v>
      </c>
    </row>
    <row r="9709" spans="1:2" x14ac:dyDescent="0.25">
      <c r="A9709">
        <v>9709</v>
      </c>
      <c r="B9709" t="str">
        <f t="shared" si="151"/>
        <v>◭</v>
      </c>
    </row>
    <row r="9710" spans="1:2" x14ac:dyDescent="0.25">
      <c r="A9710">
        <v>9710</v>
      </c>
      <c r="B9710" t="str">
        <f t="shared" si="151"/>
        <v>◮</v>
      </c>
    </row>
    <row r="9711" spans="1:2" x14ac:dyDescent="0.25">
      <c r="A9711">
        <v>9711</v>
      </c>
      <c r="B9711" t="str">
        <f t="shared" si="151"/>
        <v>◯</v>
      </c>
    </row>
    <row r="9712" spans="1:2" x14ac:dyDescent="0.25">
      <c r="A9712">
        <v>9712</v>
      </c>
      <c r="B9712" t="str">
        <f t="shared" si="151"/>
        <v>◰</v>
      </c>
    </row>
    <row r="9713" spans="1:2" x14ac:dyDescent="0.25">
      <c r="A9713">
        <v>9713</v>
      </c>
      <c r="B9713" t="str">
        <f t="shared" si="151"/>
        <v>◱</v>
      </c>
    </row>
    <row r="9714" spans="1:2" x14ac:dyDescent="0.25">
      <c r="A9714">
        <v>9714</v>
      </c>
      <c r="B9714" t="str">
        <f t="shared" si="151"/>
        <v>◲</v>
      </c>
    </row>
    <row r="9715" spans="1:2" x14ac:dyDescent="0.25">
      <c r="A9715">
        <v>9715</v>
      </c>
      <c r="B9715" t="str">
        <f t="shared" si="151"/>
        <v>◳</v>
      </c>
    </row>
    <row r="9716" spans="1:2" x14ac:dyDescent="0.25">
      <c r="A9716">
        <v>9716</v>
      </c>
      <c r="B9716" t="str">
        <f t="shared" si="151"/>
        <v>◴</v>
      </c>
    </row>
    <row r="9717" spans="1:2" x14ac:dyDescent="0.25">
      <c r="A9717">
        <v>9717</v>
      </c>
      <c r="B9717" t="str">
        <f t="shared" si="151"/>
        <v>◵</v>
      </c>
    </row>
    <row r="9718" spans="1:2" x14ac:dyDescent="0.25">
      <c r="A9718">
        <v>9718</v>
      </c>
      <c r="B9718" t="str">
        <f t="shared" si="151"/>
        <v>◶</v>
      </c>
    </row>
    <row r="9719" spans="1:2" x14ac:dyDescent="0.25">
      <c r="A9719">
        <v>9719</v>
      </c>
      <c r="B9719" t="str">
        <f t="shared" si="151"/>
        <v>◷</v>
      </c>
    </row>
    <row r="9720" spans="1:2" x14ac:dyDescent="0.25">
      <c r="A9720">
        <v>9720</v>
      </c>
      <c r="B9720" t="str">
        <f t="shared" si="151"/>
        <v>◸</v>
      </c>
    </row>
    <row r="9721" spans="1:2" x14ac:dyDescent="0.25">
      <c r="A9721">
        <v>9721</v>
      </c>
      <c r="B9721" t="str">
        <f t="shared" si="151"/>
        <v>◹</v>
      </c>
    </row>
    <row r="9722" spans="1:2" x14ac:dyDescent="0.25">
      <c r="A9722">
        <v>9722</v>
      </c>
      <c r="B9722" t="str">
        <f t="shared" si="151"/>
        <v>◺</v>
      </c>
    </row>
    <row r="9723" spans="1:2" x14ac:dyDescent="0.25">
      <c r="A9723">
        <v>9723</v>
      </c>
      <c r="B9723" t="str">
        <f t="shared" si="151"/>
        <v>◻</v>
      </c>
    </row>
    <row r="9724" spans="1:2" x14ac:dyDescent="0.25">
      <c r="A9724">
        <v>9724</v>
      </c>
      <c r="B9724" t="str">
        <f t="shared" si="151"/>
        <v>◼</v>
      </c>
    </row>
    <row r="9725" spans="1:2" x14ac:dyDescent="0.25">
      <c r="A9725">
        <v>9725</v>
      </c>
      <c r="B9725" t="str">
        <f t="shared" si="151"/>
        <v>◽</v>
      </c>
    </row>
    <row r="9726" spans="1:2" x14ac:dyDescent="0.25">
      <c r="A9726">
        <v>9726</v>
      </c>
      <c r="B9726" t="str">
        <f t="shared" si="151"/>
        <v>◾</v>
      </c>
    </row>
    <row r="9727" spans="1:2" x14ac:dyDescent="0.25">
      <c r="A9727">
        <v>9727</v>
      </c>
      <c r="B9727" t="str">
        <f t="shared" si="151"/>
        <v>◿</v>
      </c>
    </row>
    <row r="9728" spans="1:2" x14ac:dyDescent="0.25">
      <c r="A9728">
        <v>9728</v>
      </c>
      <c r="B9728" t="str">
        <f t="shared" si="151"/>
        <v>☀</v>
      </c>
    </row>
    <row r="9729" spans="1:6" x14ac:dyDescent="0.25">
      <c r="A9729">
        <v>9729</v>
      </c>
      <c r="B9729" t="str">
        <f t="shared" si="151"/>
        <v>☁</v>
      </c>
    </row>
    <row r="9730" spans="1:6" x14ac:dyDescent="0.25">
      <c r="A9730">
        <v>9730</v>
      </c>
      <c r="B9730" t="str">
        <f t="shared" ref="B9730:B9793" si="152">_xlfn.UNICHAR(A9730)</f>
        <v>☂</v>
      </c>
    </row>
    <row r="9731" spans="1:6" x14ac:dyDescent="0.25">
      <c r="A9731">
        <v>9731</v>
      </c>
      <c r="B9731" t="str">
        <f t="shared" si="152"/>
        <v>☃</v>
      </c>
    </row>
    <row r="9732" spans="1:6" x14ac:dyDescent="0.25">
      <c r="A9732">
        <v>9732</v>
      </c>
      <c r="B9732" t="str">
        <f t="shared" si="152"/>
        <v>☄</v>
      </c>
    </row>
    <row r="9733" spans="1:6" x14ac:dyDescent="0.25">
      <c r="A9733">
        <v>9733</v>
      </c>
      <c r="B9733" t="str">
        <f t="shared" si="152"/>
        <v>★</v>
      </c>
      <c r="D9733" t="str">
        <f>REPT(B9733,5)</f>
        <v>★★★★★</v>
      </c>
      <c r="E9733" t="s">
        <v>328</v>
      </c>
    </row>
    <row r="9734" spans="1:6" x14ac:dyDescent="0.25">
      <c r="A9734">
        <v>9734</v>
      </c>
      <c r="B9734" t="str">
        <f t="shared" si="152"/>
        <v>☆</v>
      </c>
      <c r="D9734" t="s">
        <v>0</v>
      </c>
      <c r="E9734">
        <v>3</v>
      </c>
      <c r="F9734" t="str">
        <f>REPT($B$9733,E9734)&amp;REPT($B$9734,10-E9734)</f>
        <v>★★★☆☆☆☆☆☆☆</v>
      </c>
    </row>
    <row r="9735" spans="1:6" x14ac:dyDescent="0.25">
      <c r="A9735">
        <v>9735</v>
      </c>
      <c r="B9735" t="str">
        <f t="shared" si="152"/>
        <v>☇</v>
      </c>
      <c r="D9735" t="s">
        <v>1</v>
      </c>
      <c r="E9735">
        <v>7</v>
      </c>
      <c r="F9735" t="str">
        <f t="shared" ref="F9735:F9736" si="153">REPT($B$9733,E9735)&amp;REPT($B$9734,10-E9735)</f>
        <v>★★★★★★★☆☆☆</v>
      </c>
    </row>
    <row r="9736" spans="1:6" x14ac:dyDescent="0.25">
      <c r="A9736">
        <v>9736</v>
      </c>
      <c r="B9736" t="str">
        <f t="shared" si="152"/>
        <v>☈</v>
      </c>
      <c r="D9736" t="s">
        <v>2</v>
      </c>
      <c r="E9736">
        <v>9</v>
      </c>
      <c r="F9736" t="str">
        <f t="shared" si="153"/>
        <v>★★★★★★★★★☆</v>
      </c>
    </row>
    <row r="9737" spans="1:6" x14ac:dyDescent="0.25">
      <c r="A9737">
        <v>9737</v>
      </c>
      <c r="B9737" t="str">
        <f t="shared" si="152"/>
        <v>☉</v>
      </c>
    </row>
    <row r="9738" spans="1:6" x14ac:dyDescent="0.25">
      <c r="A9738">
        <v>9738</v>
      </c>
      <c r="B9738" t="str">
        <f t="shared" si="152"/>
        <v>☊</v>
      </c>
    </row>
    <row r="9739" spans="1:6" x14ac:dyDescent="0.25">
      <c r="A9739">
        <v>9739</v>
      </c>
      <c r="B9739" t="str">
        <f t="shared" si="152"/>
        <v>☋</v>
      </c>
    </row>
    <row r="9740" spans="1:6" x14ac:dyDescent="0.25">
      <c r="A9740">
        <v>9740</v>
      </c>
      <c r="B9740" t="str">
        <f t="shared" si="152"/>
        <v>☌</v>
      </c>
    </row>
    <row r="9741" spans="1:6" x14ac:dyDescent="0.25">
      <c r="A9741">
        <v>9741</v>
      </c>
      <c r="B9741" t="str">
        <f t="shared" si="152"/>
        <v>☍</v>
      </c>
    </row>
    <row r="9742" spans="1:6" x14ac:dyDescent="0.25">
      <c r="A9742">
        <v>9742</v>
      </c>
      <c r="B9742" t="str">
        <f t="shared" si="152"/>
        <v>☎</v>
      </c>
    </row>
    <row r="9743" spans="1:6" x14ac:dyDescent="0.25">
      <c r="A9743">
        <v>9743</v>
      </c>
      <c r="B9743" t="str">
        <f t="shared" si="152"/>
        <v>☏</v>
      </c>
    </row>
    <row r="9744" spans="1:6" x14ac:dyDescent="0.25">
      <c r="A9744">
        <v>9744</v>
      </c>
      <c r="B9744" t="str">
        <f t="shared" si="152"/>
        <v>☐</v>
      </c>
    </row>
    <row r="9745" spans="1:2" x14ac:dyDescent="0.25">
      <c r="A9745">
        <v>9745</v>
      </c>
      <c r="B9745" t="str">
        <f t="shared" si="152"/>
        <v>☑</v>
      </c>
    </row>
    <row r="9746" spans="1:2" x14ac:dyDescent="0.25">
      <c r="A9746">
        <v>9746</v>
      </c>
      <c r="B9746" t="str">
        <f t="shared" si="152"/>
        <v>☒</v>
      </c>
    </row>
    <row r="9747" spans="1:2" x14ac:dyDescent="0.25">
      <c r="A9747">
        <v>9747</v>
      </c>
      <c r="B9747" t="str">
        <f t="shared" si="152"/>
        <v>☓</v>
      </c>
    </row>
    <row r="9748" spans="1:2" x14ac:dyDescent="0.25">
      <c r="A9748">
        <v>9748</v>
      </c>
      <c r="B9748" t="str">
        <f t="shared" si="152"/>
        <v>☔</v>
      </c>
    </row>
    <row r="9749" spans="1:2" x14ac:dyDescent="0.25">
      <c r="A9749">
        <v>9749</v>
      </c>
      <c r="B9749" t="str">
        <f t="shared" si="152"/>
        <v>☕</v>
      </c>
    </row>
    <row r="9750" spans="1:2" x14ac:dyDescent="0.25">
      <c r="A9750">
        <v>9750</v>
      </c>
      <c r="B9750" t="str">
        <f t="shared" si="152"/>
        <v>☖</v>
      </c>
    </row>
    <row r="9751" spans="1:2" x14ac:dyDescent="0.25">
      <c r="A9751">
        <v>9751</v>
      </c>
      <c r="B9751" t="str">
        <f t="shared" si="152"/>
        <v>☗</v>
      </c>
    </row>
    <row r="9752" spans="1:2" x14ac:dyDescent="0.25">
      <c r="A9752">
        <v>9752</v>
      </c>
      <c r="B9752" t="str">
        <f t="shared" si="152"/>
        <v>☘</v>
      </c>
    </row>
    <row r="9753" spans="1:2" x14ac:dyDescent="0.25">
      <c r="A9753">
        <v>9753</v>
      </c>
      <c r="B9753" t="str">
        <f t="shared" si="152"/>
        <v>☙</v>
      </c>
    </row>
    <row r="9754" spans="1:2" x14ac:dyDescent="0.25">
      <c r="A9754">
        <v>9754</v>
      </c>
      <c r="B9754" t="str">
        <f t="shared" si="152"/>
        <v>☚</v>
      </c>
    </row>
    <row r="9755" spans="1:2" x14ac:dyDescent="0.25">
      <c r="A9755">
        <v>9755</v>
      </c>
      <c r="B9755" t="str">
        <f t="shared" si="152"/>
        <v>☛</v>
      </c>
    </row>
    <row r="9756" spans="1:2" x14ac:dyDescent="0.25">
      <c r="A9756">
        <v>9756</v>
      </c>
      <c r="B9756" t="str">
        <f t="shared" si="152"/>
        <v>☜</v>
      </c>
    </row>
    <row r="9757" spans="1:2" x14ac:dyDescent="0.25">
      <c r="A9757">
        <v>9757</v>
      </c>
      <c r="B9757" t="str">
        <f t="shared" si="152"/>
        <v>☝</v>
      </c>
    </row>
    <row r="9758" spans="1:2" x14ac:dyDescent="0.25">
      <c r="A9758">
        <v>9758</v>
      </c>
      <c r="B9758" t="str">
        <f t="shared" si="152"/>
        <v>☞</v>
      </c>
    </row>
    <row r="9759" spans="1:2" x14ac:dyDescent="0.25">
      <c r="A9759">
        <v>9759</v>
      </c>
      <c r="B9759" t="str">
        <f t="shared" si="152"/>
        <v>☟</v>
      </c>
    </row>
    <row r="9760" spans="1:2" x14ac:dyDescent="0.25">
      <c r="A9760">
        <v>9760</v>
      </c>
      <c r="B9760" t="str">
        <f t="shared" si="152"/>
        <v>☠</v>
      </c>
    </row>
    <row r="9761" spans="1:2" x14ac:dyDescent="0.25">
      <c r="A9761">
        <v>9761</v>
      </c>
      <c r="B9761" t="str">
        <f t="shared" si="152"/>
        <v>☡</v>
      </c>
    </row>
    <row r="9762" spans="1:2" x14ac:dyDescent="0.25">
      <c r="A9762">
        <v>9762</v>
      </c>
      <c r="B9762" t="str">
        <f t="shared" si="152"/>
        <v>☢</v>
      </c>
    </row>
    <row r="9763" spans="1:2" x14ac:dyDescent="0.25">
      <c r="A9763">
        <v>9763</v>
      </c>
      <c r="B9763" t="str">
        <f t="shared" si="152"/>
        <v>☣</v>
      </c>
    </row>
    <row r="9764" spans="1:2" x14ac:dyDescent="0.25">
      <c r="A9764">
        <v>9764</v>
      </c>
      <c r="B9764" t="str">
        <f t="shared" si="152"/>
        <v>☤</v>
      </c>
    </row>
    <row r="9765" spans="1:2" x14ac:dyDescent="0.25">
      <c r="A9765">
        <v>9765</v>
      </c>
      <c r="B9765" t="str">
        <f t="shared" si="152"/>
        <v>☥</v>
      </c>
    </row>
    <row r="9766" spans="1:2" x14ac:dyDescent="0.25">
      <c r="A9766">
        <v>9766</v>
      </c>
      <c r="B9766" t="str">
        <f t="shared" si="152"/>
        <v>☦</v>
      </c>
    </row>
    <row r="9767" spans="1:2" x14ac:dyDescent="0.25">
      <c r="A9767">
        <v>9767</v>
      </c>
      <c r="B9767" t="str">
        <f t="shared" si="152"/>
        <v>☧</v>
      </c>
    </row>
    <row r="9768" spans="1:2" x14ac:dyDescent="0.25">
      <c r="A9768">
        <v>9768</v>
      </c>
      <c r="B9768" t="str">
        <f t="shared" si="152"/>
        <v>☨</v>
      </c>
    </row>
    <row r="9769" spans="1:2" x14ac:dyDescent="0.25">
      <c r="A9769">
        <v>9769</v>
      </c>
      <c r="B9769" t="str">
        <f t="shared" si="152"/>
        <v>☩</v>
      </c>
    </row>
    <row r="9770" spans="1:2" x14ac:dyDescent="0.25">
      <c r="A9770">
        <v>9770</v>
      </c>
      <c r="B9770" t="str">
        <f t="shared" si="152"/>
        <v>☪</v>
      </c>
    </row>
    <row r="9771" spans="1:2" x14ac:dyDescent="0.25">
      <c r="A9771">
        <v>9771</v>
      </c>
      <c r="B9771" t="str">
        <f t="shared" si="152"/>
        <v>☫</v>
      </c>
    </row>
    <row r="9772" spans="1:2" x14ac:dyDescent="0.25">
      <c r="A9772">
        <v>9772</v>
      </c>
      <c r="B9772" t="str">
        <f t="shared" si="152"/>
        <v>☬</v>
      </c>
    </row>
    <row r="9773" spans="1:2" x14ac:dyDescent="0.25">
      <c r="A9773">
        <v>9773</v>
      </c>
      <c r="B9773" t="str">
        <f t="shared" si="152"/>
        <v>☭</v>
      </c>
    </row>
    <row r="9774" spans="1:2" x14ac:dyDescent="0.25">
      <c r="A9774">
        <v>9774</v>
      </c>
      <c r="B9774" t="str">
        <f t="shared" si="152"/>
        <v>☮</v>
      </c>
    </row>
    <row r="9775" spans="1:2" x14ac:dyDescent="0.25">
      <c r="A9775">
        <v>9775</v>
      </c>
      <c r="B9775" t="str">
        <f t="shared" si="152"/>
        <v>☯</v>
      </c>
    </row>
    <row r="9776" spans="1:2" x14ac:dyDescent="0.25">
      <c r="A9776">
        <v>9776</v>
      </c>
      <c r="B9776" t="str">
        <f t="shared" si="152"/>
        <v>☰</v>
      </c>
    </row>
    <row r="9777" spans="1:2" x14ac:dyDescent="0.25">
      <c r="A9777">
        <v>9777</v>
      </c>
      <c r="B9777" t="str">
        <f t="shared" si="152"/>
        <v>☱</v>
      </c>
    </row>
    <row r="9778" spans="1:2" x14ac:dyDescent="0.25">
      <c r="A9778">
        <v>9778</v>
      </c>
      <c r="B9778" t="str">
        <f t="shared" si="152"/>
        <v>☲</v>
      </c>
    </row>
    <row r="9779" spans="1:2" x14ac:dyDescent="0.25">
      <c r="A9779">
        <v>9779</v>
      </c>
      <c r="B9779" t="str">
        <f t="shared" si="152"/>
        <v>☳</v>
      </c>
    </row>
    <row r="9780" spans="1:2" x14ac:dyDescent="0.25">
      <c r="A9780">
        <v>9780</v>
      </c>
      <c r="B9780" t="str">
        <f t="shared" si="152"/>
        <v>☴</v>
      </c>
    </row>
    <row r="9781" spans="1:2" x14ac:dyDescent="0.25">
      <c r="A9781">
        <v>9781</v>
      </c>
      <c r="B9781" t="str">
        <f t="shared" si="152"/>
        <v>☵</v>
      </c>
    </row>
    <row r="9782" spans="1:2" x14ac:dyDescent="0.25">
      <c r="A9782">
        <v>9782</v>
      </c>
      <c r="B9782" t="str">
        <f t="shared" si="152"/>
        <v>☶</v>
      </c>
    </row>
    <row r="9783" spans="1:2" x14ac:dyDescent="0.25">
      <c r="A9783">
        <v>9783</v>
      </c>
      <c r="B9783" t="str">
        <f t="shared" si="152"/>
        <v>☷</v>
      </c>
    </row>
    <row r="9784" spans="1:2" x14ac:dyDescent="0.25">
      <c r="A9784">
        <v>9784</v>
      </c>
      <c r="B9784" t="str">
        <f t="shared" si="152"/>
        <v>☸</v>
      </c>
    </row>
    <row r="9785" spans="1:2" x14ac:dyDescent="0.25">
      <c r="A9785">
        <v>9785</v>
      </c>
      <c r="B9785" t="str">
        <f t="shared" si="152"/>
        <v>☹</v>
      </c>
    </row>
    <row r="9786" spans="1:2" x14ac:dyDescent="0.25">
      <c r="A9786">
        <v>9786</v>
      </c>
      <c r="B9786" t="str">
        <f t="shared" si="152"/>
        <v>☺</v>
      </c>
    </row>
    <row r="9787" spans="1:2" x14ac:dyDescent="0.25">
      <c r="A9787">
        <v>9787</v>
      </c>
      <c r="B9787" t="str">
        <f t="shared" si="152"/>
        <v>☻</v>
      </c>
    </row>
    <row r="9788" spans="1:2" x14ac:dyDescent="0.25">
      <c r="A9788">
        <v>9788</v>
      </c>
      <c r="B9788" t="str">
        <f t="shared" si="152"/>
        <v>☼</v>
      </c>
    </row>
    <row r="9789" spans="1:2" x14ac:dyDescent="0.25">
      <c r="A9789">
        <v>9789</v>
      </c>
      <c r="B9789" t="str">
        <f t="shared" si="152"/>
        <v>☽</v>
      </c>
    </row>
    <row r="9790" spans="1:2" x14ac:dyDescent="0.25">
      <c r="A9790">
        <v>9790</v>
      </c>
      <c r="B9790" t="str">
        <f t="shared" si="152"/>
        <v>☾</v>
      </c>
    </row>
    <row r="9791" spans="1:2" x14ac:dyDescent="0.25">
      <c r="A9791">
        <v>9791</v>
      </c>
      <c r="B9791" t="str">
        <f t="shared" si="152"/>
        <v>☿</v>
      </c>
    </row>
    <row r="9792" spans="1:2" x14ac:dyDescent="0.25">
      <c r="A9792">
        <v>9792</v>
      </c>
      <c r="B9792" t="str">
        <f t="shared" si="152"/>
        <v>♀</v>
      </c>
    </row>
    <row r="9793" spans="1:2" x14ac:dyDescent="0.25">
      <c r="A9793">
        <v>9793</v>
      </c>
      <c r="B9793" t="str">
        <f t="shared" si="152"/>
        <v>♁</v>
      </c>
    </row>
    <row r="9794" spans="1:2" x14ac:dyDescent="0.25">
      <c r="A9794">
        <v>9794</v>
      </c>
      <c r="B9794" t="str">
        <f t="shared" ref="B9794:B9857" si="154">_xlfn.UNICHAR(A9794)</f>
        <v>♂</v>
      </c>
    </row>
    <row r="9795" spans="1:2" x14ac:dyDescent="0.25">
      <c r="A9795">
        <v>9795</v>
      </c>
      <c r="B9795" t="str">
        <f t="shared" si="154"/>
        <v>♃</v>
      </c>
    </row>
    <row r="9796" spans="1:2" x14ac:dyDescent="0.25">
      <c r="A9796">
        <v>9796</v>
      </c>
      <c r="B9796" t="str">
        <f t="shared" si="154"/>
        <v>♄</v>
      </c>
    </row>
    <row r="9797" spans="1:2" x14ac:dyDescent="0.25">
      <c r="A9797">
        <v>9797</v>
      </c>
      <c r="B9797" t="str">
        <f t="shared" si="154"/>
        <v>♅</v>
      </c>
    </row>
    <row r="9798" spans="1:2" x14ac:dyDescent="0.25">
      <c r="A9798">
        <v>9798</v>
      </c>
      <c r="B9798" t="str">
        <f t="shared" si="154"/>
        <v>♆</v>
      </c>
    </row>
    <row r="9799" spans="1:2" x14ac:dyDescent="0.25">
      <c r="A9799">
        <v>9799</v>
      </c>
      <c r="B9799" t="str">
        <f t="shared" si="154"/>
        <v>♇</v>
      </c>
    </row>
    <row r="9800" spans="1:2" x14ac:dyDescent="0.25">
      <c r="A9800">
        <v>9800</v>
      </c>
      <c r="B9800" t="str">
        <f t="shared" si="154"/>
        <v>♈</v>
      </c>
    </row>
    <row r="9801" spans="1:2" x14ac:dyDescent="0.25">
      <c r="A9801">
        <v>9801</v>
      </c>
      <c r="B9801" t="str">
        <f t="shared" si="154"/>
        <v>♉</v>
      </c>
    </row>
    <row r="9802" spans="1:2" x14ac:dyDescent="0.25">
      <c r="A9802">
        <v>9802</v>
      </c>
      <c r="B9802" t="str">
        <f t="shared" si="154"/>
        <v>♊</v>
      </c>
    </row>
    <row r="9803" spans="1:2" x14ac:dyDescent="0.25">
      <c r="A9803">
        <v>9803</v>
      </c>
      <c r="B9803" t="str">
        <f t="shared" si="154"/>
        <v>♋</v>
      </c>
    </row>
    <row r="9804" spans="1:2" x14ac:dyDescent="0.25">
      <c r="A9804">
        <v>9804</v>
      </c>
      <c r="B9804" t="str">
        <f t="shared" si="154"/>
        <v>♌</v>
      </c>
    </row>
    <row r="9805" spans="1:2" x14ac:dyDescent="0.25">
      <c r="A9805">
        <v>9805</v>
      </c>
      <c r="B9805" t="str">
        <f t="shared" si="154"/>
        <v>♍</v>
      </c>
    </row>
    <row r="9806" spans="1:2" x14ac:dyDescent="0.25">
      <c r="A9806">
        <v>9806</v>
      </c>
      <c r="B9806" t="str">
        <f t="shared" si="154"/>
        <v>♎</v>
      </c>
    </row>
    <row r="9807" spans="1:2" x14ac:dyDescent="0.25">
      <c r="A9807">
        <v>9807</v>
      </c>
      <c r="B9807" t="str">
        <f t="shared" si="154"/>
        <v>♏</v>
      </c>
    </row>
    <row r="9808" spans="1:2" x14ac:dyDescent="0.25">
      <c r="A9808">
        <v>9808</v>
      </c>
      <c r="B9808" t="str">
        <f t="shared" si="154"/>
        <v>♐</v>
      </c>
    </row>
    <row r="9809" spans="1:2" x14ac:dyDescent="0.25">
      <c r="A9809">
        <v>9809</v>
      </c>
      <c r="B9809" t="str">
        <f t="shared" si="154"/>
        <v>♑</v>
      </c>
    </row>
    <row r="9810" spans="1:2" x14ac:dyDescent="0.25">
      <c r="A9810">
        <v>9810</v>
      </c>
      <c r="B9810" t="str">
        <f t="shared" si="154"/>
        <v>♒</v>
      </c>
    </row>
    <row r="9811" spans="1:2" x14ac:dyDescent="0.25">
      <c r="A9811">
        <v>9811</v>
      </c>
      <c r="B9811" t="str">
        <f t="shared" si="154"/>
        <v>♓</v>
      </c>
    </row>
    <row r="9812" spans="1:2" x14ac:dyDescent="0.25">
      <c r="A9812">
        <v>9812</v>
      </c>
      <c r="B9812" t="str">
        <f t="shared" si="154"/>
        <v>♔</v>
      </c>
    </row>
    <row r="9813" spans="1:2" x14ac:dyDescent="0.25">
      <c r="A9813">
        <v>9813</v>
      </c>
      <c r="B9813" t="str">
        <f t="shared" si="154"/>
        <v>♕</v>
      </c>
    </row>
    <row r="9814" spans="1:2" x14ac:dyDescent="0.25">
      <c r="A9814">
        <v>9814</v>
      </c>
      <c r="B9814" t="str">
        <f t="shared" si="154"/>
        <v>♖</v>
      </c>
    </row>
    <row r="9815" spans="1:2" x14ac:dyDescent="0.25">
      <c r="A9815">
        <v>9815</v>
      </c>
      <c r="B9815" t="str">
        <f t="shared" si="154"/>
        <v>♗</v>
      </c>
    </row>
    <row r="9816" spans="1:2" x14ac:dyDescent="0.25">
      <c r="A9816">
        <v>9816</v>
      </c>
      <c r="B9816" t="str">
        <f t="shared" si="154"/>
        <v>♘</v>
      </c>
    </row>
    <row r="9817" spans="1:2" x14ac:dyDescent="0.25">
      <c r="A9817">
        <v>9817</v>
      </c>
      <c r="B9817" t="str">
        <f t="shared" si="154"/>
        <v>♙</v>
      </c>
    </row>
    <row r="9818" spans="1:2" x14ac:dyDescent="0.25">
      <c r="A9818">
        <v>9818</v>
      </c>
      <c r="B9818" t="str">
        <f t="shared" si="154"/>
        <v>♚</v>
      </c>
    </row>
    <row r="9819" spans="1:2" x14ac:dyDescent="0.25">
      <c r="A9819">
        <v>9819</v>
      </c>
      <c r="B9819" t="str">
        <f t="shared" si="154"/>
        <v>♛</v>
      </c>
    </row>
    <row r="9820" spans="1:2" x14ac:dyDescent="0.25">
      <c r="A9820">
        <v>9820</v>
      </c>
      <c r="B9820" t="str">
        <f t="shared" si="154"/>
        <v>♜</v>
      </c>
    </row>
    <row r="9821" spans="1:2" x14ac:dyDescent="0.25">
      <c r="A9821">
        <v>9821</v>
      </c>
      <c r="B9821" t="str">
        <f t="shared" si="154"/>
        <v>♝</v>
      </c>
    </row>
    <row r="9822" spans="1:2" x14ac:dyDescent="0.25">
      <c r="A9822">
        <v>9822</v>
      </c>
      <c r="B9822" t="str">
        <f t="shared" si="154"/>
        <v>♞</v>
      </c>
    </row>
    <row r="9823" spans="1:2" x14ac:dyDescent="0.25">
      <c r="A9823">
        <v>9823</v>
      </c>
      <c r="B9823" t="str">
        <f t="shared" si="154"/>
        <v>♟</v>
      </c>
    </row>
    <row r="9824" spans="1:2" x14ac:dyDescent="0.25">
      <c r="A9824">
        <v>9824</v>
      </c>
      <c r="B9824" t="str">
        <f t="shared" si="154"/>
        <v>♠</v>
      </c>
    </row>
    <row r="9825" spans="1:2" x14ac:dyDescent="0.25">
      <c r="A9825">
        <v>9825</v>
      </c>
      <c r="B9825" t="str">
        <f t="shared" si="154"/>
        <v>♡</v>
      </c>
    </row>
    <row r="9826" spans="1:2" x14ac:dyDescent="0.25">
      <c r="A9826">
        <v>9826</v>
      </c>
      <c r="B9826" t="str">
        <f t="shared" si="154"/>
        <v>♢</v>
      </c>
    </row>
    <row r="9827" spans="1:2" x14ac:dyDescent="0.25">
      <c r="A9827">
        <v>9827</v>
      </c>
      <c r="B9827" t="str">
        <f t="shared" si="154"/>
        <v>♣</v>
      </c>
    </row>
    <row r="9828" spans="1:2" x14ac:dyDescent="0.25">
      <c r="A9828">
        <v>9828</v>
      </c>
      <c r="B9828" t="str">
        <f t="shared" si="154"/>
        <v>♤</v>
      </c>
    </row>
    <row r="9829" spans="1:2" x14ac:dyDescent="0.25">
      <c r="A9829">
        <v>9829</v>
      </c>
      <c r="B9829" t="str">
        <f t="shared" si="154"/>
        <v>♥</v>
      </c>
    </row>
    <row r="9830" spans="1:2" x14ac:dyDescent="0.25">
      <c r="A9830">
        <v>9830</v>
      </c>
      <c r="B9830" t="str">
        <f t="shared" si="154"/>
        <v>♦</v>
      </c>
    </row>
    <row r="9831" spans="1:2" x14ac:dyDescent="0.25">
      <c r="A9831">
        <v>9831</v>
      </c>
      <c r="B9831" t="str">
        <f t="shared" si="154"/>
        <v>♧</v>
      </c>
    </row>
    <row r="9832" spans="1:2" x14ac:dyDescent="0.25">
      <c r="A9832">
        <v>9832</v>
      </c>
      <c r="B9832" t="str">
        <f t="shared" si="154"/>
        <v>♨</v>
      </c>
    </row>
    <row r="9833" spans="1:2" x14ac:dyDescent="0.25">
      <c r="A9833">
        <v>9833</v>
      </c>
      <c r="B9833" t="str">
        <f t="shared" si="154"/>
        <v>♩</v>
      </c>
    </row>
    <row r="9834" spans="1:2" x14ac:dyDescent="0.25">
      <c r="A9834">
        <v>9834</v>
      </c>
      <c r="B9834" t="str">
        <f t="shared" si="154"/>
        <v>♪</v>
      </c>
    </row>
    <row r="9835" spans="1:2" x14ac:dyDescent="0.25">
      <c r="A9835">
        <v>9835</v>
      </c>
      <c r="B9835" t="str">
        <f t="shared" si="154"/>
        <v>♫</v>
      </c>
    </row>
    <row r="9836" spans="1:2" x14ac:dyDescent="0.25">
      <c r="A9836">
        <v>9836</v>
      </c>
      <c r="B9836" t="str">
        <f t="shared" si="154"/>
        <v>♬</v>
      </c>
    </row>
    <row r="9837" spans="1:2" x14ac:dyDescent="0.25">
      <c r="A9837">
        <v>9837</v>
      </c>
      <c r="B9837" t="str">
        <f t="shared" si="154"/>
        <v>♭</v>
      </c>
    </row>
    <row r="9838" spans="1:2" x14ac:dyDescent="0.25">
      <c r="A9838">
        <v>9838</v>
      </c>
      <c r="B9838" t="str">
        <f t="shared" si="154"/>
        <v>♮</v>
      </c>
    </row>
    <row r="9839" spans="1:2" x14ac:dyDescent="0.25">
      <c r="A9839">
        <v>9839</v>
      </c>
      <c r="B9839" t="str">
        <f t="shared" si="154"/>
        <v>♯</v>
      </c>
    </row>
    <row r="9840" spans="1:2" x14ac:dyDescent="0.25">
      <c r="A9840">
        <v>9840</v>
      </c>
      <c r="B9840" t="str">
        <f t="shared" si="154"/>
        <v>♰</v>
      </c>
    </row>
    <row r="9841" spans="1:2" x14ac:dyDescent="0.25">
      <c r="A9841">
        <v>9841</v>
      </c>
      <c r="B9841" t="str">
        <f t="shared" si="154"/>
        <v>♱</v>
      </c>
    </row>
    <row r="9842" spans="1:2" x14ac:dyDescent="0.25">
      <c r="A9842">
        <v>9842</v>
      </c>
      <c r="B9842" t="str">
        <f t="shared" si="154"/>
        <v>♲</v>
      </c>
    </row>
    <row r="9843" spans="1:2" x14ac:dyDescent="0.25">
      <c r="A9843">
        <v>9843</v>
      </c>
      <c r="B9843" t="str">
        <f t="shared" si="154"/>
        <v>♳</v>
      </c>
    </row>
    <row r="9844" spans="1:2" x14ac:dyDescent="0.25">
      <c r="A9844">
        <v>9844</v>
      </c>
      <c r="B9844" t="str">
        <f t="shared" si="154"/>
        <v>♴</v>
      </c>
    </row>
    <row r="9845" spans="1:2" x14ac:dyDescent="0.25">
      <c r="A9845">
        <v>9845</v>
      </c>
      <c r="B9845" t="str">
        <f t="shared" si="154"/>
        <v>♵</v>
      </c>
    </row>
    <row r="9846" spans="1:2" x14ac:dyDescent="0.25">
      <c r="A9846">
        <v>9846</v>
      </c>
      <c r="B9846" t="str">
        <f t="shared" si="154"/>
        <v>♶</v>
      </c>
    </row>
    <row r="9847" spans="1:2" x14ac:dyDescent="0.25">
      <c r="A9847">
        <v>9847</v>
      </c>
      <c r="B9847" t="str">
        <f t="shared" si="154"/>
        <v>♷</v>
      </c>
    </row>
    <row r="9848" spans="1:2" x14ac:dyDescent="0.25">
      <c r="A9848">
        <v>9848</v>
      </c>
      <c r="B9848" t="str">
        <f t="shared" si="154"/>
        <v>♸</v>
      </c>
    </row>
    <row r="9849" spans="1:2" x14ac:dyDescent="0.25">
      <c r="A9849">
        <v>9849</v>
      </c>
      <c r="B9849" t="str">
        <f t="shared" si="154"/>
        <v>♹</v>
      </c>
    </row>
    <row r="9850" spans="1:2" x14ac:dyDescent="0.25">
      <c r="A9850">
        <v>9850</v>
      </c>
      <c r="B9850" t="str">
        <f t="shared" si="154"/>
        <v>♺</v>
      </c>
    </row>
    <row r="9851" spans="1:2" x14ac:dyDescent="0.25">
      <c r="A9851">
        <v>9851</v>
      </c>
      <c r="B9851" t="str">
        <f t="shared" si="154"/>
        <v>♻</v>
      </c>
    </row>
    <row r="9852" spans="1:2" x14ac:dyDescent="0.25">
      <c r="A9852">
        <v>9852</v>
      </c>
      <c r="B9852" t="str">
        <f t="shared" si="154"/>
        <v>♼</v>
      </c>
    </row>
    <row r="9853" spans="1:2" x14ac:dyDescent="0.25">
      <c r="A9853">
        <v>9853</v>
      </c>
      <c r="B9853" t="str">
        <f t="shared" si="154"/>
        <v>♽</v>
      </c>
    </row>
    <row r="9854" spans="1:2" x14ac:dyDescent="0.25">
      <c r="A9854">
        <v>9854</v>
      </c>
      <c r="B9854" t="str">
        <f t="shared" si="154"/>
        <v>♾</v>
      </c>
    </row>
    <row r="9855" spans="1:2" x14ac:dyDescent="0.25">
      <c r="A9855">
        <v>9855</v>
      </c>
      <c r="B9855" t="str">
        <f t="shared" si="154"/>
        <v>♿</v>
      </c>
    </row>
    <row r="9856" spans="1:2" x14ac:dyDescent="0.25">
      <c r="A9856">
        <v>9856</v>
      </c>
      <c r="B9856" t="str">
        <f t="shared" si="154"/>
        <v>⚀</v>
      </c>
    </row>
    <row r="9857" spans="1:2" x14ac:dyDescent="0.25">
      <c r="A9857">
        <v>9857</v>
      </c>
      <c r="B9857" t="str">
        <f t="shared" si="154"/>
        <v>⚁</v>
      </c>
    </row>
    <row r="9858" spans="1:2" x14ac:dyDescent="0.25">
      <c r="A9858">
        <v>9858</v>
      </c>
      <c r="B9858" t="str">
        <f t="shared" ref="B9858:B9921" si="155">_xlfn.UNICHAR(A9858)</f>
        <v>⚂</v>
      </c>
    </row>
    <row r="9859" spans="1:2" x14ac:dyDescent="0.25">
      <c r="A9859">
        <v>9859</v>
      </c>
      <c r="B9859" t="str">
        <f t="shared" si="155"/>
        <v>⚃</v>
      </c>
    </row>
    <row r="9860" spans="1:2" x14ac:dyDescent="0.25">
      <c r="A9860">
        <v>9860</v>
      </c>
      <c r="B9860" t="str">
        <f t="shared" si="155"/>
        <v>⚄</v>
      </c>
    </row>
    <row r="9861" spans="1:2" x14ac:dyDescent="0.25">
      <c r="A9861">
        <v>9861</v>
      </c>
      <c r="B9861" t="str">
        <f t="shared" si="155"/>
        <v>⚅</v>
      </c>
    </row>
    <row r="9862" spans="1:2" x14ac:dyDescent="0.25">
      <c r="A9862">
        <v>9862</v>
      </c>
      <c r="B9862" t="str">
        <f t="shared" si="155"/>
        <v>⚆</v>
      </c>
    </row>
    <row r="9863" spans="1:2" x14ac:dyDescent="0.25">
      <c r="A9863">
        <v>9863</v>
      </c>
      <c r="B9863" t="str">
        <f t="shared" si="155"/>
        <v>⚇</v>
      </c>
    </row>
    <row r="9864" spans="1:2" x14ac:dyDescent="0.25">
      <c r="A9864">
        <v>9864</v>
      </c>
      <c r="B9864" t="str">
        <f t="shared" si="155"/>
        <v>⚈</v>
      </c>
    </row>
    <row r="9865" spans="1:2" x14ac:dyDescent="0.25">
      <c r="A9865">
        <v>9865</v>
      </c>
      <c r="B9865" t="str">
        <f t="shared" si="155"/>
        <v>⚉</v>
      </c>
    </row>
    <row r="9866" spans="1:2" x14ac:dyDescent="0.25">
      <c r="A9866">
        <v>9866</v>
      </c>
      <c r="B9866" t="str">
        <f t="shared" si="155"/>
        <v>⚊</v>
      </c>
    </row>
    <row r="9867" spans="1:2" x14ac:dyDescent="0.25">
      <c r="A9867">
        <v>9867</v>
      </c>
      <c r="B9867" t="str">
        <f t="shared" si="155"/>
        <v>⚋</v>
      </c>
    </row>
    <row r="9868" spans="1:2" x14ac:dyDescent="0.25">
      <c r="A9868">
        <v>9868</v>
      </c>
      <c r="B9868" t="str">
        <f t="shared" si="155"/>
        <v>⚌</v>
      </c>
    </row>
    <row r="9869" spans="1:2" x14ac:dyDescent="0.25">
      <c r="A9869">
        <v>9869</v>
      </c>
      <c r="B9869" t="str">
        <f t="shared" si="155"/>
        <v>⚍</v>
      </c>
    </row>
    <row r="9870" spans="1:2" x14ac:dyDescent="0.25">
      <c r="A9870">
        <v>9870</v>
      </c>
      <c r="B9870" t="str">
        <f t="shared" si="155"/>
        <v>⚎</v>
      </c>
    </row>
    <row r="9871" spans="1:2" x14ac:dyDescent="0.25">
      <c r="A9871">
        <v>9871</v>
      </c>
      <c r="B9871" t="str">
        <f t="shared" si="155"/>
        <v>⚏</v>
      </c>
    </row>
    <row r="9872" spans="1:2" x14ac:dyDescent="0.25">
      <c r="A9872">
        <v>9872</v>
      </c>
      <c r="B9872" t="str">
        <f t="shared" si="155"/>
        <v>⚐</v>
      </c>
    </row>
    <row r="9873" spans="1:2" x14ac:dyDescent="0.25">
      <c r="A9873">
        <v>9873</v>
      </c>
      <c r="B9873" t="str">
        <f t="shared" si="155"/>
        <v>⚑</v>
      </c>
    </row>
    <row r="9874" spans="1:2" x14ac:dyDescent="0.25">
      <c r="A9874">
        <v>9874</v>
      </c>
      <c r="B9874" t="str">
        <f t="shared" si="155"/>
        <v>⚒</v>
      </c>
    </row>
    <row r="9875" spans="1:2" x14ac:dyDescent="0.25">
      <c r="A9875">
        <v>9875</v>
      </c>
      <c r="B9875" t="str">
        <f t="shared" si="155"/>
        <v>⚓</v>
      </c>
    </row>
    <row r="9876" spans="1:2" x14ac:dyDescent="0.25">
      <c r="A9876">
        <v>9876</v>
      </c>
      <c r="B9876" t="str">
        <f t="shared" si="155"/>
        <v>⚔</v>
      </c>
    </row>
    <row r="9877" spans="1:2" x14ac:dyDescent="0.25">
      <c r="A9877">
        <v>9877</v>
      </c>
      <c r="B9877" t="str">
        <f t="shared" si="155"/>
        <v>⚕</v>
      </c>
    </row>
    <row r="9878" spans="1:2" x14ac:dyDescent="0.25">
      <c r="A9878">
        <v>9878</v>
      </c>
      <c r="B9878" t="str">
        <f t="shared" si="155"/>
        <v>⚖</v>
      </c>
    </row>
    <row r="9879" spans="1:2" x14ac:dyDescent="0.25">
      <c r="A9879">
        <v>9879</v>
      </c>
      <c r="B9879" t="str">
        <f t="shared" si="155"/>
        <v>⚗</v>
      </c>
    </row>
    <row r="9880" spans="1:2" x14ac:dyDescent="0.25">
      <c r="A9880">
        <v>9880</v>
      </c>
      <c r="B9880" t="str">
        <f t="shared" si="155"/>
        <v>⚘</v>
      </c>
    </row>
    <row r="9881" spans="1:2" x14ac:dyDescent="0.25">
      <c r="A9881">
        <v>9881</v>
      </c>
      <c r="B9881" t="str">
        <f t="shared" si="155"/>
        <v>⚙</v>
      </c>
    </row>
    <row r="9882" spans="1:2" x14ac:dyDescent="0.25">
      <c r="A9882">
        <v>9882</v>
      </c>
      <c r="B9882" t="str">
        <f t="shared" si="155"/>
        <v>⚚</v>
      </c>
    </row>
    <row r="9883" spans="1:2" x14ac:dyDescent="0.25">
      <c r="A9883">
        <v>9883</v>
      </c>
      <c r="B9883" t="str">
        <f t="shared" si="155"/>
        <v>⚛</v>
      </c>
    </row>
    <row r="9884" spans="1:2" x14ac:dyDescent="0.25">
      <c r="A9884">
        <v>9884</v>
      </c>
      <c r="B9884" t="str">
        <f t="shared" si="155"/>
        <v>⚜</v>
      </c>
    </row>
    <row r="9885" spans="1:2" x14ac:dyDescent="0.25">
      <c r="A9885">
        <v>9885</v>
      </c>
      <c r="B9885" t="str">
        <f t="shared" si="155"/>
        <v>⚝</v>
      </c>
    </row>
    <row r="9886" spans="1:2" x14ac:dyDescent="0.25">
      <c r="A9886">
        <v>9886</v>
      </c>
      <c r="B9886" t="str">
        <f t="shared" si="155"/>
        <v>⚞</v>
      </c>
    </row>
    <row r="9887" spans="1:2" x14ac:dyDescent="0.25">
      <c r="A9887">
        <v>9887</v>
      </c>
      <c r="B9887" t="str">
        <f t="shared" si="155"/>
        <v>⚟</v>
      </c>
    </row>
    <row r="9888" spans="1:2" x14ac:dyDescent="0.25">
      <c r="A9888">
        <v>9888</v>
      </c>
      <c r="B9888" t="str">
        <f t="shared" si="155"/>
        <v>⚠</v>
      </c>
    </row>
    <row r="9889" spans="1:2" x14ac:dyDescent="0.25">
      <c r="A9889">
        <v>9889</v>
      </c>
      <c r="B9889" t="str">
        <f t="shared" si="155"/>
        <v>⚡</v>
      </c>
    </row>
    <row r="9890" spans="1:2" x14ac:dyDescent="0.25">
      <c r="A9890">
        <v>9890</v>
      </c>
      <c r="B9890" t="str">
        <f t="shared" si="155"/>
        <v>⚢</v>
      </c>
    </row>
    <row r="9891" spans="1:2" x14ac:dyDescent="0.25">
      <c r="A9891">
        <v>9891</v>
      </c>
      <c r="B9891" t="str">
        <f t="shared" si="155"/>
        <v>⚣</v>
      </c>
    </row>
    <row r="9892" spans="1:2" x14ac:dyDescent="0.25">
      <c r="A9892">
        <v>9892</v>
      </c>
      <c r="B9892" t="str">
        <f t="shared" si="155"/>
        <v>⚤</v>
      </c>
    </row>
    <row r="9893" spans="1:2" x14ac:dyDescent="0.25">
      <c r="A9893">
        <v>9893</v>
      </c>
      <c r="B9893" t="str">
        <f t="shared" si="155"/>
        <v>⚥</v>
      </c>
    </row>
    <row r="9894" spans="1:2" x14ac:dyDescent="0.25">
      <c r="A9894">
        <v>9894</v>
      </c>
      <c r="B9894" t="str">
        <f t="shared" si="155"/>
        <v>⚦</v>
      </c>
    </row>
    <row r="9895" spans="1:2" x14ac:dyDescent="0.25">
      <c r="A9895">
        <v>9895</v>
      </c>
      <c r="B9895" t="str">
        <f t="shared" si="155"/>
        <v>⚧</v>
      </c>
    </row>
    <row r="9896" spans="1:2" x14ac:dyDescent="0.25">
      <c r="A9896">
        <v>9896</v>
      </c>
      <c r="B9896" t="str">
        <f t="shared" si="155"/>
        <v>⚨</v>
      </c>
    </row>
    <row r="9897" spans="1:2" x14ac:dyDescent="0.25">
      <c r="A9897">
        <v>9897</v>
      </c>
      <c r="B9897" t="str">
        <f t="shared" si="155"/>
        <v>⚩</v>
      </c>
    </row>
    <row r="9898" spans="1:2" x14ac:dyDescent="0.25">
      <c r="A9898">
        <v>9898</v>
      </c>
      <c r="B9898" t="str">
        <f t="shared" si="155"/>
        <v>⚪</v>
      </c>
    </row>
    <row r="9899" spans="1:2" x14ac:dyDescent="0.25">
      <c r="A9899">
        <v>9899</v>
      </c>
      <c r="B9899" t="str">
        <f t="shared" si="155"/>
        <v>⚫</v>
      </c>
    </row>
    <row r="9900" spans="1:2" x14ac:dyDescent="0.25">
      <c r="A9900">
        <v>9900</v>
      </c>
      <c r="B9900" t="str">
        <f t="shared" si="155"/>
        <v>⚬</v>
      </c>
    </row>
    <row r="9901" spans="1:2" x14ac:dyDescent="0.25">
      <c r="A9901">
        <v>9901</v>
      </c>
      <c r="B9901" t="str">
        <f t="shared" si="155"/>
        <v>⚭</v>
      </c>
    </row>
    <row r="9902" spans="1:2" x14ac:dyDescent="0.25">
      <c r="A9902">
        <v>9902</v>
      </c>
      <c r="B9902" t="str">
        <f t="shared" si="155"/>
        <v>⚮</v>
      </c>
    </row>
    <row r="9903" spans="1:2" x14ac:dyDescent="0.25">
      <c r="A9903">
        <v>9903</v>
      </c>
      <c r="B9903" t="str">
        <f t="shared" si="155"/>
        <v>⚯</v>
      </c>
    </row>
    <row r="9904" spans="1:2" x14ac:dyDescent="0.25">
      <c r="A9904">
        <v>9904</v>
      </c>
      <c r="B9904" t="str">
        <f t="shared" si="155"/>
        <v>⚰</v>
      </c>
    </row>
    <row r="9905" spans="1:2" x14ac:dyDescent="0.25">
      <c r="A9905">
        <v>9905</v>
      </c>
      <c r="B9905" t="str">
        <f t="shared" si="155"/>
        <v>⚱</v>
      </c>
    </row>
    <row r="9906" spans="1:2" x14ac:dyDescent="0.25">
      <c r="A9906">
        <v>9906</v>
      </c>
      <c r="B9906" t="str">
        <f t="shared" si="155"/>
        <v>⚲</v>
      </c>
    </row>
    <row r="9907" spans="1:2" x14ac:dyDescent="0.25">
      <c r="A9907">
        <v>9907</v>
      </c>
      <c r="B9907" t="str">
        <f t="shared" si="155"/>
        <v>⚳</v>
      </c>
    </row>
    <row r="9908" spans="1:2" x14ac:dyDescent="0.25">
      <c r="A9908">
        <v>9908</v>
      </c>
      <c r="B9908" t="str">
        <f t="shared" si="155"/>
        <v>⚴</v>
      </c>
    </row>
    <row r="9909" spans="1:2" x14ac:dyDescent="0.25">
      <c r="A9909">
        <v>9909</v>
      </c>
      <c r="B9909" t="str">
        <f t="shared" si="155"/>
        <v>⚵</v>
      </c>
    </row>
    <row r="9910" spans="1:2" x14ac:dyDescent="0.25">
      <c r="A9910">
        <v>9910</v>
      </c>
      <c r="B9910" t="str">
        <f t="shared" si="155"/>
        <v>⚶</v>
      </c>
    </row>
    <row r="9911" spans="1:2" x14ac:dyDescent="0.25">
      <c r="A9911">
        <v>9911</v>
      </c>
      <c r="B9911" t="str">
        <f t="shared" si="155"/>
        <v>⚷</v>
      </c>
    </row>
    <row r="9912" spans="1:2" x14ac:dyDescent="0.25">
      <c r="A9912">
        <v>9912</v>
      </c>
      <c r="B9912" t="str">
        <f t="shared" si="155"/>
        <v>⚸</v>
      </c>
    </row>
    <row r="9913" spans="1:2" x14ac:dyDescent="0.25">
      <c r="A9913">
        <v>9913</v>
      </c>
      <c r="B9913" t="str">
        <f t="shared" si="155"/>
        <v>⚹</v>
      </c>
    </row>
    <row r="9914" spans="1:2" x14ac:dyDescent="0.25">
      <c r="A9914">
        <v>9914</v>
      </c>
      <c r="B9914" t="str">
        <f t="shared" si="155"/>
        <v>⚺</v>
      </c>
    </row>
    <row r="9915" spans="1:2" x14ac:dyDescent="0.25">
      <c r="A9915">
        <v>9915</v>
      </c>
      <c r="B9915" t="str">
        <f t="shared" si="155"/>
        <v>⚻</v>
      </c>
    </row>
    <row r="9916" spans="1:2" x14ac:dyDescent="0.25">
      <c r="A9916">
        <v>9916</v>
      </c>
      <c r="B9916" t="str">
        <f t="shared" si="155"/>
        <v>⚼</v>
      </c>
    </row>
    <row r="9917" spans="1:2" x14ac:dyDescent="0.25">
      <c r="A9917">
        <v>9917</v>
      </c>
      <c r="B9917" t="str">
        <f t="shared" si="155"/>
        <v>⚽</v>
      </c>
    </row>
    <row r="9918" spans="1:2" x14ac:dyDescent="0.25">
      <c r="A9918">
        <v>9918</v>
      </c>
      <c r="B9918" t="str">
        <f t="shared" si="155"/>
        <v>⚾</v>
      </c>
    </row>
    <row r="9919" spans="1:2" x14ac:dyDescent="0.25">
      <c r="A9919">
        <v>9919</v>
      </c>
      <c r="B9919" t="str">
        <f t="shared" si="155"/>
        <v>⚿</v>
      </c>
    </row>
    <row r="9920" spans="1:2" x14ac:dyDescent="0.25">
      <c r="A9920">
        <v>9920</v>
      </c>
      <c r="B9920" t="str">
        <f t="shared" si="155"/>
        <v>⛀</v>
      </c>
    </row>
    <row r="9921" spans="1:2" x14ac:dyDescent="0.25">
      <c r="A9921">
        <v>9921</v>
      </c>
      <c r="B9921" t="str">
        <f t="shared" si="155"/>
        <v>⛁</v>
      </c>
    </row>
    <row r="9922" spans="1:2" x14ac:dyDescent="0.25">
      <c r="A9922">
        <v>9922</v>
      </c>
      <c r="B9922" t="str">
        <f t="shared" ref="B9922:B9985" si="156">_xlfn.UNICHAR(A9922)</f>
        <v>⛂</v>
      </c>
    </row>
    <row r="9923" spans="1:2" x14ac:dyDescent="0.25">
      <c r="A9923">
        <v>9923</v>
      </c>
      <c r="B9923" t="str">
        <f t="shared" si="156"/>
        <v>⛃</v>
      </c>
    </row>
    <row r="9924" spans="1:2" x14ac:dyDescent="0.25">
      <c r="A9924">
        <v>9924</v>
      </c>
      <c r="B9924" t="str">
        <f t="shared" si="156"/>
        <v>⛄</v>
      </c>
    </row>
    <row r="9925" spans="1:2" x14ac:dyDescent="0.25">
      <c r="A9925">
        <v>9925</v>
      </c>
      <c r="B9925" t="str">
        <f t="shared" si="156"/>
        <v>⛅</v>
      </c>
    </row>
    <row r="9926" spans="1:2" x14ac:dyDescent="0.25">
      <c r="A9926">
        <v>9926</v>
      </c>
      <c r="B9926" t="str">
        <f t="shared" si="156"/>
        <v>⛆</v>
      </c>
    </row>
    <row r="9927" spans="1:2" x14ac:dyDescent="0.25">
      <c r="A9927">
        <v>9927</v>
      </c>
      <c r="B9927" t="str">
        <f t="shared" si="156"/>
        <v>⛇</v>
      </c>
    </row>
    <row r="9928" spans="1:2" x14ac:dyDescent="0.25">
      <c r="A9928">
        <v>9928</v>
      </c>
      <c r="B9928" t="str">
        <f t="shared" si="156"/>
        <v>⛈</v>
      </c>
    </row>
    <row r="9929" spans="1:2" x14ac:dyDescent="0.25">
      <c r="A9929">
        <v>9929</v>
      </c>
      <c r="B9929" t="str">
        <f t="shared" si="156"/>
        <v>⛉</v>
      </c>
    </row>
    <row r="9930" spans="1:2" x14ac:dyDescent="0.25">
      <c r="A9930">
        <v>9930</v>
      </c>
      <c r="B9930" t="str">
        <f t="shared" si="156"/>
        <v>⛊</v>
      </c>
    </row>
    <row r="9931" spans="1:2" x14ac:dyDescent="0.25">
      <c r="A9931">
        <v>9931</v>
      </c>
      <c r="B9931" t="str">
        <f t="shared" si="156"/>
        <v>⛋</v>
      </c>
    </row>
    <row r="9932" spans="1:2" x14ac:dyDescent="0.25">
      <c r="A9932">
        <v>9932</v>
      </c>
      <c r="B9932" t="str">
        <f t="shared" si="156"/>
        <v>⛌</v>
      </c>
    </row>
    <row r="9933" spans="1:2" x14ac:dyDescent="0.25">
      <c r="A9933">
        <v>9933</v>
      </c>
      <c r="B9933" t="str">
        <f t="shared" si="156"/>
        <v>⛍</v>
      </c>
    </row>
    <row r="9934" spans="1:2" x14ac:dyDescent="0.25">
      <c r="A9934">
        <v>9934</v>
      </c>
      <c r="B9934" t="str">
        <f t="shared" si="156"/>
        <v>⛎</v>
      </c>
    </row>
    <row r="9935" spans="1:2" x14ac:dyDescent="0.25">
      <c r="A9935">
        <v>9935</v>
      </c>
      <c r="B9935" t="str">
        <f t="shared" si="156"/>
        <v>⛏</v>
      </c>
    </row>
    <row r="9936" spans="1:2" x14ac:dyDescent="0.25">
      <c r="A9936">
        <v>9936</v>
      </c>
      <c r="B9936" t="str">
        <f t="shared" si="156"/>
        <v>⛐</v>
      </c>
    </row>
    <row r="9937" spans="1:2" x14ac:dyDescent="0.25">
      <c r="A9937">
        <v>9937</v>
      </c>
      <c r="B9937" t="str">
        <f t="shared" si="156"/>
        <v>⛑</v>
      </c>
    </row>
    <row r="9938" spans="1:2" x14ac:dyDescent="0.25">
      <c r="A9938">
        <v>9938</v>
      </c>
      <c r="B9938" t="str">
        <f t="shared" si="156"/>
        <v>⛒</v>
      </c>
    </row>
    <row r="9939" spans="1:2" x14ac:dyDescent="0.25">
      <c r="A9939">
        <v>9939</v>
      </c>
      <c r="B9939" t="str">
        <f t="shared" si="156"/>
        <v>⛓</v>
      </c>
    </row>
    <row r="9940" spans="1:2" x14ac:dyDescent="0.25">
      <c r="A9940">
        <v>9940</v>
      </c>
      <c r="B9940" t="str">
        <f t="shared" si="156"/>
        <v>⛔</v>
      </c>
    </row>
    <row r="9941" spans="1:2" x14ac:dyDescent="0.25">
      <c r="A9941">
        <v>9941</v>
      </c>
      <c r="B9941" t="str">
        <f t="shared" si="156"/>
        <v>⛕</v>
      </c>
    </row>
    <row r="9942" spans="1:2" x14ac:dyDescent="0.25">
      <c r="A9942">
        <v>9942</v>
      </c>
      <c r="B9942" t="str">
        <f t="shared" si="156"/>
        <v>⛖</v>
      </c>
    </row>
    <row r="9943" spans="1:2" x14ac:dyDescent="0.25">
      <c r="A9943">
        <v>9943</v>
      </c>
      <c r="B9943" t="str">
        <f t="shared" si="156"/>
        <v>⛗</v>
      </c>
    </row>
    <row r="9944" spans="1:2" x14ac:dyDescent="0.25">
      <c r="A9944">
        <v>9944</v>
      </c>
      <c r="B9944" t="str">
        <f t="shared" si="156"/>
        <v>⛘</v>
      </c>
    </row>
    <row r="9945" spans="1:2" x14ac:dyDescent="0.25">
      <c r="A9945">
        <v>9945</v>
      </c>
      <c r="B9945" t="str">
        <f t="shared" si="156"/>
        <v>⛙</v>
      </c>
    </row>
    <row r="9946" spans="1:2" x14ac:dyDescent="0.25">
      <c r="A9946">
        <v>9946</v>
      </c>
      <c r="B9946" t="str">
        <f t="shared" si="156"/>
        <v>⛚</v>
      </c>
    </row>
    <row r="9947" spans="1:2" x14ac:dyDescent="0.25">
      <c r="A9947">
        <v>9947</v>
      </c>
      <c r="B9947" t="str">
        <f t="shared" si="156"/>
        <v>⛛</v>
      </c>
    </row>
    <row r="9948" spans="1:2" x14ac:dyDescent="0.25">
      <c r="A9948">
        <v>9948</v>
      </c>
      <c r="B9948" t="str">
        <f t="shared" si="156"/>
        <v>⛜</v>
      </c>
    </row>
    <row r="9949" spans="1:2" x14ac:dyDescent="0.25">
      <c r="A9949">
        <v>9949</v>
      </c>
      <c r="B9949" t="str">
        <f t="shared" si="156"/>
        <v>⛝</v>
      </c>
    </row>
    <row r="9950" spans="1:2" x14ac:dyDescent="0.25">
      <c r="A9950">
        <v>9950</v>
      </c>
      <c r="B9950" t="str">
        <f t="shared" si="156"/>
        <v>⛞</v>
      </c>
    </row>
    <row r="9951" spans="1:2" x14ac:dyDescent="0.25">
      <c r="A9951">
        <v>9951</v>
      </c>
      <c r="B9951" t="str">
        <f t="shared" si="156"/>
        <v>⛟</v>
      </c>
    </row>
    <row r="9952" spans="1:2" x14ac:dyDescent="0.25">
      <c r="A9952">
        <v>9952</v>
      </c>
      <c r="B9952" t="str">
        <f t="shared" si="156"/>
        <v>⛠</v>
      </c>
    </row>
    <row r="9953" spans="1:2" x14ac:dyDescent="0.25">
      <c r="A9953">
        <v>9953</v>
      </c>
      <c r="B9953" t="str">
        <f t="shared" si="156"/>
        <v>⛡</v>
      </c>
    </row>
    <row r="9954" spans="1:2" x14ac:dyDescent="0.25">
      <c r="A9954">
        <v>9954</v>
      </c>
      <c r="B9954" t="str">
        <f t="shared" si="156"/>
        <v>⛢</v>
      </c>
    </row>
    <row r="9955" spans="1:2" x14ac:dyDescent="0.25">
      <c r="A9955">
        <v>9955</v>
      </c>
      <c r="B9955" t="str">
        <f t="shared" si="156"/>
        <v>⛣</v>
      </c>
    </row>
    <row r="9956" spans="1:2" x14ac:dyDescent="0.25">
      <c r="A9956">
        <v>9956</v>
      </c>
      <c r="B9956" t="str">
        <f t="shared" si="156"/>
        <v>⛤</v>
      </c>
    </row>
    <row r="9957" spans="1:2" x14ac:dyDescent="0.25">
      <c r="A9957">
        <v>9957</v>
      </c>
      <c r="B9957" t="str">
        <f t="shared" si="156"/>
        <v>⛥</v>
      </c>
    </row>
    <row r="9958" spans="1:2" x14ac:dyDescent="0.25">
      <c r="A9958">
        <v>9958</v>
      </c>
      <c r="B9958" t="str">
        <f t="shared" si="156"/>
        <v>⛦</v>
      </c>
    </row>
    <row r="9959" spans="1:2" x14ac:dyDescent="0.25">
      <c r="A9959">
        <v>9959</v>
      </c>
      <c r="B9959" t="str">
        <f t="shared" si="156"/>
        <v>⛧</v>
      </c>
    </row>
    <row r="9960" spans="1:2" x14ac:dyDescent="0.25">
      <c r="A9960">
        <v>9960</v>
      </c>
      <c r="B9960" t="str">
        <f t="shared" si="156"/>
        <v>⛨</v>
      </c>
    </row>
    <row r="9961" spans="1:2" x14ac:dyDescent="0.25">
      <c r="A9961">
        <v>9961</v>
      </c>
      <c r="B9961" t="str">
        <f t="shared" si="156"/>
        <v>⛩</v>
      </c>
    </row>
    <row r="9962" spans="1:2" x14ac:dyDescent="0.25">
      <c r="A9962">
        <v>9962</v>
      </c>
      <c r="B9962" t="str">
        <f t="shared" si="156"/>
        <v>⛪</v>
      </c>
    </row>
    <row r="9963" spans="1:2" x14ac:dyDescent="0.25">
      <c r="A9963">
        <v>9963</v>
      </c>
      <c r="B9963" t="str">
        <f t="shared" si="156"/>
        <v>⛫</v>
      </c>
    </row>
    <row r="9964" spans="1:2" x14ac:dyDescent="0.25">
      <c r="A9964">
        <v>9964</v>
      </c>
      <c r="B9964" t="str">
        <f t="shared" si="156"/>
        <v>⛬</v>
      </c>
    </row>
    <row r="9965" spans="1:2" x14ac:dyDescent="0.25">
      <c r="A9965">
        <v>9965</v>
      </c>
      <c r="B9965" t="str">
        <f t="shared" si="156"/>
        <v>⛭</v>
      </c>
    </row>
    <row r="9966" spans="1:2" x14ac:dyDescent="0.25">
      <c r="A9966">
        <v>9966</v>
      </c>
      <c r="B9966" t="str">
        <f t="shared" si="156"/>
        <v>⛮</v>
      </c>
    </row>
    <row r="9967" spans="1:2" x14ac:dyDescent="0.25">
      <c r="A9967">
        <v>9967</v>
      </c>
      <c r="B9967" t="str">
        <f t="shared" si="156"/>
        <v>⛯</v>
      </c>
    </row>
    <row r="9968" spans="1:2" x14ac:dyDescent="0.25">
      <c r="A9968">
        <v>9968</v>
      </c>
      <c r="B9968" t="str">
        <f t="shared" si="156"/>
        <v>⛰</v>
      </c>
    </row>
    <row r="9969" spans="1:2" x14ac:dyDescent="0.25">
      <c r="A9969">
        <v>9969</v>
      </c>
      <c r="B9969" t="str">
        <f t="shared" si="156"/>
        <v>⛱</v>
      </c>
    </row>
    <row r="9970" spans="1:2" x14ac:dyDescent="0.25">
      <c r="A9970">
        <v>9970</v>
      </c>
      <c r="B9970" t="str">
        <f t="shared" si="156"/>
        <v>⛲</v>
      </c>
    </row>
    <row r="9971" spans="1:2" x14ac:dyDescent="0.25">
      <c r="A9971">
        <v>9971</v>
      </c>
      <c r="B9971" t="str">
        <f t="shared" si="156"/>
        <v>⛳</v>
      </c>
    </row>
    <row r="9972" spans="1:2" x14ac:dyDescent="0.25">
      <c r="A9972">
        <v>9972</v>
      </c>
      <c r="B9972" t="str">
        <f t="shared" si="156"/>
        <v>⛴</v>
      </c>
    </row>
    <row r="9973" spans="1:2" x14ac:dyDescent="0.25">
      <c r="A9973">
        <v>9973</v>
      </c>
      <c r="B9973" t="str">
        <f t="shared" si="156"/>
        <v>⛵</v>
      </c>
    </row>
    <row r="9974" spans="1:2" x14ac:dyDescent="0.25">
      <c r="A9974">
        <v>9974</v>
      </c>
      <c r="B9974" t="str">
        <f t="shared" si="156"/>
        <v>⛶</v>
      </c>
    </row>
    <row r="9975" spans="1:2" x14ac:dyDescent="0.25">
      <c r="A9975">
        <v>9975</v>
      </c>
      <c r="B9975" t="str">
        <f t="shared" si="156"/>
        <v>⛷</v>
      </c>
    </row>
    <row r="9976" spans="1:2" x14ac:dyDescent="0.25">
      <c r="A9976">
        <v>9976</v>
      </c>
      <c r="B9976" t="str">
        <f t="shared" si="156"/>
        <v>⛸</v>
      </c>
    </row>
    <row r="9977" spans="1:2" x14ac:dyDescent="0.25">
      <c r="A9977">
        <v>9977</v>
      </c>
      <c r="B9977" t="str">
        <f t="shared" si="156"/>
        <v>⛹</v>
      </c>
    </row>
    <row r="9978" spans="1:2" x14ac:dyDescent="0.25">
      <c r="A9978">
        <v>9978</v>
      </c>
      <c r="B9978" t="str">
        <f t="shared" si="156"/>
        <v>⛺</v>
      </c>
    </row>
    <row r="9979" spans="1:2" x14ac:dyDescent="0.25">
      <c r="A9979">
        <v>9979</v>
      </c>
      <c r="B9979" t="str">
        <f t="shared" si="156"/>
        <v>⛻</v>
      </c>
    </row>
    <row r="9980" spans="1:2" x14ac:dyDescent="0.25">
      <c r="A9980">
        <v>9980</v>
      </c>
      <c r="B9980" t="str">
        <f t="shared" si="156"/>
        <v>⛼</v>
      </c>
    </row>
    <row r="9981" spans="1:2" x14ac:dyDescent="0.25">
      <c r="A9981">
        <v>9981</v>
      </c>
      <c r="B9981" t="str">
        <f t="shared" si="156"/>
        <v>⛽</v>
      </c>
    </row>
    <row r="9982" spans="1:2" x14ac:dyDescent="0.25">
      <c r="A9982">
        <v>9982</v>
      </c>
      <c r="B9982" t="str">
        <f t="shared" si="156"/>
        <v>⛾</v>
      </c>
    </row>
    <row r="9983" spans="1:2" x14ac:dyDescent="0.25">
      <c r="A9983">
        <v>9983</v>
      </c>
      <c r="B9983" t="str">
        <f t="shared" si="156"/>
        <v>⛿</v>
      </c>
    </row>
    <row r="9984" spans="1:2" x14ac:dyDescent="0.25">
      <c r="A9984">
        <v>9984</v>
      </c>
      <c r="B9984" t="str">
        <f t="shared" si="156"/>
        <v>✀</v>
      </c>
    </row>
    <row r="9985" spans="1:2" x14ac:dyDescent="0.25">
      <c r="A9985">
        <v>9985</v>
      </c>
      <c r="B9985" t="str">
        <f t="shared" si="156"/>
        <v>✁</v>
      </c>
    </row>
    <row r="9986" spans="1:2" x14ac:dyDescent="0.25">
      <c r="A9986">
        <v>9986</v>
      </c>
      <c r="B9986" t="str">
        <f t="shared" ref="B9986:B10000" si="157">_xlfn.UNICHAR(A9986)</f>
        <v>✂</v>
      </c>
    </row>
    <row r="9987" spans="1:2" x14ac:dyDescent="0.25">
      <c r="A9987">
        <v>9987</v>
      </c>
      <c r="B9987" t="str">
        <f t="shared" si="157"/>
        <v>✃</v>
      </c>
    </row>
    <row r="9988" spans="1:2" x14ac:dyDescent="0.25">
      <c r="A9988">
        <v>9988</v>
      </c>
      <c r="B9988" t="str">
        <f t="shared" si="157"/>
        <v>✄</v>
      </c>
    </row>
    <row r="9989" spans="1:2" x14ac:dyDescent="0.25">
      <c r="A9989">
        <v>9989</v>
      </c>
      <c r="B9989" t="str">
        <f t="shared" si="157"/>
        <v>✅</v>
      </c>
    </row>
    <row r="9990" spans="1:2" x14ac:dyDescent="0.25">
      <c r="A9990">
        <v>9990</v>
      </c>
      <c r="B9990" t="str">
        <f t="shared" si="157"/>
        <v>✆</v>
      </c>
    </row>
    <row r="9991" spans="1:2" x14ac:dyDescent="0.25">
      <c r="A9991">
        <v>9991</v>
      </c>
      <c r="B9991" t="str">
        <f t="shared" si="157"/>
        <v>✇</v>
      </c>
    </row>
    <row r="9992" spans="1:2" x14ac:dyDescent="0.25">
      <c r="A9992">
        <v>9992</v>
      </c>
      <c r="B9992" t="str">
        <f t="shared" si="157"/>
        <v>✈</v>
      </c>
    </row>
    <row r="9993" spans="1:2" x14ac:dyDescent="0.25">
      <c r="A9993">
        <v>9993</v>
      </c>
      <c r="B9993" t="str">
        <f t="shared" si="157"/>
        <v>✉</v>
      </c>
    </row>
    <row r="9994" spans="1:2" x14ac:dyDescent="0.25">
      <c r="A9994">
        <v>9994</v>
      </c>
      <c r="B9994" t="str">
        <f t="shared" si="157"/>
        <v>✊</v>
      </c>
    </row>
    <row r="9995" spans="1:2" x14ac:dyDescent="0.25">
      <c r="A9995">
        <v>9995</v>
      </c>
      <c r="B9995" t="str">
        <f t="shared" si="157"/>
        <v>✋</v>
      </c>
    </row>
    <row r="9996" spans="1:2" x14ac:dyDescent="0.25">
      <c r="A9996">
        <v>9996</v>
      </c>
      <c r="B9996" t="str">
        <f t="shared" si="157"/>
        <v>✌</v>
      </c>
    </row>
    <row r="9997" spans="1:2" x14ac:dyDescent="0.25">
      <c r="A9997">
        <v>9997</v>
      </c>
      <c r="B9997" t="str">
        <f t="shared" si="157"/>
        <v>✍</v>
      </c>
    </row>
    <row r="9998" spans="1:2" x14ac:dyDescent="0.25">
      <c r="A9998">
        <v>9998</v>
      </c>
      <c r="B9998" t="str">
        <f t="shared" si="157"/>
        <v>✎</v>
      </c>
    </row>
    <row r="9999" spans="1:2" x14ac:dyDescent="0.25">
      <c r="A9999">
        <v>9999</v>
      </c>
      <c r="B9999" t="str">
        <f t="shared" si="157"/>
        <v>✏</v>
      </c>
    </row>
    <row r="10000" spans="1:2" x14ac:dyDescent="0.25">
      <c r="A10000">
        <v>10000</v>
      </c>
      <c r="B10000" t="str">
        <f t="shared" si="157"/>
        <v>✐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E1FD-D7C9-459C-8AF3-D8EA228276AD}">
  <sheetPr codeName="Hoja32"/>
  <dimension ref="C2:G7"/>
  <sheetViews>
    <sheetView workbookViewId="0">
      <selection activeCell="D2" sqref="D2"/>
    </sheetView>
  </sheetViews>
  <sheetFormatPr baseColWidth="10" defaultRowHeight="15" x14ac:dyDescent="0.25"/>
  <sheetData>
    <row r="2" spans="3:7" x14ac:dyDescent="0.25">
      <c r="D2" t="s">
        <v>162</v>
      </c>
    </row>
    <row r="4" spans="3:7" x14ac:dyDescent="0.25">
      <c r="C4">
        <v>1</v>
      </c>
      <c r="E4">
        <v>4</v>
      </c>
      <c r="G4">
        <f>IF(D2="izquierda",SUM(C4:C7),SUM(E4:E7))</f>
        <v>22</v>
      </c>
    </row>
    <row r="5" spans="3:7" x14ac:dyDescent="0.25">
      <c r="C5">
        <v>2</v>
      </c>
      <c r="E5">
        <v>5</v>
      </c>
    </row>
    <row r="6" spans="3:7" x14ac:dyDescent="0.25">
      <c r="C6">
        <v>3</v>
      </c>
      <c r="E6">
        <v>6</v>
      </c>
    </row>
    <row r="7" spans="3:7" x14ac:dyDescent="0.25">
      <c r="C7">
        <v>4</v>
      </c>
      <c r="E7">
        <v>7</v>
      </c>
    </row>
  </sheetData>
  <dataValidations count="1">
    <dataValidation type="list" allowBlank="1" showInputMessage="1" showErrorMessage="1" sqref="D2" xr:uid="{D5416CCB-364F-4E90-87E2-B1C3DE061C8F}">
      <formula1>"izquierda,derecha"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5227-EAC2-4F63-A80B-3B3A01A5BBC3}">
  <sheetPr codeName="Hoja33"/>
  <dimension ref="A1:A4"/>
  <sheetViews>
    <sheetView workbookViewId="0"/>
  </sheetViews>
  <sheetFormatPr baseColWidth="10" defaultRowHeight="15" x14ac:dyDescent="0.25"/>
  <cols>
    <col min="1" max="1" width="17.7109375" customWidth="1"/>
  </cols>
  <sheetData>
    <row r="1" spans="1:1" x14ac:dyDescent="0.25">
      <c r="A1" s="12" t="s">
        <v>163</v>
      </c>
    </row>
    <row r="2" spans="1:1" x14ac:dyDescent="0.25">
      <c r="A2" s="12" t="s">
        <v>164</v>
      </c>
    </row>
    <row r="3" spans="1:1" x14ac:dyDescent="0.25">
      <c r="A3" s="13" t="s">
        <v>165</v>
      </c>
    </row>
    <row r="4" spans="1:1" x14ac:dyDescent="0.25">
      <c r="A4" s="12" t="s">
        <v>167</v>
      </c>
    </row>
  </sheetData>
  <hyperlinks>
    <hyperlink ref="A1" r:id="rId1" xr:uid="{799E420A-9D05-4ACD-AFBC-DC253C731D9F}"/>
    <hyperlink ref="A2" r:id="rId2" xr:uid="{4B9BE536-D59C-4AE4-8440-29569D653F85}"/>
    <hyperlink ref="A3" location="'TEXTO EN COLUMNAS'!C5" display="Cuadro de mando" xr:uid="{66E0EE98-DB1C-42FD-BED0-678A5F95201B}"/>
    <hyperlink ref="A4" r:id="rId3" xr:uid="{20AD230F-BBAA-4299-9ACD-A1D5434E2365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8C2E-A461-4351-9F67-88F4B8632750}">
  <sheetPr codeName="Hoja34"/>
  <dimension ref="A1:AN11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7" sqref="E7"/>
    </sheetView>
  </sheetViews>
  <sheetFormatPr baseColWidth="10" defaultRowHeight="15" x14ac:dyDescent="0.25"/>
  <cols>
    <col min="1" max="1" width="13.5703125" customWidth="1"/>
  </cols>
  <sheetData>
    <row r="1" spans="1:40" x14ac:dyDescent="0.25">
      <c r="A1" t="s">
        <v>280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  <c r="AE1" t="s">
        <v>310</v>
      </c>
      <c r="AF1" t="s">
        <v>311</v>
      </c>
      <c r="AG1" t="s">
        <v>312</v>
      </c>
      <c r="AH1" t="s">
        <v>313</v>
      </c>
      <c r="AI1" t="s">
        <v>314</v>
      </c>
      <c r="AJ1" t="s">
        <v>315</v>
      </c>
      <c r="AK1" t="s">
        <v>316</v>
      </c>
    </row>
    <row r="2" spans="1:40" x14ac:dyDescent="0.25">
      <c r="A2" t="s">
        <v>281</v>
      </c>
      <c r="B2" t="s">
        <v>282</v>
      </c>
      <c r="C2" t="s">
        <v>283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291</v>
      </c>
      <c r="L2" t="s">
        <v>292</v>
      </c>
      <c r="M2" t="s">
        <v>293</v>
      </c>
      <c r="N2" t="s">
        <v>294</v>
      </c>
      <c r="O2" t="s">
        <v>295</v>
      </c>
      <c r="P2" t="s">
        <v>296</v>
      </c>
      <c r="Q2" t="s">
        <v>297</v>
      </c>
      <c r="R2" t="s">
        <v>298</v>
      </c>
      <c r="S2" t="s">
        <v>299</v>
      </c>
      <c r="T2" t="s">
        <v>300</v>
      </c>
      <c r="U2" t="s">
        <v>301</v>
      </c>
      <c r="V2" t="s">
        <v>302</v>
      </c>
      <c r="W2" t="s">
        <v>303</v>
      </c>
      <c r="X2" t="s">
        <v>304</v>
      </c>
      <c r="Y2" t="s">
        <v>305</v>
      </c>
      <c r="Z2" t="s">
        <v>306</v>
      </c>
      <c r="AA2" t="s">
        <v>307</v>
      </c>
      <c r="AB2" t="s">
        <v>308</v>
      </c>
      <c r="AC2" t="s">
        <v>309</v>
      </c>
      <c r="AD2" t="s">
        <v>310</v>
      </c>
      <c r="AE2" t="s">
        <v>311</v>
      </c>
      <c r="AF2" t="s">
        <v>312</v>
      </c>
      <c r="AG2" t="s">
        <v>313</v>
      </c>
      <c r="AH2" t="s">
        <v>314</v>
      </c>
      <c r="AI2" t="s">
        <v>315</v>
      </c>
      <c r="AJ2" t="s">
        <v>316</v>
      </c>
      <c r="AK2" t="s">
        <v>317</v>
      </c>
    </row>
    <row r="3" spans="1:40" x14ac:dyDescent="0.25">
      <c r="A3" t="s">
        <v>168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 spans="1:40" x14ac:dyDescent="0.25">
      <c r="A4" t="s">
        <v>169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</row>
    <row r="5" spans="1:40" x14ac:dyDescent="0.25">
      <c r="A5" t="s">
        <v>170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</row>
    <row r="6" spans="1:40" x14ac:dyDescent="0.25">
      <c r="A6" t="s">
        <v>171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</row>
    <row r="7" spans="1:40" x14ac:dyDescent="0.25">
      <c r="A7" t="s">
        <v>172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</row>
    <row r="8" spans="1:40" x14ac:dyDescent="0.25">
      <c r="A8" t="s">
        <v>173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</row>
    <row r="9" spans="1:40" x14ac:dyDescent="0.25">
      <c r="A9" t="s">
        <v>174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</row>
    <row r="10" spans="1:40" x14ac:dyDescent="0.25">
      <c r="A10" t="s">
        <v>175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</row>
    <row r="11" spans="1:40" x14ac:dyDescent="0.25">
      <c r="A11" t="s">
        <v>176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</row>
    <row r="12" spans="1:40" x14ac:dyDescent="0.25">
      <c r="A12" t="s">
        <v>177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</row>
    <row r="13" spans="1:40" x14ac:dyDescent="0.25">
      <c r="A13" t="s">
        <v>178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</row>
    <row r="14" spans="1:40" x14ac:dyDescent="0.25">
      <c r="A14" t="s">
        <v>179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</row>
    <row r="15" spans="1:40" x14ac:dyDescent="0.25">
      <c r="A15" t="s">
        <v>180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0" x14ac:dyDescent="0.25">
      <c r="A16" t="s">
        <v>181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</row>
    <row r="17" spans="1:40" x14ac:dyDescent="0.25">
      <c r="A17" t="s">
        <v>182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</row>
    <row r="18" spans="1:40" x14ac:dyDescent="0.25">
      <c r="A18" t="s">
        <v>183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</row>
    <row r="19" spans="1:40" x14ac:dyDescent="0.25">
      <c r="A19" t="s">
        <v>184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</row>
    <row r="20" spans="1:40" x14ac:dyDescent="0.25">
      <c r="A20" t="s">
        <v>185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</row>
    <row r="21" spans="1:40" x14ac:dyDescent="0.25">
      <c r="A21" t="s">
        <v>186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</row>
    <row r="22" spans="1:40" x14ac:dyDescent="0.25">
      <c r="A22" t="s">
        <v>187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</row>
    <row r="23" spans="1:40" x14ac:dyDescent="0.25">
      <c r="A23" t="s">
        <v>188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</row>
    <row r="24" spans="1:40" x14ac:dyDescent="0.25">
      <c r="A24" t="s">
        <v>189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</row>
    <row r="25" spans="1:40" x14ac:dyDescent="0.25">
      <c r="A25" t="s">
        <v>190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</row>
    <row r="26" spans="1:40" x14ac:dyDescent="0.25">
      <c r="A26" t="s">
        <v>191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</row>
    <row r="27" spans="1:40" x14ac:dyDescent="0.25">
      <c r="A27" t="s">
        <v>192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</row>
    <row r="28" spans="1:40" x14ac:dyDescent="0.25">
      <c r="A28" t="s">
        <v>193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</row>
    <row r="29" spans="1:40" x14ac:dyDescent="0.25">
      <c r="A29" t="s">
        <v>194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</row>
    <row r="30" spans="1:40" x14ac:dyDescent="0.25">
      <c r="A30" t="s">
        <v>195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</row>
    <row r="31" spans="1:40" x14ac:dyDescent="0.25">
      <c r="A31" t="s">
        <v>196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</row>
    <row r="32" spans="1:40" x14ac:dyDescent="0.25">
      <c r="A32" t="s">
        <v>197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</row>
    <row r="33" spans="1:40" x14ac:dyDescent="0.25">
      <c r="A33" t="s">
        <v>198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</row>
    <row r="34" spans="1:40" x14ac:dyDescent="0.25">
      <c r="A34" t="s">
        <v>199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</row>
    <row r="35" spans="1:40" x14ac:dyDescent="0.25">
      <c r="A35" t="s">
        <v>200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</row>
    <row r="36" spans="1:40" x14ac:dyDescent="0.25">
      <c r="A36" t="s">
        <v>201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</row>
    <row r="37" spans="1:40" x14ac:dyDescent="0.25">
      <c r="A37" t="s">
        <v>202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</row>
    <row r="38" spans="1:40" x14ac:dyDescent="0.25">
      <c r="A38" t="s">
        <v>203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</row>
    <row r="39" spans="1:40" x14ac:dyDescent="0.25">
      <c r="A39" t="s">
        <v>204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</row>
    <row r="40" spans="1:40" x14ac:dyDescent="0.25">
      <c r="A40" t="s">
        <v>205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</row>
    <row r="41" spans="1:40" x14ac:dyDescent="0.25">
      <c r="A41" t="s">
        <v>206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</row>
    <row r="42" spans="1:40" x14ac:dyDescent="0.25">
      <c r="A42" t="s">
        <v>207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</row>
    <row r="43" spans="1:40" x14ac:dyDescent="0.25">
      <c r="A43" t="s">
        <v>208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</row>
    <row r="44" spans="1:40" x14ac:dyDescent="0.25">
      <c r="A44" t="s">
        <v>209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</row>
    <row r="45" spans="1:40" x14ac:dyDescent="0.25">
      <c r="A45" t="s">
        <v>210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</row>
    <row r="46" spans="1:40" x14ac:dyDescent="0.25">
      <c r="A46" t="s">
        <v>211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</row>
    <row r="47" spans="1:40" x14ac:dyDescent="0.25">
      <c r="A47" t="s">
        <v>212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</row>
    <row r="48" spans="1:40" x14ac:dyDescent="0.25">
      <c r="A48" t="s">
        <v>213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</row>
    <row r="49" spans="1:40" x14ac:dyDescent="0.25">
      <c r="A49" t="s">
        <v>214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</row>
    <row r="50" spans="1:40" x14ac:dyDescent="0.25">
      <c r="A50" t="s">
        <v>215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</row>
    <row r="51" spans="1:40" x14ac:dyDescent="0.25">
      <c r="A51" t="s">
        <v>216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</row>
    <row r="52" spans="1:40" x14ac:dyDescent="0.25">
      <c r="A52" t="s">
        <v>217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</row>
    <row r="53" spans="1:40" x14ac:dyDescent="0.25">
      <c r="A53" t="s">
        <v>218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</row>
    <row r="54" spans="1:40" x14ac:dyDescent="0.25">
      <c r="A54" t="s">
        <v>219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</row>
    <row r="55" spans="1:40" x14ac:dyDescent="0.25">
      <c r="A55" t="s">
        <v>220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</row>
    <row r="56" spans="1:40" x14ac:dyDescent="0.25">
      <c r="A56" t="s">
        <v>221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</row>
    <row r="57" spans="1:40" x14ac:dyDescent="0.25">
      <c r="A57" t="s">
        <v>222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</row>
    <row r="58" spans="1:40" x14ac:dyDescent="0.25">
      <c r="A58" t="s">
        <v>223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</row>
    <row r="59" spans="1:40" x14ac:dyDescent="0.25">
      <c r="A59" t="s">
        <v>224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</row>
    <row r="60" spans="1:40" x14ac:dyDescent="0.25">
      <c r="A60" t="s">
        <v>225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</row>
    <row r="61" spans="1:40" x14ac:dyDescent="0.25">
      <c r="A61" t="s">
        <v>226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</row>
    <row r="62" spans="1:40" x14ac:dyDescent="0.25">
      <c r="A62" t="s">
        <v>227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</row>
    <row r="63" spans="1:40" x14ac:dyDescent="0.25">
      <c r="A63" t="s">
        <v>228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</row>
    <row r="64" spans="1:40" x14ac:dyDescent="0.25">
      <c r="A64" t="s">
        <v>229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</row>
    <row r="65" spans="1:40" x14ac:dyDescent="0.25">
      <c r="A65" t="s">
        <v>230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</row>
    <row r="66" spans="1:40" x14ac:dyDescent="0.25">
      <c r="A66" t="s">
        <v>231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</row>
    <row r="67" spans="1:40" x14ac:dyDescent="0.25">
      <c r="A67" t="s">
        <v>232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</row>
    <row r="68" spans="1:40" x14ac:dyDescent="0.25">
      <c r="A68" t="s">
        <v>233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</row>
    <row r="69" spans="1:40" x14ac:dyDescent="0.25">
      <c r="A69" t="s">
        <v>234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</row>
    <row r="70" spans="1:40" x14ac:dyDescent="0.25">
      <c r="A70" t="s">
        <v>235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</row>
    <row r="71" spans="1:40" x14ac:dyDescent="0.25">
      <c r="A71" t="s">
        <v>236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</row>
    <row r="72" spans="1:40" x14ac:dyDescent="0.25">
      <c r="A72" t="s">
        <v>237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</row>
    <row r="73" spans="1:40" x14ac:dyDescent="0.25">
      <c r="A73" t="s">
        <v>238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</row>
    <row r="74" spans="1:40" x14ac:dyDescent="0.25">
      <c r="A74" t="s">
        <v>239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</row>
    <row r="75" spans="1:40" x14ac:dyDescent="0.25">
      <c r="A75" t="s">
        <v>240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</row>
    <row r="76" spans="1:40" x14ac:dyDescent="0.25">
      <c r="A76" t="s">
        <v>241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</row>
    <row r="77" spans="1:40" x14ac:dyDescent="0.25">
      <c r="A77" t="s">
        <v>242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</row>
    <row r="78" spans="1:40" x14ac:dyDescent="0.25">
      <c r="A78" t="s">
        <v>243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</row>
    <row r="79" spans="1:40" x14ac:dyDescent="0.25">
      <c r="A79" t="s">
        <v>244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</row>
    <row r="80" spans="1:40" x14ac:dyDescent="0.25">
      <c r="A80" t="s">
        <v>245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</row>
    <row r="81" spans="1:40" x14ac:dyDescent="0.25">
      <c r="A81" t="s">
        <v>246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</row>
    <row r="82" spans="1:40" x14ac:dyDescent="0.25">
      <c r="A82" t="s">
        <v>247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</row>
    <row r="83" spans="1:40" x14ac:dyDescent="0.25">
      <c r="A83" t="s">
        <v>248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</row>
    <row r="84" spans="1:40" x14ac:dyDescent="0.25">
      <c r="A84" t="s">
        <v>249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</row>
    <row r="85" spans="1:40" x14ac:dyDescent="0.25">
      <c r="A85" t="s">
        <v>250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</row>
    <row r="86" spans="1:40" x14ac:dyDescent="0.25">
      <c r="A86" t="s">
        <v>251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</row>
    <row r="87" spans="1:40" x14ac:dyDescent="0.25">
      <c r="A87" t="s">
        <v>252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</row>
    <row r="88" spans="1:40" x14ac:dyDescent="0.25">
      <c r="A88" t="s">
        <v>253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</row>
    <row r="89" spans="1:40" x14ac:dyDescent="0.25">
      <c r="A89" t="s">
        <v>254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</row>
    <row r="90" spans="1:40" x14ac:dyDescent="0.25">
      <c r="A90" t="s">
        <v>255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</row>
    <row r="91" spans="1:40" x14ac:dyDescent="0.25">
      <c r="A91" t="s">
        <v>256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</row>
    <row r="92" spans="1:40" x14ac:dyDescent="0.25">
      <c r="A92" t="s">
        <v>257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</row>
    <row r="93" spans="1:40" x14ac:dyDescent="0.25">
      <c r="A93" t="s">
        <v>258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</row>
    <row r="94" spans="1:40" x14ac:dyDescent="0.25">
      <c r="A94" t="s">
        <v>259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</row>
    <row r="95" spans="1:40" x14ac:dyDescent="0.25">
      <c r="A95" t="s">
        <v>260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</row>
    <row r="96" spans="1:40" x14ac:dyDescent="0.25">
      <c r="A96" t="s">
        <v>261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</row>
    <row r="97" spans="1:40" x14ac:dyDescent="0.25">
      <c r="A97" t="s">
        <v>262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</row>
    <row r="98" spans="1:40" x14ac:dyDescent="0.25">
      <c r="A98" t="s">
        <v>263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</row>
    <row r="99" spans="1:40" x14ac:dyDescent="0.25">
      <c r="A99" t="s">
        <v>264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</row>
    <row r="100" spans="1:40" x14ac:dyDescent="0.25">
      <c r="A100" t="s">
        <v>265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</row>
    <row r="101" spans="1:40" x14ac:dyDescent="0.25">
      <c r="A101" t="s">
        <v>266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</row>
    <row r="102" spans="1:40" x14ac:dyDescent="0.25">
      <c r="A102" t="s">
        <v>267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</row>
    <row r="103" spans="1:40" x14ac:dyDescent="0.25">
      <c r="A103" t="s">
        <v>268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</row>
    <row r="104" spans="1:40" x14ac:dyDescent="0.25">
      <c r="A104" t="s">
        <v>269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</row>
    <row r="105" spans="1:40" x14ac:dyDescent="0.25">
      <c r="A105" t="s">
        <v>270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</row>
    <row r="106" spans="1:40" x14ac:dyDescent="0.25">
      <c r="A106" t="s">
        <v>271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</row>
    <row r="107" spans="1:40" x14ac:dyDescent="0.25">
      <c r="A107" t="s">
        <v>272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</row>
    <row r="108" spans="1:40" x14ac:dyDescent="0.25">
      <c r="A108" t="s">
        <v>273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</row>
    <row r="109" spans="1:40" x14ac:dyDescent="0.25">
      <c r="A109" t="s">
        <v>274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</row>
    <row r="110" spans="1:40" x14ac:dyDescent="0.25">
      <c r="A110" t="s">
        <v>275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</row>
    <row r="111" spans="1:40" x14ac:dyDescent="0.25">
      <c r="A111" t="s">
        <v>276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</row>
    <row r="112" spans="1:40" x14ac:dyDescent="0.25">
      <c r="A112" t="s">
        <v>277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</row>
    <row r="113" spans="1:40" x14ac:dyDescent="0.25">
      <c r="A113" t="s">
        <v>278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</row>
    <row r="114" spans="1:40" x14ac:dyDescent="0.25">
      <c r="A114" t="s">
        <v>279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</row>
    <row r="115" spans="1:40" x14ac:dyDescent="0.25"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7C92-4C52-4291-AB31-C8F7A0604DF3}">
  <sheetPr codeName="Hoja35"/>
  <dimension ref="A1:F6"/>
  <sheetViews>
    <sheetView workbookViewId="0">
      <selection activeCell="C2" sqref="C2"/>
    </sheetView>
  </sheetViews>
  <sheetFormatPr baseColWidth="10" defaultRowHeight="15" x14ac:dyDescent="0.25"/>
  <cols>
    <col min="4" max="4" width="29.140625" customWidth="1"/>
  </cols>
  <sheetData>
    <row r="1" spans="1:6" x14ac:dyDescent="0.25">
      <c r="A1" t="s">
        <v>318</v>
      </c>
      <c r="B1" t="s">
        <v>319</v>
      </c>
      <c r="C1" t="s">
        <v>53</v>
      </c>
      <c r="E1" t="s">
        <v>318</v>
      </c>
      <c r="F1" t="s">
        <v>53</v>
      </c>
    </row>
    <row r="2" spans="1:6" x14ac:dyDescent="0.25">
      <c r="A2">
        <v>1</v>
      </c>
      <c r="B2">
        <v>10</v>
      </c>
      <c r="C2" t="e">
        <f>VLOOKUP(A2,$E$1:$F$3,2,FALSE)</f>
        <v>#N/A</v>
      </c>
      <c r="E2">
        <v>2</v>
      </c>
      <c r="F2" t="s">
        <v>320</v>
      </c>
    </row>
    <row r="3" spans="1:6" x14ac:dyDescent="0.25">
      <c r="A3">
        <v>2</v>
      </c>
      <c r="B3">
        <v>11</v>
      </c>
      <c r="C3" t="str">
        <f t="shared" ref="C3:C6" si="0">VLOOKUP(A3,$E$1:$F$3,2,FALSE)</f>
        <v>Azul</v>
      </c>
      <c r="E3">
        <v>5</v>
      </c>
      <c r="F3" t="s">
        <v>321</v>
      </c>
    </row>
    <row r="4" spans="1:6" x14ac:dyDescent="0.25">
      <c r="A4">
        <v>3</v>
      </c>
      <c r="B4">
        <v>12</v>
      </c>
      <c r="C4" t="e">
        <f t="shared" si="0"/>
        <v>#N/A</v>
      </c>
    </row>
    <row r="5" spans="1:6" x14ac:dyDescent="0.25">
      <c r="A5">
        <v>4</v>
      </c>
      <c r="B5">
        <v>13</v>
      </c>
      <c r="C5" t="e">
        <f t="shared" si="0"/>
        <v>#N/A</v>
      </c>
    </row>
    <row r="6" spans="1:6" x14ac:dyDescent="0.25">
      <c r="A6">
        <v>5</v>
      </c>
      <c r="B6">
        <v>14</v>
      </c>
      <c r="C6" t="str">
        <f t="shared" si="0"/>
        <v>Verde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D9CD-4DBD-4E45-84EF-8ED46181F552}">
  <sheetPr codeName="Hoja36"/>
  <dimension ref="A1:B6"/>
  <sheetViews>
    <sheetView workbookViewId="0">
      <selection activeCell="E24" sqref="E24"/>
    </sheetView>
  </sheetViews>
  <sheetFormatPr baseColWidth="10" defaultRowHeight="15" x14ac:dyDescent="0.25"/>
  <cols>
    <col min="1" max="1" width="11.5703125" bestFit="1" customWidth="1"/>
    <col min="2" max="2" width="7.7109375" bestFit="1" customWidth="1"/>
  </cols>
  <sheetData>
    <row r="1" spans="1:2" x14ac:dyDescent="0.25">
      <c r="A1" t="s">
        <v>318</v>
      </c>
      <c r="B1" t="s">
        <v>319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11</v>
      </c>
    </row>
    <row r="4" spans="1:2" x14ac:dyDescent="0.25">
      <c r="A4">
        <v>3</v>
      </c>
      <c r="B4">
        <v>12</v>
      </c>
    </row>
    <row r="5" spans="1:2" x14ac:dyDescent="0.25">
      <c r="A5">
        <v>4</v>
      </c>
      <c r="B5">
        <v>13</v>
      </c>
    </row>
    <row r="6" spans="1:2" x14ac:dyDescent="0.25">
      <c r="A6">
        <v>5</v>
      </c>
      <c r="B6">
        <v>14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922C-9745-4603-B893-FDF7EF8B03E0}">
  <sheetPr codeName="Hoja37"/>
  <dimension ref="A1:B4"/>
  <sheetViews>
    <sheetView workbookViewId="0"/>
  </sheetViews>
  <sheetFormatPr baseColWidth="10" defaultRowHeight="15" x14ac:dyDescent="0.25"/>
  <cols>
    <col min="1" max="1" width="11.5703125" bestFit="1" customWidth="1"/>
    <col min="2" max="2" width="8.28515625" bestFit="1" customWidth="1"/>
  </cols>
  <sheetData>
    <row r="1" spans="1:2" x14ac:dyDescent="0.25">
      <c r="A1" t="s">
        <v>318</v>
      </c>
      <c r="B1" t="s">
        <v>53</v>
      </c>
    </row>
    <row r="2" spans="1:2" x14ac:dyDescent="0.25">
      <c r="A2">
        <v>2</v>
      </c>
      <c r="B2" t="s">
        <v>320</v>
      </c>
    </row>
    <row r="3" spans="1:2" x14ac:dyDescent="0.25">
      <c r="A3">
        <v>5</v>
      </c>
      <c r="B3" t="s">
        <v>321</v>
      </c>
    </row>
    <row r="4" spans="1:2" x14ac:dyDescent="0.25">
      <c r="A4">
        <v>1</v>
      </c>
      <c r="B4" t="s">
        <v>322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500E-DB83-41C0-84A7-5454CB7856D0}">
  <sheetPr codeName="Hoja38"/>
  <dimension ref="A1:C6"/>
  <sheetViews>
    <sheetView workbookViewId="0">
      <selection activeCell="D6" sqref="D6"/>
    </sheetView>
  </sheetViews>
  <sheetFormatPr baseColWidth="10" defaultRowHeight="15" x14ac:dyDescent="0.25"/>
  <cols>
    <col min="1" max="1" width="11.5703125" bestFit="1" customWidth="1"/>
    <col min="2" max="2" width="7.7109375" bestFit="1" customWidth="1"/>
    <col min="3" max="3" width="8.28515625" bestFit="1" customWidth="1"/>
    <col min="4" max="4" width="43.28515625" bestFit="1" customWidth="1"/>
  </cols>
  <sheetData>
    <row r="1" spans="1:3" x14ac:dyDescent="0.25">
      <c r="A1" t="s">
        <v>318</v>
      </c>
      <c r="B1" t="s">
        <v>319</v>
      </c>
      <c r="C1" t="s">
        <v>53</v>
      </c>
    </row>
    <row r="2" spans="1:3" x14ac:dyDescent="0.25">
      <c r="A2">
        <v>1</v>
      </c>
      <c r="B2">
        <v>10</v>
      </c>
      <c r="C2" t="s">
        <v>322</v>
      </c>
    </row>
    <row r="3" spans="1:3" x14ac:dyDescent="0.25">
      <c r="A3">
        <v>2</v>
      </c>
      <c r="B3">
        <v>11</v>
      </c>
      <c r="C3" t="s">
        <v>320</v>
      </c>
    </row>
    <row r="4" spans="1:3" x14ac:dyDescent="0.25">
      <c r="A4">
        <v>3</v>
      </c>
      <c r="B4">
        <v>12</v>
      </c>
    </row>
    <row r="5" spans="1:3" x14ac:dyDescent="0.25">
      <c r="A5">
        <v>4</v>
      </c>
      <c r="B5">
        <v>13</v>
      </c>
    </row>
    <row r="6" spans="1:3" x14ac:dyDescent="0.25">
      <c r="A6">
        <v>5</v>
      </c>
      <c r="B6">
        <v>14</v>
      </c>
      <c r="C6" t="s">
        <v>321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129A-522B-4D85-BAE9-0E3EC4A6AB36}">
  <sheetPr codeName="Hoja39"/>
  <dimension ref="A1:C37"/>
  <sheetViews>
    <sheetView workbookViewId="0">
      <selection activeCell="H24" sqref="H24"/>
    </sheetView>
  </sheetViews>
  <sheetFormatPr baseColWidth="10" defaultRowHeight="15" x14ac:dyDescent="0.25"/>
  <cols>
    <col min="1" max="1" width="10.85546875" bestFit="1" customWidth="1"/>
    <col min="2" max="2" width="6.7109375" bestFit="1" customWidth="1"/>
    <col min="3" max="3" width="10.5703125" bestFit="1" customWidth="1"/>
  </cols>
  <sheetData>
    <row r="1" spans="1:3" x14ac:dyDescent="0.25">
      <c r="A1" t="s">
        <v>12</v>
      </c>
      <c r="B1" t="s">
        <v>323</v>
      </c>
      <c r="C1" t="s">
        <v>324</v>
      </c>
    </row>
    <row r="2" spans="1:3" x14ac:dyDescent="0.25">
      <c r="A2" t="s">
        <v>0</v>
      </c>
      <c r="B2">
        <v>2020</v>
      </c>
      <c r="C2">
        <v>7</v>
      </c>
    </row>
    <row r="3" spans="1:3" x14ac:dyDescent="0.25">
      <c r="A3" t="s">
        <v>1</v>
      </c>
      <c r="B3">
        <v>2020</v>
      </c>
      <c r="C3">
        <v>9</v>
      </c>
    </row>
    <row r="4" spans="1:3" x14ac:dyDescent="0.25">
      <c r="A4" t="s">
        <v>2</v>
      </c>
      <c r="B4">
        <v>2020</v>
      </c>
      <c r="C4">
        <v>8</v>
      </c>
    </row>
    <row r="5" spans="1:3" x14ac:dyDescent="0.25">
      <c r="A5" t="s">
        <v>3</v>
      </c>
      <c r="B5">
        <v>2020</v>
      </c>
      <c r="C5">
        <v>5</v>
      </c>
    </row>
    <row r="6" spans="1:3" x14ac:dyDescent="0.25">
      <c r="A6" t="s">
        <v>4</v>
      </c>
      <c r="B6">
        <v>2020</v>
      </c>
      <c r="C6">
        <v>2</v>
      </c>
    </row>
    <row r="7" spans="1:3" x14ac:dyDescent="0.25">
      <c r="A7" t="s">
        <v>5</v>
      </c>
      <c r="B7">
        <v>2020</v>
      </c>
      <c r="C7">
        <v>1</v>
      </c>
    </row>
    <row r="8" spans="1:3" x14ac:dyDescent="0.25">
      <c r="A8" t="s">
        <v>6</v>
      </c>
      <c r="B8">
        <v>2020</v>
      </c>
      <c r="C8">
        <v>7</v>
      </c>
    </row>
    <row r="9" spans="1:3" x14ac:dyDescent="0.25">
      <c r="A9" t="s">
        <v>7</v>
      </c>
      <c r="B9">
        <v>2020</v>
      </c>
      <c r="C9">
        <v>6</v>
      </c>
    </row>
    <row r="10" spans="1:3" x14ac:dyDescent="0.25">
      <c r="A10" t="s">
        <v>8</v>
      </c>
      <c r="B10">
        <v>2020</v>
      </c>
      <c r="C10">
        <v>8</v>
      </c>
    </row>
    <row r="11" spans="1:3" x14ac:dyDescent="0.25">
      <c r="A11" t="s">
        <v>9</v>
      </c>
      <c r="B11">
        <v>2020</v>
      </c>
      <c r="C11">
        <v>4</v>
      </c>
    </row>
    <row r="12" spans="1:3" x14ac:dyDescent="0.25">
      <c r="A12" t="s">
        <v>10</v>
      </c>
      <c r="B12">
        <v>2020</v>
      </c>
      <c r="C12">
        <v>2</v>
      </c>
    </row>
    <row r="13" spans="1:3" x14ac:dyDescent="0.25">
      <c r="A13" t="s">
        <v>11</v>
      </c>
      <c r="B13">
        <v>2020</v>
      </c>
      <c r="C13">
        <v>10</v>
      </c>
    </row>
    <row r="14" spans="1:3" x14ac:dyDescent="0.25">
      <c r="A14" t="s">
        <v>0</v>
      </c>
      <c r="B14">
        <v>2021</v>
      </c>
      <c r="C14">
        <v>3</v>
      </c>
    </row>
    <row r="15" spans="1:3" x14ac:dyDescent="0.25">
      <c r="A15" t="s">
        <v>1</v>
      </c>
      <c r="B15">
        <v>2021</v>
      </c>
      <c r="C15">
        <v>3</v>
      </c>
    </row>
    <row r="16" spans="1:3" x14ac:dyDescent="0.25">
      <c r="A16" t="s">
        <v>2</v>
      </c>
      <c r="B16">
        <v>2021</v>
      </c>
      <c r="C16">
        <v>5</v>
      </c>
    </row>
    <row r="17" spans="1:3" x14ac:dyDescent="0.25">
      <c r="A17" t="s">
        <v>3</v>
      </c>
      <c r="B17">
        <v>2021</v>
      </c>
      <c r="C17">
        <v>1</v>
      </c>
    </row>
    <row r="18" spans="1:3" x14ac:dyDescent="0.25">
      <c r="A18" t="s">
        <v>4</v>
      </c>
      <c r="B18">
        <v>2021</v>
      </c>
      <c r="C18">
        <v>5</v>
      </c>
    </row>
    <row r="19" spans="1:3" x14ac:dyDescent="0.25">
      <c r="A19" t="s">
        <v>5</v>
      </c>
      <c r="B19">
        <v>2021</v>
      </c>
      <c r="C19">
        <v>8</v>
      </c>
    </row>
    <row r="20" spans="1:3" x14ac:dyDescent="0.25">
      <c r="A20" t="s">
        <v>6</v>
      </c>
      <c r="B20">
        <v>2021</v>
      </c>
      <c r="C20">
        <v>5</v>
      </c>
    </row>
    <row r="21" spans="1:3" x14ac:dyDescent="0.25">
      <c r="A21" t="s">
        <v>7</v>
      </c>
      <c r="B21">
        <v>2021</v>
      </c>
      <c r="C21">
        <v>7</v>
      </c>
    </row>
    <row r="22" spans="1:3" x14ac:dyDescent="0.25">
      <c r="A22" t="s">
        <v>8</v>
      </c>
      <c r="B22">
        <v>2021</v>
      </c>
      <c r="C22">
        <v>5</v>
      </c>
    </row>
    <row r="23" spans="1:3" x14ac:dyDescent="0.25">
      <c r="A23" t="s">
        <v>9</v>
      </c>
      <c r="B23">
        <v>2021</v>
      </c>
      <c r="C23">
        <v>4</v>
      </c>
    </row>
    <row r="24" spans="1:3" x14ac:dyDescent="0.25">
      <c r="A24" t="s">
        <v>10</v>
      </c>
      <c r="B24">
        <v>2021</v>
      </c>
      <c r="C24">
        <v>3</v>
      </c>
    </row>
    <row r="25" spans="1:3" x14ac:dyDescent="0.25">
      <c r="A25" t="s">
        <v>11</v>
      </c>
      <c r="B25">
        <v>2021</v>
      </c>
      <c r="C25">
        <v>6</v>
      </c>
    </row>
    <row r="26" spans="1:3" x14ac:dyDescent="0.25">
      <c r="A26" t="s">
        <v>0</v>
      </c>
      <c r="B26">
        <v>2022</v>
      </c>
      <c r="C26">
        <v>5</v>
      </c>
    </row>
    <row r="27" spans="1:3" x14ac:dyDescent="0.25">
      <c r="A27" t="s">
        <v>1</v>
      </c>
      <c r="B27">
        <v>2022</v>
      </c>
      <c r="C27">
        <v>8</v>
      </c>
    </row>
    <row r="28" spans="1:3" x14ac:dyDescent="0.25">
      <c r="A28" t="s">
        <v>2</v>
      </c>
      <c r="B28">
        <v>2022</v>
      </c>
      <c r="C28">
        <v>5</v>
      </c>
    </row>
    <row r="29" spans="1:3" x14ac:dyDescent="0.25">
      <c r="A29" t="s">
        <v>3</v>
      </c>
      <c r="B29">
        <v>2022</v>
      </c>
      <c r="C29">
        <v>4</v>
      </c>
    </row>
    <row r="30" spans="1:3" x14ac:dyDescent="0.25">
      <c r="A30" t="s">
        <v>4</v>
      </c>
      <c r="B30">
        <v>2022</v>
      </c>
      <c r="C30">
        <v>8</v>
      </c>
    </row>
    <row r="31" spans="1:3" x14ac:dyDescent="0.25">
      <c r="A31" t="s">
        <v>5</v>
      </c>
      <c r="B31">
        <v>2022</v>
      </c>
      <c r="C31">
        <v>7</v>
      </c>
    </row>
    <row r="32" spans="1:3" x14ac:dyDescent="0.25">
      <c r="A32" t="s">
        <v>6</v>
      </c>
      <c r="B32">
        <v>2022</v>
      </c>
      <c r="C32">
        <v>9</v>
      </c>
    </row>
    <row r="33" spans="1:3" x14ac:dyDescent="0.25">
      <c r="A33" t="s">
        <v>7</v>
      </c>
      <c r="B33">
        <v>2022</v>
      </c>
      <c r="C33">
        <v>5</v>
      </c>
    </row>
    <row r="34" spans="1:3" x14ac:dyDescent="0.25">
      <c r="A34" t="s">
        <v>8</v>
      </c>
      <c r="B34">
        <v>2022</v>
      </c>
      <c r="C34">
        <v>7</v>
      </c>
    </row>
    <row r="35" spans="1:3" x14ac:dyDescent="0.25">
      <c r="A35" t="s">
        <v>9</v>
      </c>
      <c r="B35">
        <v>2022</v>
      </c>
      <c r="C35">
        <v>4</v>
      </c>
    </row>
    <row r="36" spans="1:3" x14ac:dyDescent="0.25">
      <c r="A36" t="s">
        <v>10</v>
      </c>
      <c r="B36">
        <v>2022</v>
      </c>
      <c r="C36">
        <v>9</v>
      </c>
    </row>
    <row r="37" spans="1:3" x14ac:dyDescent="0.25">
      <c r="A37" t="s">
        <v>11</v>
      </c>
      <c r="B37">
        <v>2022</v>
      </c>
      <c r="C37">
        <v>6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EA77-1297-47FF-8C2B-6C1E37C8D9BE}">
  <sheetPr codeName="Hoja40"/>
  <dimension ref="A1:B5"/>
  <sheetViews>
    <sheetView workbookViewId="0"/>
  </sheetViews>
  <sheetFormatPr baseColWidth="10" defaultRowHeight="15" x14ac:dyDescent="0.25"/>
  <cols>
    <col min="1" max="1" width="10.5703125" bestFit="1" customWidth="1"/>
    <col min="2" max="2" width="8.28515625" bestFit="1" customWidth="1"/>
  </cols>
  <sheetData>
    <row r="1" spans="1:2" x14ac:dyDescent="0.25">
      <c r="A1" t="s">
        <v>324</v>
      </c>
      <c r="B1" t="s">
        <v>53</v>
      </c>
    </row>
    <row r="2" spans="1:2" x14ac:dyDescent="0.25">
      <c r="A2">
        <v>6</v>
      </c>
      <c r="B2" t="s">
        <v>320</v>
      </c>
    </row>
    <row r="3" spans="1:2" x14ac:dyDescent="0.25">
      <c r="A3">
        <v>5</v>
      </c>
      <c r="B3" t="s">
        <v>321</v>
      </c>
    </row>
    <row r="4" spans="1:2" x14ac:dyDescent="0.25">
      <c r="A4">
        <v>2</v>
      </c>
      <c r="B4" t="s">
        <v>325</v>
      </c>
    </row>
    <row r="5" spans="1:2" x14ac:dyDescent="0.25">
      <c r="A5">
        <v>7</v>
      </c>
      <c r="B5" t="s">
        <v>326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22DF-DFA0-4744-AFCA-BE5F12065782}">
  <sheetPr codeName="Hoja41"/>
  <dimension ref="A1:C13"/>
  <sheetViews>
    <sheetView workbookViewId="0"/>
  </sheetViews>
  <sheetFormatPr baseColWidth="10" defaultRowHeight="15" x14ac:dyDescent="0.25"/>
  <cols>
    <col min="1" max="1" width="10.85546875" bestFit="1" customWidth="1"/>
    <col min="2" max="2" width="6.7109375" bestFit="1" customWidth="1"/>
    <col min="3" max="3" width="10.5703125" bestFit="1" customWidth="1"/>
  </cols>
  <sheetData>
    <row r="1" spans="1:3" x14ac:dyDescent="0.25">
      <c r="A1" t="s">
        <v>12</v>
      </c>
      <c r="B1" t="s">
        <v>323</v>
      </c>
      <c r="C1" t="s">
        <v>324</v>
      </c>
    </row>
    <row r="2" spans="1:3" x14ac:dyDescent="0.25">
      <c r="A2" t="s">
        <v>0</v>
      </c>
      <c r="B2">
        <v>2020</v>
      </c>
      <c r="C2">
        <v>7</v>
      </c>
    </row>
    <row r="3" spans="1:3" x14ac:dyDescent="0.25">
      <c r="A3" t="s">
        <v>1</v>
      </c>
      <c r="B3">
        <v>2020</v>
      </c>
      <c r="C3">
        <v>9</v>
      </c>
    </row>
    <row r="4" spans="1:3" x14ac:dyDescent="0.25">
      <c r="A4" t="s">
        <v>2</v>
      </c>
      <c r="B4">
        <v>2020</v>
      </c>
      <c r="C4">
        <v>8</v>
      </c>
    </row>
    <row r="5" spans="1:3" x14ac:dyDescent="0.25">
      <c r="A5" t="s">
        <v>3</v>
      </c>
      <c r="B5">
        <v>2020</v>
      </c>
      <c r="C5">
        <v>5</v>
      </c>
    </row>
    <row r="6" spans="1:3" x14ac:dyDescent="0.25">
      <c r="A6" t="s">
        <v>4</v>
      </c>
      <c r="B6">
        <v>2020</v>
      </c>
      <c r="C6">
        <v>2</v>
      </c>
    </row>
    <row r="7" spans="1:3" x14ac:dyDescent="0.25">
      <c r="A7" t="s">
        <v>5</v>
      </c>
      <c r="B7">
        <v>2020</v>
      </c>
      <c r="C7">
        <v>1</v>
      </c>
    </row>
    <row r="8" spans="1:3" x14ac:dyDescent="0.25">
      <c r="A8" t="s">
        <v>6</v>
      </c>
      <c r="B8">
        <v>2020</v>
      </c>
      <c r="C8">
        <v>7</v>
      </c>
    </row>
    <row r="9" spans="1:3" x14ac:dyDescent="0.25">
      <c r="A9" t="s">
        <v>7</v>
      </c>
      <c r="B9">
        <v>2020</v>
      </c>
      <c r="C9">
        <v>6</v>
      </c>
    </row>
    <row r="10" spans="1:3" x14ac:dyDescent="0.25">
      <c r="A10" t="s">
        <v>8</v>
      </c>
      <c r="B10">
        <v>2020</v>
      </c>
      <c r="C10">
        <v>8</v>
      </c>
    </row>
    <row r="11" spans="1:3" x14ac:dyDescent="0.25">
      <c r="A11" t="s">
        <v>9</v>
      </c>
      <c r="B11">
        <v>2020</v>
      </c>
      <c r="C11">
        <v>4</v>
      </c>
    </row>
    <row r="12" spans="1:3" x14ac:dyDescent="0.25">
      <c r="A12" t="s">
        <v>10</v>
      </c>
      <c r="B12">
        <v>2020</v>
      </c>
      <c r="C12">
        <v>2</v>
      </c>
    </row>
    <row r="13" spans="1:3" x14ac:dyDescent="0.25">
      <c r="A13" t="s">
        <v>11</v>
      </c>
      <c r="B13">
        <v>2020</v>
      </c>
      <c r="C13">
        <v>10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44FF-DF6C-4B5F-95B1-1CD5B7AF4F8D}">
  <sheetPr codeName="Hoja42"/>
  <dimension ref="A1:C13"/>
  <sheetViews>
    <sheetView workbookViewId="0"/>
  </sheetViews>
  <sheetFormatPr baseColWidth="10" defaultRowHeight="15" x14ac:dyDescent="0.25"/>
  <cols>
    <col min="1" max="1" width="10.85546875" bestFit="1" customWidth="1"/>
    <col min="2" max="2" width="6.7109375" bestFit="1" customWidth="1"/>
    <col min="3" max="3" width="10.5703125" bestFit="1" customWidth="1"/>
  </cols>
  <sheetData>
    <row r="1" spans="1:3" x14ac:dyDescent="0.25">
      <c r="A1" t="s">
        <v>12</v>
      </c>
      <c r="B1" t="s">
        <v>323</v>
      </c>
      <c r="C1" t="s">
        <v>324</v>
      </c>
    </row>
    <row r="2" spans="1:3" x14ac:dyDescent="0.25">
      <c r="A2" t="s">
        <v>0</v>
      </c>
      <c r="B2">
        <v>2022</v>
      </c>
      <c r="C2">
        <v>5</v>
      </c>
    </row>
    <row r="3" spans="1:3" x14ac:dyDescent="0.25">
      <c r="A3" t="s">
        <v>1</v>
      </c>
      <c r="B3">
        <v>2022</v>
      </c>
      <c r="C3">
        <v>8</v>
      </c>
    </row>
    <row r="4" spans="1:3" x14ac:dyDescent="0.25">
      <c r="A4" t="s">
        <v>2</v>
      </c>
      <c r="B4">
        <v>2022</v>
      </c>
      <c r="C4">
        <v>5</v>
      </c>
    </row>
    <row r="5" spans="1:3" x14ac:dyDescent="0.25">
      <c r="A5" t="s">
        <v>3</v>
      </c>
      <c r="B5">
        <v>2022</v>
      </c>
      <c r="C5">
        <v>4</v>
      </c>
    </row>
    <row r="6" spans="1:3" x14ac:dyDescent="0.25">
      <c r="A6" t="s">
        <v>4</v>
      </c>
      <c r="B6">
        <v>2022</v>
      </c>
      <c r="C6">
        <v>8</v>
      </c>
    </row>
    <row r="7" spans="1:3" x14ac:dyDescent="0.25">
      <c r="A7" t="s">
        <v>5</v>
      </c>
      <c r="B7">
        <v>2022</v>
      </c>
      <c r="C7">
        <v>7</v>
      </c>
    </row>
    <row r="8" spans="1:3" x14ac:dyDescent="0.25">
      <c r="A8" t="s">
        <v>6</v>
      </c>
      <c r="B8">
        <v>2022</v>
      </c>
      <c r="C8">
        <v>9</v>
      </c>
    </row>
    <row r="9" spans="1:3" x14ac:dyDescent="0.25">
      <c r="A9" t="s">
        <v>7</v>
      </c>
      <c r="B9">
        <v>2022</v>
      </c>
      <c r="C9">
        <v>5</v>
      </c>
    </row>
    <row r="10" spans="1:3" x14ac:dyDescent="0.25">
      <c r="A10" t="s">
        <v>8</v>
      </c>
      <c r="B10">
        <v>2022</v>
      </c>
      <c r="C10">
        <v>7</v>
      </c>
    </row>
    <row r="11" spans="1:3" x14ac:dyDescent="0.25">
      <c r="A11" t="s">
        <v>9</v>
      </c>
      <c r="B11">
        <v>2022</v>
      </c>
      <c r="C11">
        <v>4</v>
      </c>
    </row>
    <row r="12" spans="1:3" x14ac:dyDescent="0.25">
      <c r="A12" t="s">
        <v>10</v>
      </c>
      <c r="B12">
        <v>2022</v>
      </c>
      <c r="C12">
        <v>9</v>
      </c>
    </row>
    <row r="13" spans="1:3" x14ac:dyDescent="0.25">
      <c r="A13" t="s">
        <v>11</v>
      </c>
      <c r="B13">
        <v>2022</v>
      </c>
      <c r="C13">
        <v>6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62E5-C776-4D03-8B5E-70284321E153}">
  <sheetPr codeName="Hoja43"/>
  <dimension ref="A1:C13"/>
  <sheetViews>
    <sheetView workbookViewId="0"/>
  </sheetViews>
  <sheetFormatPr baseColWidth="10" defaultRowHeight="15" x14ac:dyDescent="0.25"/>
  <cols>
    <col min="1" max="1" width="10.85546875" bestFit="1" customWidth="1"/>
    <col min="2" max="2" width="6.7109375" bestFit="1" customWidth="1"/>
    <col min="3" max="3" width="10.5703125" bestFit="1" customWidth="1"/>
  </cols>
  <sheetData>
    <row r="1" spans="1:3" x14ac:dyDescent="0.25">
      <c r="A1" t="s">
        <v>12</v>
      </c>
      <c r="B1" t="s">
        <v>323</v>
      </c>
      <c r="C1" t="s">
        <v>324</v>
      </c>
    </row>
    <row r="2" spans="1:3" x14ac:dyDescent="0.25">
      <c r="A2" t="s">
        <v>0</v>
      </c>
      <c r="B2">
        <v>2021</v>
      </c>
      <c r="C2">
        <v>3</v>
      </c>
    </row>
    <row r="3" spans="1:3" x14ac:dyDescent="0.25">
      <c r="A3" t="s">
        <v>1</v>
      </c>
      <c r="B3">
        <v>2021</v>
      </c>
      <c r="C3">
        <v>3</v>
      </c>
    </row>
    <row r="4" spans="1:3" x14ac:dyDescent="0.25">
      <c r="A4" t="s">
        <v>2</v>
      </c>
      <c r="B4">
        <v>2021</v>
      </c>
      <c r="C4">
        <v>5</v>
      </c>
    </row>
    <row r="5" spans="1:3" x14ac:dyDescent="0.25">
      <c r="A5" t="s">
        <v>3</v>
      </c>
      <c r="B5">
        <v>2021</v>
      </c>
      <c r="C5">
        <v>1</v>
      </c>
    </row>
    <row r="6" spans="1:3" x14ac:dyDescent="0.25">
      <c r="A6" t="s">
        <v>4</v>
      </c>
      <c r="B6">
        <v>2021</v>
      </c>
      <c r="C6">
        <v>5</v>
      </c>
    </row>
    <row r="7" spans="1:3" x14ac:dyDescent="0.25">
      <c r="A7" t="s">
        <v>5</v>
      </c>
      <c r="B7">
        <v>2021</v>
      </c>
      <c r="C7">
        <v>8</v>
      </c>
    </row>
    <row r="8" spans="1:3" x14ac:dyDescent="0.25">
      <c r="A8" t="s">
        <v>6</v>
      </c>
      <c r="B8">
        <v>2021</v>
      </c>
      <c r="C8">
        <v>5</v>
      </c>
    </row>
    <row r="9" spans="1:3" x14ac:dyDescent="0.25">
      <c r="A9" t="s">
        <v>7</v>
      </c>
      <c r="B9">
        <v>2021</v>
      </c>
      <c r="C9">
        <v>7</v>
      </c>
    </row>
    <row r="10" spans="1:3" x14ac:dyDescent="0.25">
      <c r="A10" t="s">
        <v>8</v>
      </c>
      <c r="B10">
        <v>2021</v>
      </c>
      <c r="C10">
        <v>5</v>
      </c>
    </row>
    <row r="11" spans="1:3" x14ac:dyDescent="0.25">
      <c r="A11" t="s">
        <v>9</v>
      </c>
      <c r="B11">
        <v>2021</v>
      </c>
      <c r="C11">
        <v>4</v>
      </c>
    </row>
    <row r="12" spans="1:3" x14ac:dyDescent="0.25">
      <c r="A12" t="s">
        <v>10</v>
      </c>
      <c r="B12">
        <v>2021</v>
      </c>
      <c r="C12">
        <v>3</v>
      </c>
    </row>
    <row r="13" spans="1:3" x14ac:dyDescent="0.25">
      <c r="A13" t="s">
        <v>11</v>
      </c>
      <c r="B13">
        <v>2021</v>
      </c>
      <c r="C13">
        <v>6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B276-62FB-46A8-A014-2E313675EF6E}">
  <sheetPr codeName="Hoja44"/>
  <dimension ref="A1:D37"/>
  <sheetViews>
    <sheetView topLeftCell="A2" workbookViewId="0">
      <selection activeCell="L17" sqref="L17"/>
    </sheetView>
  </sheetViews>
  <sheetFormatPr baseColWidth="10" defaultRowHeight="15" x14ac:dyDescent="0.25"/>
  <cols>
    <col min="1" max="1" width="10.85546875" bestFit="1" customWidth="1"/>
    <col min="2" max="2" width="6.7109375" bestFit="1" customWidth="1"/>
    <col min="3" max="3" width="10.5703125" bestFit="1" customWidth="1"/>
    <col min="4" max="4" width="8.28515625" bestFit="1" customWidth="1"/>
  </cols>
  <sheetData>
    <row r="1" spans="1:4" x14ac:dyDescent="0.25">
      <c r="A1" t="s">
        <v>12</v>
      </c>
      <c r="B1" t="s">
        <v>323</v>
      </c>
      <c r="C1" t="s">
        <v>324</v>
      </c>
      <c r="D1" t="s">
        <v>53</v>
      </c>
    </row>
    <row r="2" spans="1:4" x14ac:dyDescent="0.25">
      <c r="A2" t="s">
        <v>0</v>
      </c>
      <c r="B2">
        <v>2020</v>
      </c>
      <c r="C2">
        <v>7</v>
      </c>
      <c r="D2" t="s">
        <v>326</v>
      </c>
    </row>
    <row r="3" spans="1:4" x14ac:dyDescent="0.25">
      <c r="A3" t="s">
        <v>1</v>
      </c>
      <c r="B3">
        <v>2020</v>
      </c>
      <c r="C3">
        <v>9</v>
      </c>
    </row>
    <row r="4" spans="1:4" x14ac:dyDescent="0.25">
      <c r="A4" t="s">
        <v>3</v>
      </c>
      <c r="B4">
        <v>2020</v>
      </c>
      <c r="C4">
        <v>5</v>
      </c>
      <c r="D4" t="s">
        <v>321</v>
      </c>
    </row>
    <row r="5" spans="1:4" x14ac:dyDescent="0.25">
      <c r="A5" t="s">
        <v>2</v>
      </c>
      <c r="B5">
        <v>2020</v>
      </c>
      <c r="C5">
        <v>8</v>
      </c>
    </row>
    <row r="6" spans="1:4" x14ac:dyDescent="0.25">
      <c r="A6" t="s">
        <v>4</v>
      </c>
      <c r="B6">
        <v>2020</v>
      </c>
      <c r="C6">
        <v>2</v>
      </c>
      <c r="D6" t="s">
        <v>325</v>
      </c>
    </row>
    <row r="7" spans="1:4" x14ac:dyDescent="0.25">
      <c r="A7" t="s">
        <v>5</v>
      </c>
      <c r="B7">
        <v>2020</v>
      </c>
      <c r="C7">
        <v>1</v>
      </c>
    </row>
    <row r="8" spans="1:4" x14ac:dyDescent="0.25">
      <c r="A8" t="s">
        <v>6</v>
      </c>
      <c r="B8">
        <v>2020</v>
      </c>
      <c r="C8">
        <v>7</v>
      </c>
      <c r="D8" t="s">
        <v>326</v>
      </c>
    </row>
    <row r="9" spans="1:4" x14ac:dyDescent="0.25">
      <c r="A9" t="s">
        <v>7</v>
      </c>
      <c r="B9">
        <v>2020</v>
      </c>
      <c r="C9">
        <v>6</v>
      </c>
      <c r="D9" t="s">
        <v>320</v>
      </c>
    </row>
    <row r="10" spans="1:4" x14ac:dyDescent="0.25">
      <c r="A10" t="s">
        <v>8</v>
      </c>
      <c r="B10">
        <v>2020</v>
      </c>
      <c r="C10">
        <v>8</v>
      </c>
    </row>
    <row r="11" spans="1:4" x14ac:dyDescent="0.25">
      <c r="A11" t="s">
        <v>9</v>
      </c>
      <c r="B11">
        <v>2020</v>
      </c>
      <c r="C11">
        <v>4</v>
      </c>
    </row>
    <row r="12" spans="1:4" x14ac:dyDescent="0.25">
      <c r="A12" t="s">
        <v>10</v>
      </c>
      <c r="B12">
        <v>2020</v>
      </c>
      <c r="C12">
        <v>2</v>
      </c>
      <c r="D12" t="s">
        <v>325</v>
      </c>
    </row>
    <row r="13" spans="1:4" x14ac:dyDescent="0.25">
      <c r="A13" t="s">
        <v>11</v>
      </c>
      <c r="B13">
        <v>2020</v>
      </c>
      <c r="C13">
        <v>10</v>
      </c>
    </row>
    <row r="14" spans="1:4" x14ac:dyDescent="0.25">
      <c r="A14" t="s">
        <v>0</v>
      </c>
      <c r="B14">
        <v>2021</v>
      </c>
      <c r="C14">
        <v>3</v>
      </c>
    </row>
    <row r="15" spans="1:4" x14ac:dyDescent="0.25">
      <c r="A15" t="s">
        <v>1</v>
      </c>
      <c r="B15">
        <v>2021</v>
      </c>
      <c r="C15">
        <v>3</v>
      </c>
    </row>
    <row r="16" spans="1:4" x14ac:dyDescent="0.25">
      <c r="A16" t="s">
        <v>2</v>
      </c>
      <c r="B16">
        <v>2021</v>
      </c>
      <c r="C16">
        <v>5</v>
      </c>
      <c r="D16" t="s">
        <v>321</v>
      </c>
    </row>
    <row r="17" spans="1:4" x14ac:dyDescent="0.25">
      <c r="A17" t="s">
        <v>4</v>
      </c>
      <c r="B17">
        <v>2021</v>
      </c>
      <c r="C17">
        <v>5</v>
      </c>
      <c r="D17" t="s">
        <v>321</v>
      </c>
    </row>
    <row r="18" spans="1:4" x14ac:dyDescent="0.25">
      <c r="A18" t="s">
        <v>3</v>
      </c>
      <c r="B18">
        <v>2021</v>
      </c>
      <c r="C18">
        <v>1</v>
      </c>
    </row>
    <row r="19" spans="1:4" x14ac:dyDescent="0.25">
      <c r="A19" t="s">
        <v>5</v>
      </c>
      <c r="B19">
        <v>2021</v>
      </c>
      <c r="C19">
        <v>8</v>
      </c>
    </row>
    <row r="20" spans="1:4" x14ac:dyDescent="0.25">
      <c r="A20" t="s">
        <v>6</v>
      </c>
      <c r="B20">
        <v>2021</v>
      </c>
      <c r="C20">
        <v>5</v>
      </c>
      <c r="D20" t="s">
        <v>321</v>
      </c>
    </row>
    <row r="21" spans="1:4" x14ac:dyDescent="0.25">
      <c r="A21" t="s">
        <v>7</v>
      </c>
      <c r="B21">
        <v>2021</v>
      </c>
      <c r="C21">
        <v>7</v>
      </c>
      <c r="D21" t="s">
        <v>326</v>
      </c>
    </row>
    <row r="22" spans="1:4" x14ac:dyDescent="0.25">
      <c r="A22" t="s">
        <v>8</v>
      </c>
      <c r="B22">
        <v>2021</v>
      </c>
      <c r="C22">
        <v>5</v>
      </c>
      <c r="D22" t="s">
        <v>321</v>
      </c>
    </row>
    <row r="23" spans="1:4" x14ac:dyDescent="0.25">
      <c r="A23" t="s">
        <v>9</v>
      </c>
      <c r="B23">
        <v>2021</v>
      </c>
      <c r="C23">
        <v>4</v>
      </c>
    </row>
    <row r="24" spans="1:4" x14ac:dyDescent="0.25">
      <c r="A24" t="s">
        <v>10</v>
      </c>
      <c r="B24">
        <v>2021</v>
      </c>
      <c r="C24">
        <v>3</v>
      </c>
    </row>
    <row r="25" spans="1:4" x14ac:dyDescent="0.25">
      <c r="A25" t="s">
        <v>11</v>
      </c>
      <c r="B25">
        <v>2021</v>
      </c>
      <c r="C25">
        <v>6</v>
      </c>
      <c r="D25" t="s">
        <v>320</v>
      </c>
    </row>
    <row r="26" spans="1:4" x14ac:dyDescent="0.25">
      <c r="A26" t="s">
        <v>0</v>
      </c>
      <c r="B26">
        <v>2022</v>
      </c>
      <c r="C26">
        <v>5</v>
      </c>
      <c r="D26" t="s">
        <v>321</v>
      </c>
    </row>
    <row r="27" spans="1:4" x14ac:dyDescent="0.25">
      <c r="A27" t="s">
        <v>2</v>
      </c>
      <c r="B27">
        <v>2022</v>
      </c>
      <c r="C27">
        <v>5</v>
      </c>
      <c r="D27" t="s">
        <v>321</v>
      </c>
    </row>
    <row r="28" spans="1:4" x14ac:dyDescent="0.25">
      <c r="A28" t="s">
        <v>1</v>
      </c>
      <c r="B28">
        <v>2022</v>
      </c>
      <c r="C28">
        <v>8</v>
      </c>
    </row>
    <row r="29" spans="1:4" x14ac:dyDescent="0.25">
      <c r="A29" t="s">
        <v>4</v>
      </c>
      <c r="B29">
        <v>2022</v>
      </c>
      <c r="C29">
        <v>8</v>
      </c>
    </row>
    <row r="30" spans="1:4" x14ac:dyDescent="0.25">
      <c r="A30" t="s">
        <v>3</v>
      </c>
      <c r="B30">
        <v>2022</v>
      </c>
      <c r="C30">
        <v>4</v>
      </c>
    </row>
    <row r="31" spans="1:4" x14ac:dyDescent="0.25">
      <c r="A31" t="s">
        <v>5</v>
      </c>
      <c r="B31">
        <v>2022</v>
      </c>
      <c r="C31">
        <v>7</v>
      </c>
      <c r="D31" t="s">
        <v>326</v>
      </c>
    </row>
    <row r="32" spans="1:4" x14ac:dyDescent="0.25">
      <c r="A32" t="s">
        <v>6</v>
      </c>
      <c r="B32">
        <v>2022</v>
      </c>
      <c r="C32">
        <v>9</v>
      </c>
    </row>
    <row r="33" spans="1:4" x14ac:dyDescent="0.25">
      <c r="A33" t="s">
        <v>7</v>
      </c>
      <c r="B33">
        <v>2022</v>
      </c>
      <c r="C33">
        <v>5</v>
      </c>
      <c r="D33" t="s">
        <v>321</v>
      </c>
    </row>
    <row r="34" spans="1:4" x14ac:dyDescent="0.25">
      <c r="A34" t="s">
        <v>8</v>
      </c>
      <c r="B34">
        <v>2022</v>
      </c>
      <c r="C34">
        <v>7</v>
      </c>
      <c r="D34" t="s">
        <v>326</v>
      </c>
    </row>
    <row r="35" spans="1:4" x14ac:dyDescent="0.25">
      <c r="A35" t="s">
        <v>9</v>
      </c>
      <c r="B35">
        <v>2022</v>
      </c>
      <c r="C35">
        <v>4</v>
      </c>
    </row>
    <row r="36" spans="1:4" x14ac:dyDescent="0.25">
      <c r="A36" t="s">
        <v>10</v>
      </c>
      <c r="B36">
        <v>2022</v>
      </c>
      <c r="C36">
        <v>9</v>
      </c>
    </row>
    <row r="37" spans="1:4" x14ac:dyDescent="0.25">
      <c r="A37" t="s">
        <v>11</v>
      </c>
      <c r="B37">
        <v>2022</v>
      </c>
      <c r="C37">
        <v>6</v>
      </c>
      <c r="D37" t="s">
        <v>320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1A8A-A0AC-42F3-A83A-787314FB4E0C}">
  <sheetPr codeName="Hoja45"/>
  <dimension ref="A1:O14"/>
  <sheetViews>
    <sheetView workbookViewId="0">
      <selection activeCell="N1" sqref="N1"/>
    </sheetView>
  </sheetViews>
  <sheetFormatPr baseColWidth="10" defaultRowHeight="15" x14ac:dyDescent="0.25"/>
  <sheetData>
    <row r="1" spans="1:15" x14ac:dyDescent="0.25">
      <c r="A1">
        <v>1</v>
      </c>
      <c r="B1" cm="1">
        <f t="array" ref="B1:B12">_xlfn.SEQUENCE(12,,1,3)</f>
        <v>1</v>
      </c>
      <c r="C1">
        <v>1</v>
      </c>
      <c r="F1">
        <v>1</v>
      </c>
      <c r="G1">
        <v>1</v>
      </c>
      <c r="H1">
        <v>1</v>
      </c>
      <c r="I1">
        <v>58.797298371063704</v>
      </c>
      <c r="J1" t="s">
        <v>14</v>
      </c>
      <c r="K1" t="s">
        <v>15</v>
      </c>
      <c r="N1" s="2" t="b">
        <v>1</v>
      </c>
      <c r="O1" t="s">
        <v>329</v>
      </c>
    </row>
    <row r="2" spans="1:15" x14ac:dyDescent="0.25">
      <c r="A2">
        <v>2</v>
      </c>
      <c r="B2">
        <v>4</v>
      </c>
      <c r="C2">
        <v>2</v>
      </c>
      <c r="F2">
        <v>2</v>
      </c>
      <c r="G2">
        <v>4</v>
      </c>
      <c r="H2">
        <v>3</v>
      </c>
      <c r="I2">
        <v>58.797298371063704</v>
      </c>
      <c r="J2">
        <v>72.713842200854501</v>
      </c>
      <c r="K2" t="s">
        <v>14</v>
      </c>
      <c r="O2" t="s">
        <v>330</v>
      </c>
    </row>
    <row r="3" spans="1:15" x14ac:dyDescent="0.25">
      <c r="A3">
        <v>3</v>
      </c>
      <c r="B3">
        <v>7</v>
      </c>
      <c r="C3">
        <v>3</v>
      </c>
      <c r="F3">
        <v>3</v>
      </c>
      <c r="G3">
        <v>7</v>
      </c>
      <c r="H3">
        <v>5</v>
      </c>
      <c r="I3">
        <v>58.797298371063704</v>
      </c>
      <c r="J3">
        <v>72.713842200854501</v>
      </c>
      <c r="K3" t="s">
        <v>13</v>
      </c>
    </row>
    <row r="4" spans="1:15" x14ac:dyDescent="0.25">
      <c r="A4">
        <v>4</v>
      </c>
      <c r="B4">
        <v>10</v>
      </c>
      <c r="C4">
        <v>4</v>
      </c>
      <c r="F4">
        <v>4</v>
      </c>
      <c r="G4">
        <v>10</v>
      </c>
      <c r="H4">
        <v>9</v>
      </c>
      <c r="I4">
        <v>58.797298371063704</v>
      </c>
      <c r="J4">
        <v>72.713842200854501</v>
      </c>
      <c r="K4" t="s">
        <v>13</v>
      </c>
    </row>
    <row r="5" spans="1:15" x14ac:dyDescent="0.25">
      <c r="A5">
        <v>5</v>
      </c>
      <c r="B5">
        <v>13</v>
      </c>
      <c r="C5">
        <v>5</v>
      </c>
      <c r="F5">
        <v>5</v>
      </c>
      <c r="G5">
        <v>13</v>
      </c>
      <c r="H5">
        <v>10</v>
      </c>
      <c r="I5">
        <v>58.797298371063704</v>
      </c>
      <c r="J5">
        <v>72.713842200854501</v>
      </c>
      <c r="K5" t="s">
        <v>15</v>
      </c>
    </row>
    <row r="6" spans="1:15" x14ac:dyDescent="0.25">
      <c r="A6">
        <v>6</v>
      </c>
      <c r="B6">
        <v>16</v>
      </c>
      <c r="C6">
        <v>6</v>
      </c>
      <c r="F6">
        <v>6</v>
      </c>
      <c r="G6">
        <v>16</v>
      </c>
      <c r="H6">
        <v>15</v>
      </c>
      <c r="I6">
        <v>58.797298371063704</v>
      </c>
      <c r="J6">
        <v>72.713842200854501</v>
      </c>
      <c r="K6" t="s">
        <v>14</v>
      </c>
      <c r="N6" t="b">
        <f>N1</f>
        <v>1</v>
      </c>
    </row>
    <row r="7" spans="1:15" x14ac:dyDescent="0.25">
      <c r="A7">
        <v>7</v>
      </c>
      <c r="B7">
        <v>19</v>
      </c>
      <c r="C7">
        <v>7</v>
      </c>
      <c r="F7">
        <v>7</v>
      </c>
      <c r="G7">
        <v>19</v>
      </c>
      <c r="H7">
        <v>19</v>
      </c>
      <c r="I7">
        <v>58.797298371063704</v>
      </c>
      <c r="J7">
        <v>72.713842200854501</v>
      </c>
      <c r="K7" t="s">
        <v>13</v>
      </c>
    </row>
    <row r="8" spans="1:15" x14ac:dyDescent="0.25">
      <c r="A8">
        <v>8</v>
      </c>
      <c r="B8">
        <v>22</v>
      </c>
      <c r="C8">
        <v>8</v>
      </c>
      <c r="F8">
        <v>8</v>
      </c>
      <c r="G8">
        <v>22</v>
      </c>
      <c r="H8">
        <v>21</v>
      </c>
      <c r="I8">
        <v>58.797298371063704</v>
      </c>
      <c r="J8">
        <v>72.713842200854501</v>
      </c>
      <c r="K8" t="s">
        <v>13</v>
      </c>
    </row>
    <row r="9" spans="1:15" x14ac:dyDescent="0.25">
      <c r="A9">
        <v>9</v>
      </c>
      <c r="B9">
        <v>25</v>
      </c>
      <c r="C9">
        <v>9</v>
      </c>
      <c r="F9">
        <v>9</v>
      </c>
      <c r="G9">
        <v>25</v>
      </c>
      <c r="H9">
        <v>25</v>
      </c>
      <c r="I9">
        <v>58.797298371063704</v>
      </c>
      <c r="J9">
        <v>72.713842200854501</v>
      </c>
      <c r="K9" t="s">
        <v>15</v>
      </c>
    </row>
    <row r="10" spans="1:15" x14ac:dyDescent="0.25">
      <c r="A10">
        <v>10</v>
      </c>
      <c r="B10">
        <v>28</v>
      </c>
      <c r="C10">
        <v>10</v>
      </c>
      <c r="F10">
        <v>10</v>
      </c>
      <c r="G10">
        <v>28</v>
      </c>
      <c r="H10">
        <v>27</v>
      </c>
      <c r="I10">
        <v>58.797298371063704</v>
      </c>
      <c r="J10">
        <v>72.713842200854501</v>
      </c>
      <c r="K10" t="s">
        <v>14</v>
      </c>
    </row>
    <row r="11" spans="1:15" x14ac:dyDescent="0.25">
      <c r="A11">
        <v>11</v>
      </c>
      <c r="B11">
        <v>31</v>
      </c>
      <c r="C11">
        <v>11</v>
      </c>
      <c r="F11">
        <v>11</v>
      </c>
      <c r="G11">
        <v>31</v>
      </c>
      <c r="H11">
        <v>31</v>
      </c>
      <c r="I11">
        <v>58.797298371063704</v>
      </c>
      <c r="J11">
        <v>72.713842200854501</v>
      </c>
      <c r="K11" t="s">
        <v>13</v>
      </c>
    </row>
    <row r="12" spans="1:15" x14ac:dyDescent="0.25">
      <c r="A12">
        <v>12</v>
      </c>
      <c r="B12">
        <v>34</v>
      </c>
      <c r="C12">
        <v>12</v>
      </c>
      <c r="F12">
        <v>12</v>
      </c>
      <c r="G12">
        <v>34</v>
      </c>
      <c r="H12">
        <v>33</v>
      </c>
      <c r="I12">
        <v>58.797298371063704</v>
      </c>
      <c r="J12">
        <v>72.713842200854501</v>
      </c>
      <c r="K12" t="s">
        <v>15</v>
      </c>
    </row>
    <row r="13" spans="1:15" x14ac:dyDescent="0.25">
      <c r="A13">
        <v>13</v>
      </c>
      <c r="B13">
        <v>37</v>
      </c>
      <c r="C13">
        <v>13</v>
      </c>
      <c r="F13">
        <v>13</v>
      </c>
      <c r="G13">
        <v>37</v>
      </c>
      <c r="H13">
        <v>37</v>
      </c>
      <c r="I13">
        <v>58.797298371063704</v>
      </c>
      <c r="J13">
        <v>72.713842200854501</v>
      </c>
      <c r="K13" t="s">
        <v>14</v>
      </c>
    </row>
    <row r="14" spans="1:15" x14ac:dyDescent="0.25">
      <c r="A14">
        <v>14</v>
      </c>
      <c r="B14">
        <v>40</v>
      </c>
      <c r="C14">
        <v>14</v>
      </c>
    </row>
  </sheetData>
  <phoneticPr fontId="1" type="noConversion"/>
  <conditionalFormatting sqref="A1:A1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{52EA2599-FC59-454E-ABA5-E12B56EC7FE4}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{5A9DEABA-DA0D-488C-8D01-A7D0C9F38377}</x14:id>
        </ext>
      </extLst>
    </cfRule>
  </conditionalFormatting>
  <conditionalFormatting sqref="A1:D2 B3:D12 A3:A14 C13:C14">
    <cfRule type="expression" dxfId="10" priority="3">
      <formula>$D1="Julio"</formula>
    </cfRule>
  </conditionalFormatting>
  <conditionalFormatting sqref="B1">
    <cfRule type="cellIs" dxfId="9" priority="10" operator="greaterThan">
      <formula>7</formula>
    </cfRule>
  </conditionalFormatting>
  <conditionalFormatting sqref="B1:B12">
    <cfRule type="cellIs" dxfId="8" priority="8" operator="greaterThan">
      <formula>17.5</formula>
    </cfRule>
  </conditionalFormatting>
  <conditionalFormatting sqref="B2">
    <cfRule type="cellIs" priority="11" operator="greaterThan">
      <formula>7</formula>
    </cfRule>
    <cfRule type="cellIs" dxfId="7" priority="12" operator="greaterThan">
      <formula>7</formula>
    </cfRule>
  </conditionalFormatting>
  <conditionalFormatting sqref="C1:C14">
    <cfRule type="expression" dxfId="6" priority="4">
      <formula>MOD(C1,3)=0</formula>
    </cfRule>
  </conditionalFormatting>
  <conditionalFormatting sqref="F1:K13">
    <cfRule type="expression" dxfId="5" priority="1">
      <formula>($K1="Luz")*(MOD(SUM($F1:$G1),3)=0)*(casilla)</formula>
    </cfRule>
    <cfRule type="expression" dxfId="4" priority="2">
      <formula>($K1="Agua")*(MOD($H1,5)=0)*(casilla)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EA2599-FC59-454E-ABA5-E12B56EC7FE4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9DEABA-DA0D-488C-8D01-A7D0C9F383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A1:A14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9270-4F17-467B-9E5F-21CD59CD17A4}">
  <sheetPr codeName="Hoja46"/>
  <dimension ref="A1:O40"/>
  <sheetViews>
    <sheetView workbookViewId="0">
      <selection activeCell="K16" sqref="K16"/>
    </sheetView>
  </sheetViews>
  <sheetFormatPr baseColWidth="10" defaultRowHeight="15" x14ac:dyDescent="0.25"/>
  <cols>
    <col min="3" max="3" width="12.5703125" bestFit="1" customWidth="1"/>
    <col min="6" max="6" width="11.7109375" bestFit="1" customWidth="1"/>
  </cols>
  <sheetData>
    <row r="1" spans="1:13" x14ac:dyDescent="0.25">
      <c r="A1" t="s">
        <v>35</v>
      </c>
      <c r="B1" t="s">
        <v>13</v>
      </c>
      <c r="C1" t="s">
        <v>14</v>
      </c>
      <c r="D1" t="s">
        <v>15</v>
      </c>
      <c r="J1" t="s">
        <v>35</v>
      </c>
      <c r="K1" t="s">
        <v>13</v>
      </c>
      <c r="L1" t="s">
        <v>14</v>
      </c>
      <c r="M1" t="s">
        <v>15</v>
      </c>
    </row>
    <row r="2" spans="1:13" x14ac:dyDescent="0.25">
      <c r="A2" t="s">
        <v>0</v>
      </c>
      <c r="B2">
        <v>1</v>
      </c>
      <c r="C2">
        <v>1</v>
      </c>
      <c r="D2">
        <v>1</v>
      </c>
      <c r="J2" t="s">
        <v>1</v>
      </c>
      <c r="K2">
        <f>IFERROR(VLOOKUP($J$2,Recibos2[#All],2,FALSE),"Sin Datos")</f>
        <v>2</v>
      </c>
      <c r="L2">
        <f>IFERROR(VLOOKUP($J$2,Recibos2[#All],3,FALSE),"Sin Datos")</f>
        <v>5</v>
      </c>
      <c r="M2">
        <f>IFERROR(VLOOKUP($J$2,Recibos2[#All],4,FALSE),"Sin Datos")</f>
        <v>3</v>
      </c>
    </row>
    <row r="3" spans="1:13" x14ac:dyDescent="0.25">
      <c r="A3" t="s">
        <v>1</v>
      </c>
      <c r="B3">
        <v>2</v>
      </c>
      <c r="C3">
        <v>5</v>
      </c>
      <c r="D3">
        <v>3</v>
      </c>
    </row>
    <row r="4" spans="1:13" x14ac:dyDescent="0.25">
      <c r="A4" t="s">
        <v>2</v>
      </c>
      <c r="B4">
        <v>3</v>
      </c>
      <c r="C4">
        <v>9</v>
      </c>
      <c r="D4">
        <v>5</v>
      </c>
      <c r="F4">
        <f>SUM(Meses)</f>
        <v>498</v>
      </c>
      <c r="K4" cm="1">
        <f t="array" ref="K4">_xlfn.XLOOKUP($J$2,Recibos2[[Meses]:[Meses]],Luz,"Sin Datos",0,1)</f>
        <v>2</v>
      </c>
      <c r="L4" cm="1">
        <f t="array" ref="L4">_xlfn.XLOOKUP($J$2,Recibos2[[Meses]:[Meses]],Agua,"Sin Datos",0,1)</f>
        <v>5</v>
      </c>
      <c r="M4" cm="1">
        <f t="array" ref="M4">_xlfn.XLOOKUP($J$2,Recibos2[[Meses]:[Meses]],Teléfono,"Sin Datos",0,1)</f>
        <v>3</v>
      </c>
    </row>
    <row r="5" spans="1:13" x14ac:dyDescent="0.25">
      <c r="A5" t="s">
        <v>3</v>
      </c>
      <c r="B5">
        <v>4</v>
      </c>
      <c r="C5">
        <v>13</v>
      </c>
      <c r="D5">
        <v>7</v>
      </c>
    </row>
    <row r="6" spans="1:13" x14ac:dyDescent="0.25">
      <c r="A6" t="s">
        <v>4</v>
      </c>
      <c r="B6">
        <v>5</v>
      </c>
      <c r="C6">
        <v>17</v>
      </c>
      <c r="D6">
        <v>9</v>
      </c>
    </row>
    <row r="7" spans="1:13" x14ac:dyDescent="0.25">
      <c r="A7" t="s">
        <v>5</v>
      </c>
      <c r="B7">
        <v>6</v>
      </c>
      <c r="C7">
        <v>21</v>
      </c>
      <c r="D7">
        <v>11</v>
      </c>
    </row>
    <row r="8" spans="1:13" x14ac:dyDescent="0.25">
      <c r="A8" t="s">
        <v>6</v>
      </c>
      <c r="B8">
        <v>7</v>
      </c>
      <c r="C8">
        <v>25</v>
      </c>
      <c r="D8">
        <v>13</v>
      </c>
      <c r="F8" cm="1">
        <f t="array" ref="F8">Agua Mayo</f>
        <v>17</v>
      </c>
    </row>
    <row r="9" spans="1:13" x14ac:dyDescent="0.25">
      <c r="A9" t="s">
        <v>7</v>
      </c>
      <c r="B9">
        <v>8</v>
      </c>
      <c r="C9">
        <v>29</v>
      </c>
      <c r="D9">
        <v>15</v>
      </c>
      <c r="F9" t="s">
        <v>35</v>
      </c>
    </row>
    <row r="10" spans="1:13" x14ac:dyDescent="0.25">
      <c r="A10" t="s">
        <v>8</v>
      </c>
      <c r="B10">
        <v>9</v>
      </c>
      <c r="C10">
        <v>33</v>
      </c>
      <c r="D10">
        <v>17</v>
      </c>
      <c r="E10" t="s">
        <v>1</v>
      </c>
      <c r="F10" t="s">
        <v>15</v>
      </c>
    </row>
    <row r="11" spans="1:13" x14ac:dyDescent="0.25">
      <c r="A11" t="s">
        <v>9</v>
      </c>
      <c r="B11">
        <v>10</v>
      </c>
      <c r="C11">
        <v>37</v>
      </c>
      <c r="D11">
        <v>19</v>
      </c>
      <c r="F11" cm="1">
        <f t="array" aca="1" ref="F11" ca="1">INDIRECT(F10) INDIRECT(E10)</f>
        <v>3</v>
      </c>
    </row>
    <row r="12" spans="1:13" x14ac:dyDescent="0.25">
      <c r="A12" t="s">
        <v>10</v>
      </c>
      <c r="B12">
        <v>11</v>
      </c>
      <c r="C12">
        <v>41</v>
      </c>
      <c r="D12">
        <v>21</v>
      </c>
    </row>
    <row r="13" spans="1:13" x14ac:dyDescent="0.25">
      <c r="A13" t="s">
        <v>11</v>
      </c>
      <c r="B13">
        <v>12</v>
      </c>
      <c r="C13">
        <v>45</v>
      </c>
      <c r="D13">
        <v>23</v>
      </c>
    </row>
    <row r="14" spans="1:13" x14ac:dyDescent="0.25">
      <c r="A14" t="s">
        <v>331</v>
      </c>
    </row>
    <row r="16" spans="1:13" x14ac:dyDescent="0.25">
      <c r="C16" s="14">
        <v>1</v>
      </c>
      <c r="D16" s="14">
        <v>2</v>
      </c>
      <c r="E16" s="14">
        <v>3</v>
      </c>
    </row>
    <row r="17" spans="2:15" x14ac:dyDescent="0.25">
      <c r="C17" s="14">
        <v>1</v>
      </c>
      <c r="D17" s="14">
        <v>2</v>
      </c>
      <c r="E17" s="14">
        <v>3</v>
      </c>
    </row>
    <row r="18" spans="2:15" ht="15.75" x14ac:dyDescent="0.25">
      <c r="C18" s="14">
        <v>1</v>
      </c>
      <c r="D18" s="14">
        <v>2</v>
      </c>
      <c r="E18" s="14">
        <v>3</v>
      </c>
      <c r="G18" t="str" cm="1">
        <f t="array" ref="G18:I26">_xlfn.MAP(C16:E24,_xlfn.LAMBDA(_xlpm.x,IF(_xlpm.x=1,"patata",_xlpm.x*2)))</f>
        <v>patata</v>
      </c>
      <c r="H18">
        <v>4</v>
      </c>
      <c r="I18">
        <v>6</v>
      </c>
      <c r="K18" cm="1">
        <f t="array" ref="K18:M26">_xlfn.SCAN(0, C16:E24, _xlfn.LAMBDA(_xlpm.acu,_xlpm.act, IF(_xlpm.act&gt;1, _xlpm.acu+_xlpm.act, _xlpm.acu)))</f>
        <v>0</v>
      </c>
      <c r="L18">
        <v>2</v>
      </c>
      <c r="M18">
        <v>5</v>
      </c>
      <c r="O18" s="24"/>
    </row>
    <row r="19" spans="2:15" x14ac:dyDescent="0.25">
      <c r="C19" s="14">
        <v>1</v>
      </c>
      <c r="D19" s="14">
        <v>2</v>
      </c>
      <c r="E19" s="14">
        <v>3</v>
      </c>
      <c r="G19" t="str">
        <v>patata</v>
      </c>
      <c r="H19">
        <v>4</v>
      </c>
      <c r="I19">
        <v>6</v>
      </c>
      <c r="K19">
        <v>5</v>
      </c>
      <c r="L19">
        <v>7</v>
      </c>
      <c r="M19">
        <v>10</v>
      </c>
    </row>
    <row r="20" spans="2:15" x14ac:dyDescent="0.25">
      <c r="C20" s="14">
        <v>1</v>
      </c>
      <c r="D20" s="14">
        <v>2</v>
      </c>
      <c r="E20" s="14">
        <v>3</v>
      </c>
      <c r="G20" t="str">
        <v>patata</v>
      </c>
      <c r="H20">
        <v>4</v>
      </c>
      <c r="I20">
        <v>6</v>
      </c>
      <c r="K20">
        <v>10</v>
      </c>
      <c r="L20">
        <v>12</v>
      </c>
      <c r="M20">
        <v>15</v>
      </c>
    </row>
    <row r="21" spans="2:15" x14ac:dyDescent="0.25">
      <c r="C21" s="14">
        <v>1</v>
      </c>
      <c r="D21" s="14">
        <v>2</v>
      </c>
      <c r="E21" s="14">
        <v>3</v>
      </c>
      <c r="G21" t="str">
        <v>patata</v>
      </c>
      <c r="H21">
        <v>4</v>
      </c>
      <c r="I21">
        <v>6</v>
      </c>
      <c r="K21">
        <v>15</v>
      </c>
      <c r="L21">
        <v>17</v>
      </c>
      <c r="M21">
        <v>20</v>
      </c>
    </row>
    <row r="22" spans="2:15" x14ac:dyDescent="0.25">
      <c r="C22" s="14">
        <v>1</v>
      </c>
      <c r="D22" s="14">
        <v>2</v>
      </c>
      <c r="E22" s="14">
        <v>3</v>
      </c>
      <c r="G22" t="str">
        <v>patata</v>
      </c>
      <c r="H22">
        <v>4</v>
      </c>
      <c r="I22">
        <v>6</v>
      </c>
      <c r="K22">
        <v>20</v>
      </c>
      <c r="L22">
        <v>22</v>
      </c>
      <c r="M22">
        <v>25</v>
      </c>
    </row>
    <row r="23" spans="2:15" x14ac:dyDescent="0.25">
      <c r="C23" s="14">
        <v>1</v>
      </c>
      <c r="D23" s="14">
        <v>2</v>
      </c>
      <c r="E23" s="14">
        <v>3</v>
      </c>
      <c r="G23" t="str">
        <v>patata</v>
      </c>
      <c r="H23">
        <v>4</v>
      </c>
      <c r="I23">
        <v>6</v>
      </c>
      <c r="K23">
        <v>25</v>
      </c>
      <c r="L23">
        <v>27</v>
      </c>
      <c r="M23">
        <v>30</v>
      </c>
    </row>
    <row r="24" spans="2:15" x14ac:dyDescent="0.25">
      <c r="C24" s="14">
        <v>1</v>
      </c>
      <c r="D24" s="14">
        <v>2</v>
      </c>
      <c r="E24" s="14">
        <v>3</v>
      </c>
      <c r="G24" t="str">
        <v>patata</v>
      </c>
      <c r="H24">
        <v>4</v>
      </c>
      <c r="I24">
        <v>6</v>
      </c>
      <c r="K24">
        <v>30</v>
      </c>
      <c r="L24">
        <v>32</v>
      </c>
      <c r="M24">
        <v>35</v>
      </c>
    </row>
    <row r="25" spans="2:15" x14ac:dyDescent="0.25">
      <c r="G25" t="str">
        <v>patata</v>
      </c>
      <c r="H25">
        <v>4</v>
      </c>
      <c r="I25">
        <v>6</v>
      </c>
      <c r="K25">
        <v>35</v>
      </c>
      <c r="L25">
        <v>37</v>
      </c>
      <c r="M25">
        <v>40</v>
      </c>
    </row>
    <row r="26" spans="2:15" x14ac:dyDescent="0.25">
      <c r="G26" t="str">
        <v>patata</v>
      </c>
      <c r="H26">
        <v>4</v>
      </c>
      <c r="I26">
        <v>6</v>
      </c>
      <c r="K26">
        <v>40</v>
      </c>
      <c r="L26">
        <v>42</v>
      </c>
      <c r="M26">
        <v>45</v>
      </c>
    </row>
    <row r="31" spans="2:15" x14ac:dyDescent="0.25">
      <c r="B31">
        <v>32</v>
      </c>
      <c r="C31">
        <v>55</v>
      </c>
      <c r="D31">
        <v>100</v>
      </c>
      <c r="E31">
        <v>27</v>
      </c>
      <c r="F31">
        <v>50</v>
      </c>
      <c r="H31" cm="1">
        <f t="array" ref="H31:L40">_xlfn.SCAN(0,B31:F40,_xlfn.LAMBDA(_xlpm.Memoria,_xlpm.Celda2, IF(MOD(_xlpm.Celda2,5)=0,_xlpm.Celda2+_xlpm.Memoria,_xlpm.Memoria)))</f>
        <v>0</v>
      </c>
      <c r="I31">
        <v>55</v>
      </c>
      <c r="J31">
        <v>155</v>
      </c>
      <c r="K31">
        <v>155</v>
      </c>
      <c r="L31">
        <v>205</v>
      </c>
    </row>
    <row r="32" spans="2:15" x14ac:dyDescent="0.25">
      <c r="B32">
        <v>20</v>
      </c>
      <c r="C32">
        <v>52</v>
      </c>
      <c r="D32">
        <v>42</v>
      </c>
      <c r="E32">
        <v>79</v>
      </c>
      <c r="F32">
        <v>88</v>
      </c>
      <c r="H32">
        <v>225</v>
      </c>
      <c r="I32">
        <v>225</v>
      </c>
      <c r="J32">
        <v>225</v>
      </c>
      <c r="K32">
        <v>225</v>
      </c>
      <c r="L32">
        <v>225</v>
      </c>
    </row>
    <row r="33" spans="2:12" x14ac:dyDescent="0.25">
      <c r="B33">
        <v>27</v>
      </c>
      <c r="C33">
        <v>62</v>
      </c>
      <c r="D33">
        <v>77</v>
      </c>
      <c r="E33">
        <v>16</v>
      </c>
      <c r="F33">
        <v>70</v>
      </c>
      <c r="H33">
        <v>225</v>
      </c>
      <c r="I33">
        <v>225</v>
      </c>
      <c r="J33">
        <v>225</v>
      </c>
      <c r="K33">
        <v>225</v>
      </c>
      <c r="L33">
        <v>295</v>
      </c>
    </row>
    <row r="34" spans="2:12" x14ac:dyDescent="0.25">
      <c r="B34">
        <v>38</v>
      </c>
      <c r="C34">
        <v>47</v>
      </c>
      <c r="D34">
        <v>1</v>
      </c>
      <c r="E34">
        <v>25</v>
      </c>
      <c r="F34">
        <v>72</v>
      </c>
      <c r="H34">
        <v>295</v>
      </c>
      <c r="I34">
        <v>295</v>
      </c>
      <c r="J34">
        <v>295</v>
      </c>
      <c r="K34">
        <v>320</v>
      </c>
      <c r="L34">
        <v>320</v>
      </c>
    </row>
    <row r="35" spans="2:12" x14ac:dyDescent="0.25">
      <c r="B35">
        <v>67</v>
      </c>
      <c r="C35">
        <v>53</v>
      </c>
      <c r="D35">
        <v>97</v>
      </c>
      <c r="E35">
        <v>76</v>
      </c>
      <c r="F35">
        <v>40</v>
      </c>
      <c r="H35">
        <v>320</v>
      </c>
      <c r="I35">
        <v>320</v>
      </c>
      <c r="J35">
        <v>320</v>
      </c>
      <c r="K35">
        <v>320</v>
      </c>
      <c r="L35">
        <v>360</v>
      </c>
    </row>
    <row r="36" spans="2:12" x14ac:dyDescent="0.25">
      <c r="B36">
        <v>35</v>
      </c>
      <c r="C36">
        <v>59</v>
      </c>
      <c r="D36">
        <v>34</v>
      </c>
      <c r="E36">
        <v>18</v>
      </c>
      <c r="F36">
        <v>29</v>
      </c>
      <c r="H36">
        <v>395</v>
      </c>
      <c r="I36">
        <v>395</v>
      </c>
      <c r="J36">
        <v>395</v>
      </c>
      <c r="K36">
        <v>395</v>
      </c>
      <c r="L36">
        <v>395</v>
      </c>
    </row>
    <row r="37" spans="2:12" x14ac:dyDescent="0.25">
      <c r="B37">
        <v>60</v>
      </c>
      <c r="C37">
        <v>70</v>
      </c>
      <c r="D37">
        <v>58</v>
      </c>
      <c r="E37">
        <v>90</v>
      </c>
      <c r="F37">
        <v>91</v>
      </c>
      <c r="H37">
        <v>455</v>
      </c>
      <c r="I37">
        <v>525</v>
      </c>
      <c r="J37">
        <v>525</v>
      </c>
      <c r="K37">
        <v>615</v>
      </c>
      <c r="L37">
        <v>615</v>
      </c>
    </row>
    <row r="38" spans="2:12" x14ac:dyDescent="0.25">
      <c r="B38">
        <v>43</v>
      </c>
      <c r="C38">
        <v>97</v>
      </c>
      <c r="D38">
        <v>83</v>
      </c>
      <c r="E38">
        <v>75</v>
      </c>
      <c r="F38">
        <v>32</v>
      </c>
      <c r="H38">
        <v>615</v>
      </c>
      <c r="I38">
        <v>615</v>
      </c>
      <c r="J38">
        <v>615</v>
      </c>
      <c r="K38">
        <v>690</v>
      </c>
      <c r="L38">
        <v>690</v>
      </c>
    </row>
    <row r="39" spans="2:12" x14ac:dyDescent="0.25">
      <c r="B39">
        <v>88</v>
      </c>
      <c r="C39">
        <v>99</v>
      </c>
      <c r="D39">
        <v>79</v>
      </c>
      <c r="E39">
        <v>9</v>
      </c>
      <c r="F39">
        <v>26</v>
      </c>
      <c r="H39">
        <v>690</v>
      </c>
      <c r="I39">
        <v>690</v>
      </c>
      <c r="J39">
        <v>690</v>
      </c>
      <c r="K39">
        <v>690</v>
      </c>
      <c r="L39">
        <v>690</v>
      </c>
    </row>
    <row r="40" spans="2:12" x14ac:dyDescent="0.25">
      <c r="B40">
        <v>81</v>
      </c>
      <c r="C40">
        <v>77</v>
      </c>
      <c r="D40">
        <v>42</v>
      </c>
      <c r="E40">
        <v>65</v>
      </c>
      <c r="F40">
        <v>93</v>
      </c>
      <c r="H40">
        <v>690</v>
      </c>
      <c r="I40">
        <v>690</v>
      </c>
      <c r="J40">
        <v>690</v>
      </c>
      <c r="K40">
        <v>755</v>
      </c>
      <c r="L40">
        <v>755</v>
      </c>
    </row>
  </sheetData>
  <dataValidations disablePrompts="1" count="3">
    <dataValidation type="list" allowBlank="1" showInputMessage="1" showErrorMessage="1" promptTitle="SELECTOR DE MES" prompt="Selecciona el mes" sqref="E10" xr:uid="{E774CAC6-D943-4043-A47E-CAB184E4712D}">
      <formula1>$A$2:$A$14</formula1>
    </dataValidation>
    <dataValidation type="list" allowBlank="1" showInputMessage="1" showErrorMessage="1" promptTitle="TIPO DE FACTURA" prompt="Selecciona el tipo de factura_x000a_" sqref="F10" xr:uid="{F2940527-D4E7-48E3-91EA-684E75B35DA0}">
      <formula1>$B$1:$D$1</formula1>
    </dataValidation>
    <dataValidation type="list" allowBlank="1" showInputMessage="1" showErrorMessage="1" sqref="J2" xr:uid="{1D2D6988-EDFF-485C-9C82-38E53D50A04A}">
      <formula1>$A$2:$A$14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9733-D34D-459D-BD4D-478A54B8B498}">
  <sheetPr codeName="Hoja47"/>
  <dimension ref="A1:N13"/>
  <sheetViews>
    <sheetView workbookViewId="0">
      <selection activeCell="J3" sqref="J3"/>
    </sheetView>
  </sheetViews>
  <sheetFormatPr baseColWidth="10" defaultRowHeight="15" x14ac:dyDescent="0.25"/>
  <cols>
    <col min="8" max="9" width="11.7109375" bestFit="1" customWidth="1"/>
    <col min="11" max="11" width="16.5703125" customWidth="1"/>
    <col min="13" max="13" width="14.42578125" customWidth="1"/>
    <col min="14" max="14" width="37.85546875" customWidth="1"/>
  </cols>
  <sheetData>
    <row r="1" spans="1:14" x14ac:dyDescent="0.25">
      <c r="A1" s="16"/>
      <c r="B1" s="16"/>
      <c r="C1" s="16"/>
      <c r="D1" s="16" t="s">
        <v>334</v>
      </c>
      <c r="E1" s="16"/>
      <c r="F1" s="16"/>
      <c r="G1" s="16"/>
    </row>
    <row r="2" spans="1:14" x14ac:dyDescent="0.25">
      <c r="A2" s="16"/>
      <c r="B2" s="16"/>
      <c r="C2" s="16" t="s">
        <v>334</v>
      </c>
      <c r="D2" s="16"/>
      <c r="E2" s="16"/>
      <c r="F2" s="16"/>
      <c r="G2" s="16"/>
      <c r="H2" t="s">
        <v>332</v>
      </c>
      <c r="I2" t="s">
        <v>333</v>
      </c>
      <c r="J2" t="s">
        <v>335</v>
      </c>
      <c r="K2" t="s">
        <v>336</v>
      </c>
      <c r="M2" t="s">
        <v>338</v>
      </c>
      <c r="N2" t="s">
        <v>339</v>
      </c>
    </row>
    <row r="3" spans="1:14" x14ac:dyDescent="0.25">
      <c r="A3" s="16"/>
      <c r="B3" s="16" t="s">
        <v>334</v>
      </c>
      <c r="C3" s="16" t="s">
        <v>334</v>
      </c>
      <c r="D3" s="16" t="s">
        <v>334</v>
      </c>
      <c r="E3" s="16"/>
      <c r="F3" s="16"/>
      <c r="G3" s="16"/>
      <c r="H3" s="4">
        <v>3</v>
      </c>
      <c r="I3" s="15">
        <v>2</v>
      </c>
      <c r="J3" t="s">
        <v>337</v>
      </c>
      <c r="K3">
        <f>CODE(J3)-64</f>
        <v>7</v>
      </c>
      <c r="M3">
        <v>2</v>
      </c>
      <c r="N3" t="str" cm="1">
        <f t="array" ref="N3">IF(ISNUMBER(M13),INDEX(A1:G10,H3,I3),LEFT(UPPER(I3),1))</f>
        <v>2</v>
      </c>
    </row>
    <row r="4" spans="1:14" x14ac:dyDescent="0.25">
      <c r="A4" s="16"/>
      <c r="B4" s="16"/>
      <c r="C4" s="16"/>
      <c r="D4" s="16"/>
      <c r="E4" s="16"/>
      <c r="F4" s="16"/>
      <c r="G4" s="16"/>
    </row>
    <row r="5" spans="1:14" x14ac:dyDescent="0.25">
      <c r="A5" s="16"/>
      <c r="B5" s="16"/>
      <c r="C5" s="16"/>
      <c r="D5" s="16"/>
      <c r="E5" s="16"/>
      <c r="F5" s="16"/>
      <c r="G5" s="16"/>
      <c r="H5" t="str" cm="1">
        <f t="array" aca="1" ref="H5" ca="1">IFERROR(IF(INDEX(A1:G10,H3,I3)="X","Tocado","Agua"),IF((INDIRECT(I3&amp;H3)="X"),"Tocado","Agua"))</f>
        <v>Tocado</v>
      </c>
    </row>
    <row r="6" spans="1:14" x14ac:dyDescent="0.25">
      <c r="A6" s="16"/>
      <c r="B6" s="16"/>
      <c r="C6" s="16"/>
      <c r="D6" s="16"/>
      <c r="E6" s="16"/>
      <c r="F6" s="16"/>
      <c r="G6" s="16"/>
      <c r="J6" t="str">
        <f>J3&amp;1</f>
        <v>G1</v>
      </c>
    </row>
    <row r="7" spans="1:14" x14ac:dyDescent="0.25">
      <c r="A7" s="16"/>
      <c r="B7" s="16"/>
      <c r="C7" s="16"/>
      <c r="D7" s="16"/>
      <c r="E7" s="16"/>
      <c r="F7" s="16"/>
      <c r="G7" s="16"/>
      <c r="J7" cm="1">
        <f t="array" aca="1" ref="J7" ca="1">INDIRECT(J6)</f>
        <v>0</v>
      </c>
    </row>
    <row r="8" spans="1:14" x14ac:dyDescent="0.25">
      <c r="A8" s="16"/>
      <c r="B8" s="16"/>
      <c r="C8" s="16"/>
      <c r="D8" s="16"/>
      <c r="E8" s="16"/>
      <c r="F8" s="16"/>
      <c r="G8" s="16"/>
      <c r="H8" t="e">
        <f ca="1">IF(H5="Agua",H5,"Tocado")+IF(H6="Agua",H6,"Tocado")</f>
        <v>#VALUE!</v>
      </c>
    </row>
    <row r="9" spans="1:14" x14ac:dyDescent="0.25">
      <c r="A9" s="16"/>
      <c r="B9" s="16"/>
      <c r="C9" s="16"/>
      <c r="D9" s="16"/>
      <c r="E9" s="16"/>
      <c r="F9" s="16"/>
      <c r="G9" s="16"/>
      <c r="K9">
        <f>COLUMN(J3)</f>
        <v>10</v>
      </c>
    </row>
    <row r="10" spans="1:14" x14ac:dyDescent="0.25">
      <c r="A10" s="16"/>
      <c r="B10" s="16"/>
      <c r="C10" s="16"/>
      <c r="D10" s="16"/>
      <c r="E10" s="16"/>
      <c r="F10" s="16"/>
      <c r="G10" s="16"/>
    </row>
    <row r="11" spans="1:14" x14ac:dyDescent="0.25">
      <c r="I11" t="str">
        <f>I3&amp;H3</f>
        <v>23</v>
      </c>
    </row>
    <row r="12" spans="1:14" x14ac:dyDescent="0.25">
      <c r="I12" t="e" cm="1">
        <f t="array" aca="1" ref="I12" ca="1">INDIRECT(I11)</f>
        <v>#REF!</v>
      </c>
    </row>
    <row r="13" spans="1:14" x14ac:dyDescent="0.25">
      <c r="I13" t="e">
        <f ca="1">I12</f>
        <v>#REF!</v>
      </c>
    </row>
  </sheetData>
  <dataValidations count="2">
    <dataValidation type="whole" allowBlank="1" showInputMessage="1" showErrorMessage="1" sqref="H3" xr:uid="{F51721B1-70A0-42B5-8AE0-D2451BFDD0D2}">
      <formula1>1</formula1>
      <formula2>10</formula2>
    </dataValidation>
    <dataValidation type="list" allowBlank="1" showInputMessage="1" showErrorMessage="1" sqref="J3" xr:uid="{7845B420-6D90-4878-A777-1AC00A3B4317}">
      <formula1>"A,B,C,D,E,F,G"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8FFE-966A-48B8-BE08-E158F74613EE}">
  <sheetPr codeName="Hoja48"/>
  <dimension ref="A1:BJ116"/>
  <sheetViews>
    <sheetView workbookViewId="0"/>
  </sheetViews>
  <sheetFormatPr baseColWidth="10" defaultRowHeight="15" x14ac:dyDescent="0.25"/>
  <cols>
    <col min="5" max="5" width="16.42578125" customWidth="1"/>
    <col min="7" max="8" width="11.7109375" bestFit="1" customWidth="1"/>
    <col min="10" max="10" width="20" bestFit="1" customWidth="1"/>
    <col min="11" max="11" width="17.85546875" bestFit="1" customWidth="1"/>
    <col min="12" max="12" width="12.140625" bestFit="1" customWidth="1"/>
  </cols>
  <sheetData>
    <row r="1" spans="1:16" x14ac:dyDescent="0.25">
      <c r="A1" t="s">
        <v>35</v>
      </c>
      <c r="B1" t="s">
        <v>13</v>
      </c>
    </row>
    <row r="2" spans="1:16" x14ac:dyDescent="0.25">
      <c r="A2" t="s">
        <v>0</v>
      </c>
      <c r="B2">
        <v>5</v>
      </c>
      <c r="E2" t="s">
        <v>343</v>
      </c>
    </row>
    <row r="3" spans="1:16" x14ac:dyDescent="0.25">
      <c r="A3" t="s">
        <v>1</v>
      </c>
      <c r="B3">
        <v>7</v>
      </c>
      <c r="E3">
        <v>6</v>
      </c>
      <c r="G3" t="e" cm="1">
        <f t="array" ref="G3">_xlfn._xlws.SORT(º)</f>
        <v>#NAME?</v>
      </c>
    </row>
    <row r="4" spans="1:16" x14ac:dyDescent="0.25">
      <c r="A4" t="s">
        <v>2</v>
      </c>
      <c r="B4">
        <v>6</v>
      </c>
    </row>
    <row r="5" spans="1:16" x14ac:dyDescent="0.25">
      <c r="A5" t="s">
        <v>3</v>
      </c>
      <c r="B5">
        <v>1</v>
      </c>
    </row>
    <row r="6" spans="1:16" x14ac:dyDescent="0.25">
      <c r="A6" t="s">
        <v>4</v>
      </c>
      <c r="B6">
        <v>6</v>
      </c>
    </row>
    <row r="7" spans="1:16" x14ac:dyDescent="0.25">
      <c r="A7" t="s">
        <v>5</v>
      </c>
      <c r="B7">
        <v>0</v>
      </c>
    </row>
    <row r="8" spans="1:16" x14ac:dyDescent="0.25">
      <c r="A8" t="s">
        <v>6</v>
      </c>
      <c r="B8">
        <v>5</v>
      </c>
    </row>
    <row r="9" spans="1:16" x14ac:dyDescent="0.25">
      <c r="A9" t="s">
        <v>7</v>
      </c>
      <c r="B9">
        <v>10</v>
      </c>
    </row>
    <row r="10" spans="1:16" x14ac:dyDescent="0.25">
      <c r="A10" t="s">
        <v>8</v>
      </c>
      <c r="B10">
        <v>1</v>
      </c>
      <c r="P10" t="s">
        <v>0</v>
      </c>
    </row>
    <row r="11" spans="1:16" x14ac:dyDescent="0.25">
      <c r="A11" t="s">
        <v>9</v>
      </c>
      <c r="B11">
        <v>2</v>
      </c>
      <c r="K11" s="17" t="s">
        <v>340</v>
      </c>
      <c r="L11" t="s">
        <v>342</v>
      </c>
      <c r="P11" t="s">
        <v>1</v>
      </c>
    </row>
    <row r="12" spans="1:16" x14ac:dyDescent="0.25">
      <c r="A12" t="s">
        <v>10</v>
      </c>
      <c r="B12">
        <v>8</v>
      </c>
      <c r="K12" s="18" t="s">
        <v>0</v>
      </c>
      <c r="L12">
        <v>8</v>
      </c>
      <c r="P12" t="s">
        <v>2</v>
      </c>
    </row>
    <row r="13" spans="1:16" x14ac:dyDescent="0.25">
      <c r="A13" t="s">
        <v>11</v>
      </c>
      <c r="B13">
        <v>5</v>
      </c>
      <c r="G13" t="str" cm="1">
        <f t="array" ref="G13:I18">_xlfn.SORTBY(_xlfn.TAKE(_xlfn.GROUPBY(A2:B23,B2:B23,_xleta.SUM,0,0,-2),E3),_xlfn.CHOOSECOLS(_xlfn.TAKE(_xlfn.GROUPBY(A2:B23,B2:B23,_xleta.SUM,0,0,-2),E3),1))</f>
        <v>Abril</v>
      </c>
      <c r="H13">
        <v>7</v>
      </c>
      <c r="I13">
        <v>7</v>
      </c>
      <c r="K13" s="18" t="s">
        <v>1</v>
      </c>
      <c r="L13">
        <v>11</v>
      </c>
      <c r="P13" t="s">
        <v>3</v>
      </c>
    </row>
    <row r="14" spans="1:16" x14ac:dyDescent="0.25">
      <c r="A14" t="s">
        <v>0</v>
      </c>
      <c r="B14">
        <v>3</v>
      </c>
      <c r="G14" t="str">
        <v>Abril</v>
      </c>
      <c r="H14">
        <v>1</v>
      </c>
      <c r="I14">
        <v>1</v>
      </c>
      <c r="K14" s="18" t="s">
        <v>2</v>
      </c>
      <c r="L14">
        <v>8</v>
      </c>
      <c r="P14" t="s">
        <v>4</v>
      </c>
    </row>
    <row r="15" spans="1:16" x14ac:dyDescent="0.25">
      <c r="A15" t="s">
        <v>1</v>
      </c>
      <c r="B15">
        <v>4</v>
      </c>
      <c r="G15" t="str">
        <v>Agosto</v>
      </c>
      <c r="H15">
        <v>10</v>
      </c>
      <c r="I15">
        <v>10</v>
      </c>
      <c r="K15" s="18" t="s">
        <v>3</v>
      </c>
      <c r="L15">
        <v>8</v>
      </c>
      <c r="P15" t="s">
        <v>5</v>
      </c>
    </row>
    <row r="16" spans="1:16" x14ac:dyDescent="0.25">
      <c r="A16" t="s">
        <v>2</v>
      </c>
      <c r="B16">
        <v>2</v>
      </c>
      <c r="G16" t="str">
        <v>Agosto</v>
      </c>
      <c r="H16">
        <v>3</v>
      </c>
      <c r="I16">
        <v>3</v>
      </c>
      <c r="K16" s="18" t="s">
        <v>4</v>
      </c>
      <c r="L16">
        <v>9</v>
      </c>
      <c r="P16" t="s">
        <v>6</v>
      </c>
    </row>
    <row r="17" spans="1:62" x14ac:dyDescent="0.25">
      <c r="A17" t="s">
        <v>3</v>
      </c>
      <c r="B17">
        <v>7</v>
      </c>
      <c r="G17" t="str">
        <v>Diciembre</v>
      </c>
      <c r="H17">
        <v>5</v>
      </c>
      <c r="I17">
        <v>5</v>
      </c>
      <c r="K17" s="18" t="s">
        <v>6</v>
      </c>
      <c r="L17">
        <v>15</v>
      </c>
      <c r="P17" t="s">
        <v>7</v>
      </c>
    </row>
    <row r="18" spans="1:62" x14ac:dyDescent="0.25">
      <c r="A18" t="s">
        <v>4</v>
      </c>
      <c r="B18">
        <v>3</v>
      </c>
      <c r="G18" t="str">
        <v>Enero</v>
      </c>
      <c r="H18">
        <v>5</v>
      </c>
      <c r="I18">
        <v>5</v>
      </c>
      <c r="K18" s="18" t="s">
        <v>7</v>
      </c>
      <c r="L18">
        <v>13</v>
      </c>
      <c r="P18" t="s">
        <v>8</v>
      </c>
    </row>
    <row r="19" spans="1:62" x14ac:dyDescent="0.25">
      <c r="A19" t="s">
        <v>5</v>
      </c>
      <c r="B19">
        <v>3</v>
      </c>
      <c r="K19" s="18" t="s">
        <v>9</v>
      </c>
      <c r="L19">
        <v>11</v>
      </c>
      <c r="P19" t="s">
        <v>9</v>
      </c>
    </row>
    <row r="20" spans="1:62" x14ac:dyDescent="0.25">
      <c r="A20" t="s">
        <v>6</v>
      </c>
      <c r="B20">
        <v>10</v>
      </c>
      <c r="K20" s="18" t="s">
        <v>10</v>
      </c>
      <c r="L20">
        <v>8</v>
      </c>
      <c r="P20" t="s">
        <v>10</v>
      </c>
    </row>
    <row r="21" spans="1:62" x14ac:dyDescent="0.25">
      <c r="A21" t="s">
        <v>7</v>
      </c>
      <c r="B21">
        <v>3</v>
      </c>
      <c r="K21" s="18" t="s">
        <v>341</v>
      </c>
      <c r="L21">
        <v>91</v>
      </c>
      <c r="P21" t="s">
        <v>11</v>
      </c>
    </row>
    <row r="22" spans="1:62" x14ac:dyDescent="0.25">
      <c r="A22" t="s">
        <v>8</v>
      </c>
      <c r="B22">
        <v>1</v>
      </c>
    </row>
    <row r="23" spans="1:62" x14ac:dyDescent="0.25">
      <c r="A23" t="s">
        <v>9</v>
      </c>
      <c r="B23">
        <v>9</v>
      </c>
    </row>
    <row r="29" spans="1:62" x14ac:dyDescent="0.25">
      <c r="F29" t="str" cm="1">
        <f t="array" aca="1" ref="F29:I41" ca="1">_xlfn.VSTACK(TRANSPOSE({"Meses";"Luz";"Agua";"Teléfono"}),_xlfn.HSTACK(PROPER(TEXT(DATE(2026,_xlfn.SEQUENCE(12),1),"mmmm")),_xlfn.RANDARRAY(12,3,25,75,FALSE)))</f>
        <v>Meses</v>
      </c>
      <c r="G29" t="str">
        <f ca="1"/>
        <v>Luz</v>
      </c>
      <c r="H29" t="str">
        <f ca="1"/>
        <v>Agua</v>
      </c>
      <c r="I29" t="str">
        <f ca="1"/>
        <v>Teléfono</v>
      </c>
      <c r="K29" t="str" cm="1">
        <f t="array" aca="1" ref="K29:BJ29" ca="1">_xlfn.TOROW(_xlfn.ANCHORARRAY(F29),0,FALSE)</f>
        <v>Meses</v>
      </c>
      <c r="L29" t="str">
        <f ca="1"/>
        <v>Luz</v>
      </c>
      <c r="M29" t="str">
        <f ca="1"/>
        <v>Agua</v>
      </c>
      <c r="N29" t="str">
        <f ca="1"/>
        <v>Teléfono</v>
      </c>
      <c r="O29" t="str">
        <f ca="1"/>
        <v>Enero</v>
      </c>
      <c r="P29">
        <f ca="1"/>
        <v>66.016372855223054</v>
      </c>
      <c r="Q29">
        <f ca="1"/>
        <v>53.171085360235523</v>
      </c>
      <c r="R29">
        <f ca="1"/>
        <v>35.156820853273203</v>
      </c>
      <c r="S29" t="str">
        <f ca="1"/>
        <v>Febrero</v>
      </c>
      <c r="T29">
        <f ca="1"/>
        <v>71.359214578469334</v>
      </c>
      <c r="U29">
        <f ca="1"/>
        <v>52.656309283706364</v>
      </c>
      <c r="V29">
        <f ca="1"/>
        <v>42.521922371844624</v>
      </c>
      <c r="W29" t="str">
        <f ca="1"/>
        <v>Marzo</v>
      </c>
      <c r="X29">
        <f ca="1"/>
        <v>32.683648130955405</v>
      </c>
      <c r="Y29">
        <f ca="1"/>
        <v>67.645747854549981</v>
      </c>
      <c r="Z29">
        <f ca="1"/>
        <v>43.376959641993594</v>
      </c>
      <c r="AA29" t="str">
        <f ca="1"/>
        <v>Abril</v>
      </c>
      <c r="AB29">
        <f ca="1"/>
        <v>59.815888185126894</v>
      </c>
      <c r="AC29">
        <f ca="1"/>
        <v>25.789099426171745</v>
      </c>
      <c r="AD29">
        <f ca="1"/>
        <v>70.824834740042391</v>
      </c>
      <c r="AE29" t="str">
        <f ca="1"/>
        <v>Mayo</v>
      </c>
      <c r="AF29">
        <f ca="1"/>
        <v>27.310673910424811</v>
      </c>
      <c r="AG29">
        <f ca="1"/>
        <v>55.614888333385409</v>
      </c>
      <c r="AH29">
        <f ca="1"/>
        <v>32.349687217212562</v>
      </c>
      <c r="AI29" t="str">
        <f ca="1"/>
        <v>Junio</v>
      </c>
      <c r="AJ29">
        <f ca="1"/>
        <v>31.118893184266256</v>
      </c>
      <c r="AK29">
        <f ca="1"/>
        <v>50.564414842091708</v>
      </c>
      <c r="AL29">
        <f ca="1"/>
        <v>58.844879882299907</v>
      </c>
      <c r="AM29" t="str">
        <f ca="1"/>
        <v>Julio</v>
      </c>
      <c r="AN29">
        <f ca="1"/>
        <v>61.936002381800918</v>
      </c>
      <c r="AO29">
        <f ca="1"/>
        <v>47.059079106986559</v>
      </c>
      <c r="AP29">
        <f ca="1"/>
        <v>55.263673701841327</v>
      </c>
      <c r="AQ29" t="str">
        <f ca="1"/>
        <v>Agosto</v>
      </c>
      <c r="AR29">
        <f ca="1"/>
        <v>50.813040094835173</v>
      </c>
      <c r="AS29">
        <f ca="1"/>
        <v>32.918373954133543</v>
      </c>
      <c r="AT29">
        <f ca="1"/>
        <v>71.196837497258201</v>
      </c>
      <c r="AU29" t="str">
        <f ca="1"/>
        <v>Septiembre</v>
      </c>
      <c r="AV29">
        <f ca="1"/>
        <v>73.301577919758145</v>
      </c>
      <c r="AW29">
        <f ca="1"/>
        <v>73.892401904197229</v>
      </c>
      <c r="AX29">
        <f ca="1"/>
        <v>46.121707764064382</v>
      </c>
      <c r="AY29" t="str">
        <f ca="1"/>
        <v>Octubre</v>
      </c>
      <c r="AZ29">
        <f ca="1"/>
        <v>58.839613137766477</v>
      </c>
      <c r="BA29">
        <f ca="1"/>
        <v>65.850262861548387</v>
      </c>
      <c r="BB29">
        <f ca="1"/>
        <v>44.867384063083392</v>
      </c>
      <c r="BC29" t="str">
        <f ca="1"/>
        <v>Noviembre</v>
      </c>
      <c r="BD29">
        <f ca="1"/>
        <v>26.170782849504732</v>
      </c>
      <c r="BE29">
        <f ca="1"/>
        <v>46.491533025304179</v>
      </c>
      <c r="BF29">
        <f ca="1"/>
        <v>55.045340425933446</v>
      </c>
      <c r="BG29" t="str">
        <f ca="1"/>
        <v>Diciembre</v>
      </c>
      <c r="BH29">
        <f ca="1"/>
        <v>31.577045547506003</v>
      </c>
      <c r="BI29">
        <f ca="1"/>
        <v>30.92384767442087</v>
      </c>
      <c r="BJ29">
        <f ca="1"/>
        <v>57.020043818961796</v>
      </c>
    </row>
    <row r="30" spans="1:62" x14ac:dyDescent="0.25">
      <c r="F30" t="str">
        <f ca="1"/>
        <v>Enero</v>
      </c>
      <c r="G30">
        <f ca="1"/>
        <v>66.016372855223054</v>
      </c>
      <c r="H30">
        <f ca="1"/>
        <v>53.171085360235523</v>
      </c>
      <c r="I30">
        <f ca="1"/>
        <v>35.156820853273203</v>
      </c>
    </row>
    <row r="31" spans="1:62" x14ac:dyDescent="0.25">
      <c r="F31" t="str">
        <f ca="1"/>
        <v>Febrero</v>
      </c>
      <c r="G31">
        <f ca="1"/>
        <v>71.359214578469334</v>
      </c>
      <c r="H31">
        <f ca="1"/>
        <v>52.656309283706364</v>
      </c>
      <c r="I31">
        <f ca="1"/>
        <v>42.521922371844624</v>
      </c>
      <c r="K31" t="str" cm="1">
        <f t="array" aca="1" ref="K31:N43" ca="1">_xlfn.WRAPROWS(_xlfn.ANCHORARRAY(K29),4)</f>
        <v>Meses</v>
      </c>
      <c r="L31" t="str">
        <f ca="1"/>
        <v>Luz</v>
      </c>
      <c r="M31" t="str">
        <f ca="1"/>
        <v>Agua</v>
      </c>
      <c r="N31" t="str">
        <f ca="1"/>
        <v>Teléfono</v>
      </c>
    </row>
    <row r="32" spans="1:62" x14ac:dyDescent="0.25">
      <c r="F32" t="str">
        <f ca="1"/>
        <v>Marzo</v>
      </c>
      <c r="G32">
        <f ca="1"/>
        <v>32.683648130955405</v>
      </c>
      <c r="H32">
        <f ca="1"/>
        <v>67.645747854549981</v>
      </c>
      <c r="I32">
        <f ca="1"/>
        <v>43.376959641993594</v>
      </c>
      <c r="K32" t="str">
        <f ca="1"/>
        <v>Enero</v>
      </c>
      <c r="L32">
        <f ca="1"/>
        <v>66.016372855223054</v>
      </c>
      <c r="M32">
        <f ca="1"/>
        <v>53.171085360235523</v>
      </c>
      <c r="N32">
        <f ca="1"/>
        <v>35.156820853273203</v>
      </c>
    </row>
    <row r="33" spans="6:14" x14ac:dyDescent="0.25">
      <c r="F33" t="str">
        <f ca="1"/>
        <v>Abril</v>
      </c>
      <c r="G33">
        <f ca="1"/>
        <v>59.815888185126894</v>
      </c>
      <c r="H33">
        <f ca="1"/>
        <v>25.789099426171745</v>
      </c>
      <c r="I33">
        <f ca="1"/>
        <v>70.824834740042391</v>
      </c>
      <c r="K33" t="str">
        <f ca="1"/>
        <v>Febrero</v>
      </c>
      <c r="L33">
        <f ca="1"/>
        <v>71.359214578469334</v>
      </c>
      <c r="M33">
        <f ca="1"/>
        <v>52.656309283706364</v>
      </c>
      <c r="N33">
        <f ca="1"/>
        <v>42.521922371844624</v>
      </c>
    </row>
    <row r="34" spans="6:14" x14ac:dyDescent="0.25">
      <c r="F34" t="str">
        <f ca="1"/>
        <v>Mayo</v>
      </c>
      <c r="G34">
        <f ca="1"/>
        <v>27.310673910424811</v>
      </c>
      <c r="H34">
        <f ca="1"/>
        <v>55.614888333385409</v>
      </c>
      <c r="I34">
        <f ca="1"/>
        <v>32.349687217212562</v>
      </c>
      <c r="K34" t="str">
        <f ca="1"/>
        <v>Marzo</v>
      </c>
      <c r="L34">
        <f ca="1"/>
        <v>32.683648130955405</v>
      </c>
      <c r="M34">
        <f ca="1"/>
        <v>67.645747854549981</v>
      </c>
      <c r="N34">
        <f ca="1"/>
        <v>43.376959641993594</v>
      </c>
    </row>
    <row r="35" spans="6:14" x14ac:dyDescent="0.25">
      <c r="F35" t="str">
        <f ca="1"/>
        <v>Junio</v>
      </c>
      <c r="G35">
        <f ca="1"/>
        <v>31.118893184266256</v>
      </c>
      <c r="H35">
        <f ca="1"/>
        <v>50.564414842091708</v>
      </c>
      <c r="I35">
        <f ca="1"/>
        <v>58.844879882299907</v>
      </c>
      <c r="K35" t="str">
        <f ca="1"/>
        <v>Abril</v>
      </c>
      <c r="L35">
        <f ca="1"/>
        <v>59.815888185126894</v>
      </c>
      <c r="M35">
        <f ca="1"/>
        <v>25.789099426171745</v>
      </c>
      <c r="N35">
        <f ca="1"/>
        <v>70.824834740042391</v>
      </c>
    </row>
    <row r="36" spans="6:14" x14ac:dyDescent="0.25">
      <c r="F36" t="str">
        <f ca="1"/>
        <v>Julio</v>
      </c>
      <c r="G36">
        <f ca="1"/>
        <v>61.936002381800918</v>
      </c>
      <c r="H36">
        <f ca="1"/>
        <v>47.059079106986559</v>
      </c>
      <c r="I36">
        <f ca="1"/>
        <v>55.263673701841327</v>
      </c>
      <c r="K36" t="str">
        <f ca="1"/>
        <v>Mayo</v>
      </c>
      <c r="L36">
        <f ca="1"/>
        <v>27.310673910424811</v>
      </c>
      <c r="M36">
        <f ca="1"/>
        <v>55.614888333385409</v>
      </c>
      <c r="N36">
        <f ca="1"/>
        <v>32.349687217212562</v>
      </c>
    </row>
    <row r="37" spans="6:14" x14ac:dyDescent="0.25">
      <c r="F37" t="str">
        <f ca="1"/>
        <v>Agosto</v>
      </c>
      <c r="G37">
        <f ca="1"/>
        <v>50.813040094835173</v>
      </c>
      <c r="H37">
        <f ca="1"/>
        <v>32.918373954133543</v>
      </c>
      <c r="I37">
        <f ca="1"/>
        <v>71.196837497258201</v>
      </c>
      <c r="K37" t="str">
        <f ca="1"/>
        <v>Junio</v>
      </c>
      <c r="L37">
        <f ca="1"/>
        <v>31.118893184266256</v>
      </c>
      <c r="M37">
        <f ca="1"/>
        <v>50.564414842091708</v>
      </c>
      <c r="N37">
        <f ca="1"/>
        <v>58.844879882299907</v>
      </c>
    </row>
    <row r="38" spans="6:14" x14ac:dyDescent="0.25">
      <c r="F38" t="str">
        <f ca="1"/>
        <v>Septiembre</v>
      </c>
      <c r="G38">
        <f ca="1"/>
        <v>73.301577919758145</v>
      </c>
      <c r="H38">
        <f ca="1"/>
        <v>73.892401904197229</v>
      </c>
      <c r="I38">
        <f ca="1"/>
        <v>46.121707764064382</v>
      </c>
      <c r="K38" t="str">
        <f ca="1"/>
        <v>Julio</v>
      </c>
      <c r="L38">
        <f ca="1"/>
        <v>61.936002381800918</v>
      </c>
      <c r="M38">
        <f ca="1"/>
        <v>47.059079106986559</v>
      </c>
      <c r="N38">
        <f ca="1"/>
        <v>55.263673701841327</v>
      </c>
    </row>
    <row r="39" spans="6:14" x14ac:dyDescent="0.25">
      <c r="F39" t="str">
        <f ca="1"/>
        <v>Octubre</v>
      </c>
      <c r="G39">
        <f ca="1"/>
        <v>58.839613137766477</v>
      </c>
      <c r="H39">
        <f ca="1"/>
        <v>65.850262861548387</v>
      </c>
      <c r="I39">
        <f ca="1"/>
        <v>44.867384063083392</v>
      </c>
      <c r="K39" t="str">
        <f ca="1"/>
        <v>Agosto</v>
      </c>
      <c r="L39">
        <f ca="1"/>
        <v>50.813040094835173</v>
      </c>
      <c r="M39">
        <f ca="1"/>
        <v>32.918373954133543</v>
      </c>
      <c r="N39">
        <f ca="1"/>
        <v>71.196837497258201</v>
      </c>
    </row>
    <row r="40" spans="6:14" x14ac:dyDescent="0.25">
      <c r="F40" t="str">
        <f ca="1"/>
        <v>Noviembre</v>
      </c>
      <c r="G40">
        <f ca="1"/>
        <v>26.170782849504732</v>
      </c>
      <c r="H40">
        <f ca="1"/>
        <v>46.491533025304179</v>
      </c>
      <c r="I40">
        <f ca="1"/>
        <v>55.045340425933446</v>
      </c>
      <c r="K40" t="str">
        <f ca="1"/>
        <v>Septiembre</v>
      </c>
      <c r="L40">
        <f ca="1"/>
        <v>73.301577919758145</v>
      </c>
      <c r="M40">
        <f ca="1"/>
        <v>73.892401904197229</v>
      </c>
      <c r="N40">
        <f ca="1"/>
        <v>46.121707764064382</v>
      </c>
    </row>
    <row r="41" spans="6:14" x14ac:dyDescent="0.25">
      <c r="F41" t="str">
        <f ca="1"/>
        <v>Diciembre</v>
      </c>
      <c r="G41">
        <f ca="1"/>
        <v>31.577045547506003</v>
      </c>
      <c r="H41">
        <f ca="1"/>
        <v>30.92384767442087</v>
      </c>
      <c r="I41">
        <f ca="1"/>
        <v>57.020043818961796</v>
      </c>
      <c r="K41" t="str">
        <f ca="1"/>
        <v>Octubre</v>
      </c>
      <c r="L41">
        <f ca="1"/>
        <v>58.839613137766477</v>
      </c>
      <c r="M41">
        <f ca="1"/>
        <v>65.850262861548387</v>
      </c>
      <c r="N41">
        <f ca="1"/>
        <v>44.867384063083392</v>
      </c>
    </row>
    <row r="42" spans="6:14" x14ac:dyDescent="0.25">
      <c r="K42" t="str">
        <f ca="1"/>
        <v>Noviembre</v>
      </c>
      <c r="L42">
        <f ca="1"/>
        <v>26.170782849504732</v>
      </c>
      <c r="M42">
        <f ca="1"/>
        <v>46.491533025304179</v>
      </c>
      <c r="N42">
        <f ca="1"/>
        <v>55.045340425933446</v>
      </c>
    </row>
    <row r="43" spans="6:14" x14ac:dyDescent="0.25">
      <c r="K43" t="str">
        <f ca="1"/>
        <v>Diciembre</v>
      </c>
      <c r="L43">
        <f ca="1"/>
        <v>31.577045547506003</v>
      </c>
      <c r="M43">
        <f ca="1"/>
        <v>30.92384767442087</v>
      </c>
      <c r="N43">
        <f ca="1"/>
        <v>57.020043818961796</v>
      </c>
    </row>
    <row r="48" spans="6:14" x14ac:dyDescent="0.25">
      <c r="F48" t="str" cm="1">
        <f t="array" aca="1" ref="F48:F99" ca="1">_xlfn.TOCOL(_xlfn.ANCHORARRAY(F29),0,FALSE)</f>
        <v>Meses</v>
      </c>
      <c r="H48" t="str" cm="1">
        <f t="array" aca="1" ref="H48:L59" ca="1">_xlfn.WRAPCOLS(_xlfn.ANCHORARRAY(F48),12)</f>
        <v>Meses</v>
      </c>
      <c r="I48" t="str">
        <f ca="1"/>
        <v>Marzo</v>
      </c>
      <c r="J48" t="str">
        <f ca="1"/>
        <v>Junio</v>
      </c>
      <c r="K48" t="str">
        <f ca="1"/>
        <v>Septiembre</v>
      </c>
      <c r="L48" t="str">
        <f ca="1"/>
        <v>Diciembre</v>
      </c>
    </row>
    <row r="49" spans="6:12" x14ac:dyDescent="0.25">
      <c r="F49" t="str">
        <f ca="1"/>
        <v>Luz</v>
      </c>
      <c r="H49" t="str">
        <f ca="1"/>
        <v>Luz</v>
      </c>
      <c r="I49">
        <f ca="1"/>
        <v>32.683648130955405</v>
      </c>
      <c r="J49">
        <f ca="1"/>
        <v>31.118893184266256</v>
      </c>
      <c r="K49">
        <f ca="1"/>
        <v>73.301577919758145</v>
      </c>
      <c r="L49">
        <f ca="1"/>
        <v>31.577045547506003</v>
      </c>
    </row>
    <row r="50" spans="6:12" x14ac:dyDescent="0.25">
      <c r="F50" t="str">
        <f ca="1"/>
        <v>Agua</v>
      </c>
      <c r="H50" t="str">
        <f ca="1"/>
        <v>Agua</v>
      </c>
      <c r="I50">
        <f ca="1"/>
        <v>67.645747854549981</v>
      </c>
      <c r="J50">
        <f ca="1"/>
        <v>50.564414842091708</v>
      </c>
      <c r="K50">
        <f ca="1"/>
        <v>73.892401904197229</v>
      </c>
      <c r="L50">
        <f ca="1"/>
        <v>30.92384767442087</v>
      </c>
    </row>
    <row r="51" spans="6:12" x14ac:dyDescent="0.25">
      <c r="F51" t="str">
        <f ca="1"/>
        <v>Teléfono</v>
      </c>
      <c r="H51" t="str">
        <f ca="1"/>
        <v>Teléfono</v>
      </c>
      <c r="I51">
        <f ca="1"/>
        <v>43.376959641993594</v>
      </c>
      <c r="J51">
        <f ca="1"/>
        <v>58.844879882299907</v>
      </c>
      <c r="K51">
        <f ca="1"/>
        <v>46.121707764064382</v>
      </c>
      <c r="L51">
        <f ca="1"/>
        <v>57.020043818961796</v>
      </c>
    </row>
    <row r="52" spans="6:12" x14ac:dyDescent="0.25">
      <c r="F52" t="str">
        <f ca="1"/>
        <v>Enero</v>
      </c>
      <c r="H52" t="str">
        <f ca="1"/>
        <v>Enero</v>
      </c>
      <c r="I52" t="str">
        <f ca="1"/>
        <v>Abril</v>
      </c>
      <c r="J52" t="str">
        <f ca="1"/>
        <v>Julio</v>
      </c>
      <c r="K52" t="str">
        <f ca="1"/>
        <v>Octubre</v>
      </c>
      <c r="L52" t="e">
        <f ca="1"/>
        <v>#N/A</v>
      </c>
    </row>
    <row r="53" spans="6:12" x14ac:dyDescent="0.25">
      <c r="F53">
        <f ca="1"/>
        <v>66.016372855223054</v>
      </c>
      <c r="H53">
        <f ca="1"/>
        <v>66.016372855223054</v>
      </c>
      <c r="I53">
        <f ca="1"/>
        <v>59.815888185126894</v>
      </c>
      <c r="J53">
        <f ca="1"/>
        <v>61.936002381800918</v>
      </c>
      <c r="K53">
        <f ca="1"/>
        <v>58.839613137766477</v>
      </c>
      <c r="L53" t="e">
        <f ca="1"/>
        <v>#N/A</v>
      </c>
    </row>
    <row r="54" spans="6:12" x14ac:dyDescent="0.25">
      <c r="F54">
        <f ca="1"/>
        <v>53.171085360235523</v>
      </c>
      <c r="H54">
        <f ca="1"/>
        <v>53.171085360235523</v>
      </c>
      <c r="I54">
        <f ca="1"/>
        <v>25.789099426171745</v>
      </c>
      <c r="J54">
        <f ca="1"/>
        <v>47.059079106986559</v>
      </c>
      <c r="K54">
        <f ca="1"/>
        <v>65.850262861548387</v>
      </c>
      <c r="L54" t="e">
        <f ca="1"/>
        <v>#N/A</v>
      </c>
    </row>
    <row r="55" spans="6:12" x14ac:dyDescent="0.25">
      <c r="F55">
        <f ca="1"/>
        <v>35.156820853273203</v>
      </c>
      <c r="H55">
        <f ca="1"/>
        <v>35.156820853273203</v>
      </c>
      <c r="I55">
        <f ca="1"/>
        <v>70.824834740042391</v>
      </c>
      <c r="J55">
        <f ca="1"/>
        <v>55.263673701841327</v>
      </c>
      <c r="K55">
        <f ca="1"/>
        <v>44.867384063083392</v>
      </c>
      <c r="L55" t="e">
        <f ca="1"/>
        <v>#N/A</v>
      </c>
    </row>
    <row r="56" spans="6:12" x14ac:dyDescent="0.25">
      <c r="F56" t="str">
        <f ca="1"/>
        <v>Febrero</v>
      </c>
      <c r="H56" t="str">
        <f ca="1"/>
        <v>Febrero</v>
      </c>
      <c r="I56" t="str">
        <f ca="1"/>
        <v>Mayo</v>
      </c>
      <c r="J56" t="str">
        <f ca="1"/>
        <v>Agosto</v>
      </c>
      <c r="K56" t="str">
        <f ca="1"/>
        <v>Noviembre</v>
      </c>
      <c r="L56" t="e">
        <f ca="1"/>
        <v>#N/A</v>
      </c>
    </row>
    <row r="57" spans="6:12" x14ac:dyDescent="0.25">
      <c r="F57">
        <f ca="1"/>
        <v>71.359214578469334</v>
      </c>
      <c r="H57">
        <f ca="1"/>
        <v>71.359214578469334</v>
      </c>
      <c r="I57">
        <f ca="1"/>
        <v>27.310673910424811</v>
      </c>
      <c r="J57">
        <f ca="1"/>
        <v>50.813040094835173</v>
      </c>
      <c r="K57">
        <f ca="1"/>
        <v>26.170782849504732</v>
      </c>
      <c r="L57" t="e">
        <f ca="1"/>
        <v>#N/A</v>
      </c>
    </row>
    <row r="58" spans="6:12" x14ac:dyDescent="0.25">
      <c r="F58">
        <f ca="1"/>
        <v>52.656309283706364</v>
      </c>
      <c r="H58">
        <f ca="1"/>
        <v>52.656309283706364</v>
      </c>
      <c r="I58">
        <f ca="1"/>
        <v>55.614888333385409</v>
      </c>
      <c r="J58">
        <f ca="1"/>
        <v>32.918373954133543</v>
      </c>
      <c r="K58">
        <f ca="1"/>
        <v>46.491533025304179</v>
      </c>
      <c r="L58" t="e">
        <f ca="1"/>
        <v>#N/A</v>
      </c>
    </row>
    <row r="59" spans="6:12" x14ac:dyDescent="0.25">
      <c r="F59">
        <f ca="1"/>
        <v>42.521922371844624</v>
      </c>
      <c r="H59">
        <f ca="1"/>
        <v>42.521922371844624</v>
      </c>
      <c r="I59">
        <f ca="1"/>
        <v>32.349687217212562</v>
      </c>
      <c r="J59">
        <f ca="1"/>
        <v>71.196837497258201</v>
      </c>
      <c r="K59">
        <f ca="1"/>
        <v>55.045340425933446</v>
      </c>
      <c r="L59" t="e">
        <f ca="1"/>
        <v>#N/A</v>
      </c>
    </row>
    <row r="60" spans="6:12" x14ac:dyDescent="0.25">
      <c r="F60" t="str">
        <f ca="1"/>
        <v>Marzo</v>
      </c>
    </row>
    <row r="61" spans="6:12" x14ac:dyDescent="0.25">
      <c r="F61">
        <f ca="1"/>
        <v>32.683648130955405</v>
      </c>
    </row>
    <row r="62" spans="6:12" x14ac:dyDescent="0.25">
      <c r="F62">
        <f ca="1"/>
        <v>67.645747854549981</v>
      </c>
    </row>
    <row r="63" spans="6:12" x14ac:dyDescent="0.25">
      <c r="F63">
        <f ca="1"/>
        <v>43.376959641993594</v>
      </c>
    </row>
    <row r="64" spans="6:12" x14ac:dyDescent="0.25">
      <c r="F64" t="str">
        <f ca="1"/>
        <v>Abril</v>
      </c>
    </row>
    <row r="65" spans="6:6" x14ac:dyDescent="0.25">
      <c r="F65">
        <f ca="1"/>
        <v>59.815888185126894</v>
      </c>
    </row>
    <row r="66" spans="6:6" x14ac:dyDescent="0.25">
      <c r="F66">
        <f ca="1"/>
        <v>25.789099426171745</v>
      </c>
    </row>
    <row r="67" spans="6:6" x14ac:dyDescent="0.25">
      <c r="F67">
        <f ca="1"/>
        <v>70.824834740042391</v>
      </c>
    </row>
    <row r="68" spans="6:6" x14ac:dyDescent="0.25">
      <c r="F68" t="str">
        <f ca="1"/>
        <v>Mayo</v>
      </c>
    </row>
    <row r="69" spans="6:6" x14ac:dyDescent="0.25">
      <c r="F69">
        <f ca="1"/>
        <v>27.310673910424811</v>
      </c>
    </row>
    <row r="70" spans="6:6" x14ac:dyDescent="0.25">
      <c r="F70">
        <f ca="1"/>
        <v>55.614888333385409</v>
      </c>
    </row>
    <row r="71" spans="6:6" x14ac:dyDescent="0.25">
      <c r="F71">
        <f ca="1"/>
        <v>32.349687217212562</v>
      </c>
    </row>
    <row r="72" spans="6:6" x14ac:dyDescent="0.25">
      <c r="F72" t="str">
        <f ca="1"/>
        <v>Junio</v>
      </c>
    </row>
    <row r="73" spans="6:6" x14ac:dyDescent="0.25">
      <c r="F73">
        <f ca="1"/>
        <v>31.118893184266256</v>
      </c>
    </row>
    <row r="74" spans="6:6" x14ac:dyDescent="0.25">
      <c r="F74">
        <f ca="1"/>
        <v>50.564414842091708</v>
      </c>
    </row>
    <row r="75" spans="6:6" x14ac:dyDescent="0.25">
      <c r="F75">
        <f ca="1"/>
        <v>58.844879882299907</v>
      </c>
    </row>
    <row r="76" spans="6:6" x14ac:dyDescent="0.25">
      <c r="F76" t="str">
        <f ca="1"/>
        <v>Julio</v>
      </c>
    </row>
    <row r="77" spans="6:6" x14ac:dyDescent="0.25">
      <c r="F77">
        <f ca="1"/>
        <v>61.936002381800918</v>
      </c>
    </row>
    <row r="78" spans="6:6" x14ac:dyDescent="0.25">
      <c r="F78">
        <f ca="1"/>
        <v>47.059079106986559</v>
      </c>
    </row>
    <row r="79" spans="6:6" x14ac:dyDescent="0.25">
      <c r="F79">
        <f ca="1"/>
        <v>55.263673701841327</v>
      </c>
    </row>
    <row r="80" spans="6:6" x14ac:dyDescent="0.25">
      <c r="F80" t="str">
        <f ca="1"/>
        <v>Agosto</v>
      </c>
    </row>
    <row r="81" spans="6:6" x14ac:dyDescent="0.25">
      <c r="F81">
        <f ca="1"/>
        <v>50.813040094835173</v>
      </c>
    </row>
    <row r="82" spans="6:6" x14ac:dyDescent="0.25">
      <c r="F82">
        <f ca="1"/>
        <v>32.918373954133543</v>
      </c>
    </row>
    <row r="83" spans="6:6" x14ac:dyDescent="0.25">
      <c r="F83">
        <f ca="1"/>
        <v>71.196837497258201</v>
      </c>
    </row>
    <row r="84" spans="6:6" x14ac:dyDescent="0.25">
      <c r="F84" t="str">
        <f ca="1"/>
        <v>Septiembre</v>
      </c>
    </row>
    <row r="85" spans="6:6" x14ac:dyDescent="0.25">
      <c r="F85">
        <f ca="1"/>
        <v>73.301577919758145</v>
      </c>
    </row>
    <row r="86" spans="6:6" x14ac:dyDescent="0.25">
      <c r="F86">
        <f ca="1"/>
        <v>73.892401904197229</v>
      </c>
    </row>
    <row r="87" spans="6:6" x14ac:dyDescent="0.25">
      <c r="F87">
        <f ca="1"/>
        <v>46.121707764064382</v>
      </c>
    </row>
    <row r="88" spans="6:6" x14ac:dyDescent="0.25">
      <c r="F88" t="str">
        <f ca="1"/>
        <v>Octubre</v>
      </c>
    </row>
    <row r="89" spans="6:6" x14ac:dyDescent="0.25">
      <c r="F89">
        <f ca="1"/>
        <v>58.839613137766477</v>
      </c>
    </row>
    <row r="90" spans="6:6" x14ac:dyDescent="0.25">
      <c r="F90">
        <f ca="1"/>
        <v>65.850262861548387</v>
      </c>
    </row>
    <row r="91" spans="6:6" x14ac:dyDescent="0.25">
      <c r="F91">
        <f ca="1"/>
        <v>44.867384063083392</v>
      </c>
    </row>
    <row r="92" spans="6:6" x14ac:dyDescent="0.25">
      <c r="F92" t="str">
        <f ca="1"/>
        <v>Noviembre</v>
      </c>
    </row>
    <row r="93" spans="6:6" x14ac:dyDescent="0.25">
      <c r="F93">
        <f ca="1"/>
        <v>26.170782849504732</v>
      </c>
    </row>
    <row r="94" spans="6:6" x14ac:dyDescent="0.25">
      <c r="F94">
        <f ca="1"/>
        <v>46.491533025304179</v>
      </c>
    </row>
    <row r="95" spans="6:6" x14ac:dyDescent="0.25">
      <c r="F95">
        <f ca="1"/>
        <v>55.045340425933446</v>
      </c>
    </row>
    <row r="96" spans="6:6" x14ac:dyDescent="0.25">
      <c r="F96" t="str">
        <f ca="1"/>
        <v>Diciembre</v>
      </c>
    </row>
    <row r="97" spans="6:10" x14ac:dyDescent="0.25">
      <c r="F97">
        <f ca="1"/>
        <v>31.577045547506003</v>
      </c>
    </row>
    <row r="98" spans="6:10" x14ac:dyDescent="0.25">
      <c r="F98">
        <f ca="1"/>
        <v>30.92384767442087</v>
      </c>
    </row>
    <row r="99" spans="6:10" x14ac:dyDescent="0.25">
      <c r="F99">
        <f ca="1"/>
        <v>57.020043818961796</v>
      </c>
    </row>
    <row r="105" spans="6:10" x14ac:dyDescent="0.25">
      <c r="F105" t="str" cm="1">
        <f t="array" ref="F105:F116">_xlfn.UNIQUE(A2:A23)</f>
        <v>Enero</v>
      </c>
    </row>
    <row r="106" spans="6:10" x14ac:dyDescent="0.25">
      <c r="F106" t="str">
        <v>Febrero</v>
      </c>
      <c r="J106" t="s">
        <v>52</v>
      </c>
    </row>
    <row r="107" spans="6:10" x14ac:dyDescent="0.25">
      <c r="F107" t="str">
        <v>Marzo</v>
      </c>
    </row>
    <row r="108" spans="6:10" x14ac:dyDescent="0.25">
      <c r="F108" t="str">
        <v>Abril</v>
      </c>
    </row>
    <row r="109" spans="6:10" x14ac:dyDescent="0.25">
      <c r="F109" t="str">
        <v>Mayo</v>
      </c>
    </row>
    <row r="110" spans="6:10" x14ac:dyDescent="0.25">
      <c r="F110" t="str">
        <v>Junio</v>
      </c>
    </row>
    <row r="111" spans="6:10" x14ac:dyDescent="0.25">
      <c r="F111" t="str">
        <v>Julio</v>
      </c>
    </row>
    <row r="112" spans="6:10" x14ac:dyDescent="0.25">
      <c r="F112" t="str">
        <v>Agosto</v>
      </c>
    </row>
    <row r="113" spans="6:6" x14ac:dyDescent="0.25">
      <c r="F113" t="str">
        <v>Septiembre</v>
      </c>
    </row>
    <row r="114" spans="6:6" x14ac:dyDescent="0.25">
      <c r="F114" t="str">
        <v>Octubre</v>
      </c>
    </row>
    <row r="115" spans="6:6" x14ac:dyDescent="0.25">
      <c r="F115" t="str">
        <v>Noviembre</v>
      </c>
    </row>
    <row r="116" spans="6:6" x14ac:dyDescent="0.25">
      <c r="F116" t="str">
        <v>Diciembre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3374-5F0D-44E4-BB00-5DE57E2244C4}">
  <sheetPr codeName="Hoja49"/>
  <dimension ref="A1:R40"/>
  <sheetViews>
    <sheetView topLeftCell="C19" workbookViewId="0">
      <selection activeCell="Q34" sqref="Q34"/>
    </sheetView>
  </sheetViews>
  <sheetFormatPr baseColWidth="10" defaultRowHeight="15" x14ac:dyDescent="0.25"/>
  <cols>
    <col min="6" max="6" width="20" bestFit="1" customWidth="1"/>
    <col min="10" max="10" width="20" bestFit="1" customWidth="1"/>
    <col min="12" max="12" width="17.28515625" customWidth="1"/>
    <col min="13" max="13" width="16.85546875" customWidth="1"/>
    <col min="17" max="17" width="14" customWidth="1"/>
    <col min="18" max="18" width="16" customWidth="1"/>
  </cols>
  <sheetData>
    <row r="1" spans="1:12" x14ac:dyDescent="0.25">
      <c r="A1" t="s">
        <v>345</v>
      </c>
      <c r="B1" t="s">
        <v>346</v>
      </c>
      <c r="C1" t="s">
        <v>347</v>
      </c>
      <c r="D1" t="s">
        <v>348</v>
      </c>
      <c r="F1" t="s">
        <v>348</v>
      </c>
      <c r="H1" t="s">
        <v>344</v>
      </c>
      <c r="L1" t="s">
        <v>41</v>
      </c>
    </row>
    <row r="2" spans="1:12" x14ac:dyDescent="0.25">
      <c r="A2">
        <v>1</v>
      </c>
      <c r="B2">
        <v>2</v>
      </c>
      <c r="C2">
        <v>3</v>
      </c>
      <c r="D2">
        <v>4</v>
      </c>
      <c r="F2" cm="1">
        <f t="array" aca="1" ref="F2:F9" ca="1">INDIRECT(F1)</f>
        <v>4</v>
      </c>
      <c r="H2">
        <v>1</v>
      </c>
      <c r="J2" t="b">
        <f ca="1">F2=H2</f>
        <v>0</v>
      </c>
      <c r="L2">
        <f ca="1">COUNTIF(J2:J9,TRUE)</f>
        <v>4</v>
      </c>
    </row>
    <row r="3" spans="1:12" x14ac:dyDescent="0.25">
      <c r="A3">
        <v>1</v>
      </c>
      <c r="B3">
        <v>1</v>
      </c>
      <c r="C3">
        <v>2</v>
      </c>
      <c r="D3">
        <v>3</v>
      </c>
      <c r="F3">
        <f ca="1"/>
        <v>3</v>
      </c>
      <c r="H3">
        <v>2</v>
      </c>
      <c r="J3" t="b">
        <f t="shared" ref="J3:J9" ca="1" si="0">F3=H3</f>
        <v>0</v>
      </c>
    </row>
    <row r="4" spans="1:12" x14ac:dyDescent="0.25">
      <c r="A4">
        <v>1</v>
      </c>
      <c r="B4">
        <v>1</v>
      </c>
      <c r="C4">
        <v>2</v>
      </c>
      <c r="D4">
        <v>3</v>
      </c>
      <c r="F4">
        <f ca="1"/>
        <v>3</v>
      </c>
      <c r="H4">
        <v>3</v>
      </c>
      <c r="J4" t="b">
        <f t="shared" ca="1" si="0"/>
        <v>1</v>
      </c>
    </row>
    <row r="5" spans="1:12" x14ac:dyDescent="0.25">
      <c r="A5">
        <v>4</v>
      </c>
      <c r="B5">
        <v>2</v>
      </c>
      <c r="C5">
        <v>4</v>
      </c>
      <c r="D5">
        <v>4</v>
      </c>
      <c r="F5">
        <f ca="1"/>
        <v>4</v>
      </c>
      <c r="H5">
        <v>4</v>
      </c>
      <c r="J5" t="b">
        <f t="shared" ca="1" si="0"/>
        <v>1</v>
      </c>
    </row>
    <row r="6" spans="1:12" x14ac:dyDescent="0.25">
      <c r="A6">
        <v>1</v>
      </c>
      <c r="B6">
        <v>2</v>
      </c>
      <c r="C6">
        <v>3</v>
      </c>
      <c r="D6">
        <v>4</v>
      </c>
      <c r="F6">
        <f ca="1"/>
        <v>4</v>
      </c>
      <c r="H6">
        <v>4</v>
      </c>
      <c r="J6" t="b">
        <f t="shared" ca="1" si="0"/>
        <v>1</v>
      </c>
    </row>
    <row r="7" spans="1:12" x14ac:dyDescent="0.25">
      <c r="A7">
        <v>2</v>
      </c>
      <c r="B7">
        <v>2</v>
      </c>
      <c r="C7">
        <v>1</v>
      </c>
      <c r="D7">
        <v>2</v>
      </c>
      <c r="F7">
        <f ca="1"/>
        <v>2</v>
      </c>
      <c r="H7">
        <v>2</v>
      </c>
      <c r="J7" t="b">
        <f t="shared" ca="1" si="0"/>
        <v>1</v>
      </c>
    </row>
    <row r="8" spans="1:12" x14ac:dyDescent="0.25">
      <c r="A8">
        <v>1</v>
      </c>
      <c r="B8">
        <v>1</v>
      </c>
      <c r="C8">
        <v>1</v>
      </c>
      <c r="D8">
        <v>1</v>
      </c>
      <c r="F8">
        <f ca="1"/>
        <v>1</v>
      </c>
      <c r="H8">
        <v>2</v>
      </c>
      <c r="J8" t="b">
        <f t="shared" ca="1" si="0"/>
        <v>0</v>
      </c>
    </row>
    <row r="9" spans="1:12" x14ac:dyDescent="0.25">
      <c r="A9">
        <v>4</v>
      </c>
      <c r="B9">
        <v>2</v>
      </c>
      <c r="C9">
        <v>3</v>
      </c>
      <c r="D9">
        <v>1</v>
      </c>
      <c r="F9">
        <f ca="1"/>
        <v>1</v>
      </c>
      <c r="H9">
        <v>2</v>
      </c>
      <c r="J9" t="b">
        <f t="shared" ca="1" si="0"/>
        <v>0</v>
      </c>
    </row>
    <row r="12" spans="1:12" x14ac:dyDescent="0.25">
      <c r="F12" t="s">
        <v>349</v>
      </c>
    </row>
    <row r="17" spans="1:10" x14ac:dyDescent="0.25">
      <c r="A17" t="s">
        <v>352</v>
      </c>
      <c r="B17" t="s">
        <v>353</v>
      </c>
      <c r="C17" t="s">
        <v>354</v>
      </c>
      <c r="D17" t="s">
        <v>355</v>
      </c>
      <c r="E17" t="s">
        <v>356</v>
      </c>
      <c r="F17" t="s">
        <v>357</v>
      </c>
      <c r="G17" t="s">
        <v>358</v>
      </c>
      <c r="H17" t="s">
        <v>359</v>
      </c>
    </row>
    <row r="18" spans="1:10" x14ac:dyDescent="0.25">
      <c r="A18" t="s">
        <v>345</v>
      </c>
      <c r="B18">
        <v>1</v>
      </c>
      <c r="C18" t="str" cm="1">
        <f t="array" aca="1" ref="C18:H18" ca="1">INDEX({"A","B","C","D"},_xlfn.RANDARRAY(1,6,1,4,TRUE))</f>
        <v>B</v>
      </c>
      <c r="D18" t="str">
        <f ca="1"/>
        <v>A</v>
      </c>
      <c r="E18" t="str">
        <f ca="1"/>
        <v>A</v>
      </c>
      <c r="F18" t="str">
        <f ca="1"/>
        <v>A</v>
      </c>
      <c r="G18" t="str">
        <f ca="1"/>
        <v>C</v>
      </c>
      <c r="H18" t="str">
        <f ca="1"/>
        <v>A</v>
      </c>
    </row>
    <row r="19" spans="1:10" x14ac:dyDescent="0.25">
      <c r="A19" t="s">
        <v>345</v>
      </c>
      <c r="B19">
        <v>2</v>
      </c>
      <c r="C19" t="str" cm="1">
        <f t="array" aca="1" ref="C19:H19" ca="1">INDEX({"A","B","C","D"},_xlfn.RANDARRAY(1,6,1,4,TRUE))</f>
        <v>D</v>
      </c>
      <c r="D19" t="str">
        <f ca="1"/>
        <v>B</v>
      </c>
      <c r="E19" t="str">
        <f ca="1"/>
        <v>C</v>
      </c>
      <c r="F19" t="str">
        <f ca="1"/>
        <v>C</v>
      </c>
      <c r="G19" t="str">
        <f ca="1"/>
        <v>C</v>
      </c>
      <c r="H19" t="str">
        <f ca="1"/>
        <v>B</v>
      </c>
    </row>
    <row r="20" spans="1:10" x14ac:dyDescent="0.25">
      <c r="A20" t="s">
        <v>346</v>
      </c>
      <c r="B20">
        <v>1</v>
      </c>
      <c r="C20" t="str" cm="1">
        <f t="array" aca="1" ref="C20:H20" ca="1">INDEX({"A","B","C","D"},_xlfn.RANDARRAY(1,6,1,4,TRUE))</f>
        <v>A</v>
      </c>
      <c r="D20" t="str">
        <f ca="1"/>
        <v>B</v>
      </c>
      <c r="E20" t="str">
        <f ca="1"/>
        <v>D</v>
      </c>
      <c r="F20" t="str">
        <f ca="1"/>
        <v>A</v>
      </c>
      <c r="G20" t="str">
        <f ca="1"/>
        <v>B</v>
      </c>
      <c r="H20" t="str">
        <f ca="1"/>
        <v>A</v>
      </c>
    </row>
    <row r="21" spans="1:10" x14ac:dyDescent="0.25">
      <c r="A21" t="s">
        <v>346</v>
      </c>
      <c r="B21">
        <v>2</v>
      </c>
      <c r="C21" t="str" cm="1">
        <f t="array" aca="1" ref="C21:H21" ca="1">INDEX({"A","B","C","D"},_xlfn.RANDARRAY(1,6,1,4,TRUE))</f>
        <v>A</v>
      </c>
      <c r="D21" t="str">
        <f ca="1"/>
        <v>B</v>
      </c>
      <c r="E21" t="str">
        <f ca="1"/>
        <v>C</v>
      </c>
      <c r="F21" t="str">
        <f ca="1"/>
        <v>C</v>
      </c>
      <c r="G21" t="str">
        <f ca="1"/>
        <v>B</v>
      </c>
      <c r="H21" t="str">
        <f ca="1"/>
        <v>C</v>
      </c>
    </row>
    <row r="22" spans="1:10" x14ac:dyDescent="0.25">
      <c r="A22" t="s">
        <v>347</v>
      </c>
      <c r="B22">
        <v>1</v>
      </c>
      <c r="C22" t="str" cm="1">
        <f t="array" aca="1" ref="C22:H22" ca="1">INDEX({"A","B","C","D"},_xlfn.RANDARRAY(1,6,1,4,TRUE))</f>
        <v>A</v>
      </c>
      <c r="D22" t="str">
        <f ca="1"/>
        <v>A</v>
      </c>
      <c r="E22" t="str">
        <f ca="1"/>
        <v>D</v>
      </c>
      <c r="F22" t="str">
        <f ca="1"/>
        <v>A</v>
      </c>
      <c r="G22" t="str">
        <f ca="1"/>
        <v>B</v>
      </c>
      <c r="H22" t="str">
        <f ca="1"/>
        <v>C</v>
      </c>
    </row>
    <row r="23" spans="1:10" x14ac:dyDescent="0.25">
      <c r="A23" t="s">
        <v>347</v>
      </c>
      <c r="B23">
        <v>2</v>
      </c>
      <c r="C23" t="str" cm="1">
        <f t="array" aca="1" ref="C23:H23" ca="1">INDEX({"A","B","C","D"},_xlfn.RANDARRAY(1,6,1,4,TRUE))</f>
        <v>D</v>
      </c>
      <c r="D23" t="str">
        <f ca="1"/>
        <v>A</v>
      </c>
      <c r="E23" t="str">
        <f ca="1"/>
        <v>D</v>
      </c>
      <c r="F23" t="str">
        <f ca="1"/>
        <v>A</v>
      </c>
      <c r="G23" t="str">
        <f ca="1"/>
        <v>A</v>
      </c>
      <c r="H23" t="str">
        <f ca="1"/>
        <v>C</v>
      </c>
    </row>
    <row r="24" spans="1:10" x14ac:dyDescent="0.25">
      <c r="A24" t="s">
        <v>348</v>
      </c>
      <c r="B24">
        <v>1</v>
      </c>
      <c r="C24" t="str" cm="1">
        <f t="array" aca="1" ref="C24:H24" ca="1">INDEX({"A","B","C","D"},_xlfn.RANDARRAY(1,6,1,4,TRUE))</f>
        <v>D</v>
      </c>
      <c r="D24" t="str">
        <f ca="1"/>
        <v>D</v>
      </c>
      <c r="E24" t="str">
        <f ca="1"/>
        <v>C</v>
      </c>
      <c r="F24" t="str">
        <f ca="1"/>
        <v>A</v>
      </c>
      <c r="G24" t="str">
        <f ca="1"/>
        <v>A</v>
      </c>
      <c r="H24" t="str">
        <f ca="1"/>
        <v>B</v>
      </c>
    </row>
    <row r="25" spans="1:10" x14ac:dyDescent="0.25">
      <c r="A25" t="s">
        <v>348</v>
      </c>
      <c r="B25">
        <v>2</v>
      </c>
      <c r="C25" t="str" cm="1">
        <f t="array" aca="1" ref="C25:H25" ca="1">INDEX({"A","B","C","D"},_xlfn.RANDARRAY(1,6,1,4,TRUE))</f>
        <v>D</v>
      </c>
      <c r="D25" t="str">
        <f ca="1"/>
        <v>D</v>
      </c>
      <c r="E25" t="str">
        <f ca="1"/>
        <v>D</v>
      </c>
      <c r="F25" t="str">
        <f ca="1"/>
        <v>C</v>
      </c>
      <c r="G25" t="str">
        <f ca="1"/>
        <v>B</v>
      </c>
      <c r="H25" t="str">
        <f ca="1"/>
        <v>D</v>
      </c>
    </row>
    <row r="29" spans="1:10" x14ac:dyDescent="0.25">
      <c r="J29" t="s">
        <v>351</v>
      </c>
    </row>
    <row r="30" spans="1:10" x14ac:dyDescent="0.25">
      <c r="A30" t="s">
        <v>352</v>
      </c>
      <c r="B30" t="s">
        <v>353</v>
      </c>
      <c r="C30" t="s">
        <v>354</v>
      </c>
      <c r="D30" t="s">
        <v>355</v>
      </c>
      <c r="E30" t="s">
        <v>356</v>
      </c>
      <c r="F30" t="s">
        <v>357</v>
      </c>
      <c r="G30" t="s">
        <v>358</v>
      </c>
      <c r="H30" t="s">
        <v>359</v>
      </c>
      <c r="J30" t="s">
        <v>347</v>
      </c>
    </row>
    <row r="31" spans="1:10" x14ac:dyDescent="0.25">
      <c r="A31" t="s">
        <v>345</v>
      </c>
      <c r="B31" t="s">
        <v>350</v>
      </c>
      <c r="C31" t="s">
        <v>28</v>
      </c>
      <c r="D31" t="s">
        <v>28</v>
      </c>
      <c r="E31" t="s">
        <v>26</v>
      </c>
      <c r="F31" t="s">
        <v>27</v>
      </c>
      <c r="G31" t="s">
        <v>28</v>
      </c>
      <c r="H31" t="s">
        <v>57</v>
      </c>
    </row>
    <row r="32" spans="1:10" x14ac:dyDescent="0.25">
      <c r="A32" t="s">
        <v>345</v>
      </c>
      <c r="B32" t="s">
        <v>351</v>
      </c>
      <c r="C32" t="s">
        <v>28</v>
      </c>
      <c r="D32" t="s">
        <v>27</v>
      </c>
      <c r="E32" t="s">
        <v>28</v>
      </c>
      <c r="F32" t="s">
        <v>27</v>
      </c>
      <c r="G32" t="s">
        <v>57</v>
      </c>
      <c r="H32" t="s">
        <v>26</v>
      </c>
    </row>
    <row r="33" spans="1:18" x14ac:dyDescent="0.25">
      <c r="A33" t="s">
        <v>346</v>
      </c>
      <c r="B33" t="s">
        <v>350</v>
      </c>
      <c r="C33" t="s">
        <v>27</v>
      </c>
      <c r="D33" t="s">
        <v>57</v>
      </c>
      <c r="E33" t="s">
        <v>57</v>
      </c>
      <c r="F33" t="s">
        <v>26</v>
      </c>
      <c r="G33" t="s">
        <v>27</v>
      </c>
      <c r="H33" t="s">
        <v>28</v>
      </c>
      <c r="L33" t="s">
        <v>360</v>
      </c>
      <c r="M33" t="s">
        <v>361</v>
      </c>
      <c r="Q33" t="s">
        <v>362</v>
      </c>
      <c r="R33" t="s">
        <v>363</v>
      </c>
    </row>
    <row r="34" spans="1:18" x14ac:dyDescent="0.25">
      <c r="A34" t="s">
        <v>346</v>
      </c>
      <c r="B34" t="s">
        <v>351</v>
      </c>
      <c r="C34" t="s">
        <v>27</v>
      </c>
      <c r="D34" t="s">
        <v>57</v>
      </c>
      <c r="E34" t="s">
        <v>27</v>
      </c>
      <c r="F34" t="s">
        <v>28</v>
      </c>
      <c r="G34" t="s">
        <v>27</v>
      </c>
      <c r="H34" t="s">
        <v>28</v>
      </c>
      <c r="Q34">
        <f>COUNTIF(O35:O40,TRUE)</f>
        <v>2</v>
      </c>
      <c r="R34">
        <f>COUNTIF(P35:P40,TRUE)</f>
        <v>1</v>
      </c>
    </row>
    <row r="35" spans="1:18" x14ac:dyDescent="0.25">
      <c r="A35" t="s">
        <v>347</v>
      </c>
      <c r="B35" t="s">
        <v>350</v>
      </c>
      <c r="C35" t="s">
        <v>27</v>
      </c>
      <c r="D35" t="s">
        <v>28</v>
      </c>
      <c r="E35" t="s">
        <v>57</v>
      </c>
      <c r="F35" t="s">
        <v>57</v>
      </c>
      <c r="G35" t="s">
        <v>28</v>
      </c>
      <c r="H35" t="s">
        <v>27</v>
      </c>
      <c r="J35" t="str" cm="1">
        <f t="array" ref="J35:J40">TRANSPOSE(_xlfn.CHOOSECOLS(_xlfn._xlws.FILTER(A31:H38,(A31:A38=J30)*(B31:B38=J29),"---"),3,4,5,6,7,8))</f>
        <v>B</v>
      </c>
      <c r="L35" t="s">
        <v>26</v>
      </c>
      <c r="M35" t="s">
        <v>27</v>
      </c>
      <c r="O35" t="b">
        <f>J35=L34</f>
        <v>0</v>
      </c>
      <c r="P35" t="b">
        <f>J35=M34</f>
        <v>0</v>
      </c>
    </row>
    <row r="36" spans="1:18" x14ac:dyDescent="0.25">
      <c r="A36" t="s">
        <v>347</v>
      </c>
      <c r="B36" t="s">
        <v>351</v>
      </c>
      <c r="C36" t="s">
        <v>27</v>
      </c>
      <c r="D36" t="s">
        <v>26</v>
      </c>
      <c r="E36" t="s">
        <v>26</v>
      </c>
      <c r="F36" t="s">
        <v>57</v>
      </c>
      <c r="G36" t="s">
        <v>27</v>
      </c>
      <c r="H36" t="s">
        <v>57</v>
      </c>
      <c r="J36" t="str">
        <v>A</v>
      </c>
      <c r="L36" t="s">
        <v>27</v>
      </c>
      <c r="M36" t="s">
        <v>26</v>
      </c>
      <c r="O36" t="b">
        <f t="shared" ref="O36:O40" si="1">J36=L35</f>
        <v>1</v>
      </c>
      <c r="P36" t="b">
        <f t="shared" ref="P36:P40" si="2">J36=M35</f>
        <v>0</v>
      </c>
    </row>
    <row r="37" spans="1:18" x14ac:dyDescent="0.25">
      <c r="A37" t="s">
        <v>348</v>
      </c>
      <c r="B37" t="s">
        <v>350</v>
      </c>
      <c r="C37" t="s">
        <v>57</v>
      </c>
      <c r="D37" t="s">
        <v>27</v>
      </c>
      <c r="E37" t="s">
        <v>27</v>
      </c>
      <c r="F37" t="s">
        <v>28</v>
      </c>
      <c r="G37" t="s">
        <v>57</v>
      </c>
      <c r="H37" t="s">
        <v>27</v>
      </c>
      <c r="J37" t="str">
        <v>A</v>
      </c>
      <c r="L37" t="s">
        <v>57</v>
      </c>
      <c r="M37" t="s">
        <v>27</v>
      </c>
      <c r="O37" t="b">
        <f t="shared" si="1"/>
        <v>0</v>
      </c>
      <c r="P37" t="b">
        <f t="shared" si="2"/>
        <v>1</v>
      </c>
    </row>
    <row r="38" spans="1:18" x14ac:dyDescent="0.25">
      <c r="A38" t="s">
        <v>348</v>
      </c>
      <c r="B38" t="s">
        <v>351</v>
      </c>
      <c r="C38" t="s">
        <v>28</v>
      </c>
      <c r="D38" t="s">
        <v>26</v>
      </c>
      <c r="E38" t="s">
        <v>27</v>
      </c>
      <c r="F38" t="s">
        <v>28</v>
      </c>
      <c r="G38" t="s">
        <v>27</v>
      </c>
      <c r="H38" t="s">
        <v>26</v>
      </c>
      <c r="J38" t="str">
        <v>D</v>
      </c>
      <c r="L38" t="s">
        <v>28</v>
      </c>
      <c r="M38" t="s">
        <v>57</v>
      </c>
      <c r="O38" t="b">
        <f t="shared" si="1"/>
        <v>1</v>
      </c>
      <c r="P38" t="b">
        <f t="shared" si="2"/>
        <v>0</v>
      </c>
    </row>
    <row r="39" spans="1:18" x14ac:dyDescent="0.25">
      <c r="J39" t="str">
        <v>B</v>
      </c>
      <c r="L39" t="s">
        <v>26</v>
      </c>
      <c r="M39" t="s">
        <v>26</v>
      </c>
      <c r="O39" t="b">
        <f t="shared" si="1"/>
        <v>0</v>
      </c>
      <c r="P39" t="b">
        <f t="shared" si="2"/>
        <v>0</v>
      </c>
    </row>
    <row r="40" spans="1:18" x14ac:dyDescent="0.25">
      <c r="J40" t="str">
        <v>D</v>
      </c>
      <c r="L40" t="s">
        <v>28</v>
      </c>
      <c r="M40" t="s">
        <v>27</v>
      </c>
      <c r="O40" t="b">
        <f t="shared" si="1"/>
        <v>0</v>
      </c>
      <c r="P40" t="b">
        <f t="shared" si="2"/>
        <v>0</v>
      </c>
    </row>
  </sheetData>
  <phoneticPr fontId="1" type="noConversion"/>
  <dataValidations count="3">
    <dataValidation type="list" allowBlank="1" showInputMessage="1" showErrorMessage="1" sqref="F1" xr:uid="{02969133-3514-4806-B451-4320D10E5F10}">
      <formula1>$A$1:$D$1</formula1>
    </dataValidation>
    <dataValidation type="list" allowBlank="1" showInputMessage="1" showErrorMessage="1" sqref="J30" xr:uid="{BDF66B4B-8059-4D01-AA6E-1D45ADD9A91A}">
      <formula1>$A$31:$A$38</formula1>
    </dataValidation>
    <dataValidation type="list" allowBlank="1" showInputMessage="1" showErrorMessage="1" sqref="J29" xr:uid="{F3F61136-3A3F-424B-8BF3-8A7261FD3C8D}">
      <formula1>$B$31:$B$38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8200-662C-4314-B115-021C1D7F37D0}">
  <sheetPr codeName="Hoja50"/>
  <dimension ref="A1:K8"/>
  <sheetViews>
    <sheetView workbookViewId="0">
      <selection activeCell="G6" sqref="G6"/>
    </sheetView>
  </sheetViews>
  <sheetFormatPr baseColWidth="10" defaultRowHeight="15" x14ac:dyDescent="0.25"/>
  <cols>
    <col min="5" max="5" width="20" bestFit="1" customWidth="1"/>
    <col min="9" max="9" width="24.42578125" customWidth="1"/>
  </cols>
  <sheetData>
    <row r="1" spans="1:11" x14ac:dyDescent="0.25">
      <c r="A1">
        <v>1</v>
      </c>
      <c r="B1">
        <v>3</v>
      </c>
      <c r="D1" t="b">
        <f>A1=B1</f>
        <v>0</v>
      </c>
      <c r="E1" cm="1">
        <f t="array" ref="E1:E3">_xlfn._xlws.FILTER(B1:B8,COUNTIF(A1:A8,B1:B8)=0)</f>
        <v>0</v>
      </c>
      <c r="G1" t="s">
        <v>364</v>
      </c>
      <c r="J1">
        <f>COUNTIF($A$1:$A$8,B1)</f>
        <v>1</v>
      </c>
      <c r="K1" cm="1">
        <f t="array" ref="K1:K8">COUNTIF(A1:A8,B1:B8)</f>
        <v>1</v>
      </c>
    </row>
    <row r="2" spans="1:11" x14ac:dyDescent="0.25">
      <c r="A2">
        <v>2</v>
      </c>
      <c r="B2">
        <v>6</v>
      </c>
      <c r="D2" t="b">
        <f t="shared" ref="D2:D8" si="0">A2=B2</f>
        <v>0</v>
      </c>
      <c r="E2">
        <v>11</v>
      </c>
      <c r="J2">
        <f t="shared" ref="J2:J8" si="1">COUNTIF($A$1:$A$8,B2)</f>
        <v>1</v>
      </c>
      <c r="K2">
        <v>1</v>
      </c>
    </row>
    <row r="3" spans="1:11" x14ac:dyDescent="0.25">
      <c r="A3">
        <v>3</v>
      </c>
      <c r="B3">
        <v>0</v>
      </c>
      <c r="D3" t="b">
        <f t="shared" si="0"/>
        <v>0</v>
      </c>
      <c r="E3">
        <v>56</v>
      </c>
      <c r="J3">
        <f t="shared" si="1"/>
        <v>0</v>
      </c>
      <c r="K3">
        <v>0</v>
      </c>
    </row>
    <row r="4" spans="1:11" x14ac:dyDescent="0.25">
      <c r="A4">
        <v>4</v>
      </c>
      <c r="B4">
        <v>11</v>
      </c>
      <c r="D4" t="b">
        <f t="shared" si="0"/>
        <v>0</v>
      </c>
      <c r="J4">
        <f t="shared" si="1"/>
        <v>0</v>
      </c>
      <c r="K4">
        <v>0</v>
      </c>
    </row>
    <row r="5" spans="1:11" x14ac:dyDescent="0.25">
      <c r="A5">
        <v>5</v>
      </c>
      <c r="B5">
        <v>56</v>
      </c>
      <c r="D5" t="b">
        <f t="shared" si="0"/>
        <v>0</v>
      </c>
      <c r="J5">
        <f t="shared" si="1"/>
        <v>0</v>
      </c>
      <c r="K5">
        <v>0</v>
      </c>
    </row>
    <row r="6" spans="1:11" x14ac:dyDescent="0.25">
      <c r="A6">
        <v>6</v>
      </c>
      <c r="B6">
        <v>8</v>
      </c>
      <c r="D6" t="b">
        <f t="shared" si="0"/>
        <v>0</v>
      </c>
      <c r="J6">
        <f t="shared" si="1"/>
        <v>1</v>
      </c>
      <c r="K6">
        <v>1</v>
      </c>
    </row>
    <row r="7" spans="1:11" x14ac:dyDescent="0.25">
      <c r="A7">
        <v>7</v>
      </c>
      <c r="B7">
        <v>7</v>
      </c>
      <c r="D7" t="b">
        <f t="shared" si="0"/>
        <v>1</v>
      </c>
      <c r="J7">
        <f t="shared" si="1"/>
        <v>1</v>
      </c>
      <c r="K7">
        <v>1</v>
      </c>
    </row>
    <row r="8" spans="1:11" x14ac:dyDescent="0.25">
      <c r="A8">
        <v>8</v>
      </c>
      <c r="B8">
        <v>1</v>
      </c>
      <c r="D8" t="b">
        <f t="shared" si="0"/>
        <v>0</v>
      </c>
      <c r="J8">
        <f t="shared" si="1"/>
        <v>1</v>
      </c>
      <c r="K8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80AA-26EC-4957-8976-6318FBCE27B7}">
  <sheetPr codeName="Hoja51"/>
  <dimension ref="A1:N43"/>
  <sheetViews>
    <sheetView workbookViewId="0">
      <selection activeCell="A7" sqref="A7"/>
    </sheetView>
  </sheetViews>
  <sheetFormatPr baseColWidth="10" defaultRowHeight="15" x14ac:dyDescent="0.25"/>
  <cols>
    <col min="1" max="1" width="21.5703125" customWidth="1"/>
    <col min="2" max="2" width="14.5703125" bestFit="1" customWidth="1"/>
    <col min="9" max="9" width="11.7109375" bestFit="1" customWidth="1"/>
    <col min="13" max="13" width="13.28515625" customWidth="1"/>
  </cols>
  <sheetData>
    <row r="1" spans="1:14" x14ac:dyDescent="0.25">
      <c r="A1" t="str" cm="1">
        <f t="array" ref="A1:A4">{"Negro";"Amarillo";"Verde";"Azul"}</f>
        <v>Negro</v>
      </c>
      <c r="B1">
        <v>1</v>
      </c>
      <c r="C1" t="s">
        <v>365</v>
      </c>
      <c r="D1" cm="1">
        <f t="array" ref="D1:D20">_xlfn.XMATCH(C1:C20,_xlfn.ANCHORARRAY(A1),0,1)</f>
        <v>1</v>
      </c>
      <c r="F1" cm="1">
        <f t="array" ref="F1:G20">_xlfn.SORTBY(B1:C20,_xlfn.XMATCH(C1:C20,_xlfn.ANCHORARRAY(A1),0,1),1)</f>
        <v>1</v>
      </c>
      <c r="G1" t="str">
        <v>Negro</v>
      </c>
      <c r="I1" t="str" cm="1">
        <f t="array" ref="I1:I12">PROPER(TEXT(DATE(2000,_xlfn.SEQUENCE(12),1),"MMMM"))</f>
        <v>Enero</v>
      </c>
      <c r="J1" t="str" cm="1">
        <f t="array" ref="J1:J43">TEXT(DATE(_xlfn.SEQUENCE(43,1,1984),4,9),"dddd")</f>
        <v>lunes</v>
      </c>
      <c r="K1" t="str" cm="1">
        <f t="array" ref="K1:K7">TEXT(DATE(2026,4,_xlfn.SEQUENCE(7,,20)),"DDDD")</f>
        <v>lunes</v>
      </c>
      <c r="M1" s="5" cm="1">
        <f t="array" aca="1" ref="M1:M30" ca="1">_xlfn._xlws.SORT(_xlfn.RANDARRAY(30,1,DATE(2026,1,20),DATE(2026,12,31),TRUE),1,1)</f>
        <v>46060</v>
      </c>
      <c r="N1" t="s">
        <v>367</v>
      </c>
    </row>
    <row r="2" spans="1:14" x14ac:dyDescent="0.25">
      <c r="A2" t="str">
        <v>Amarillo</v>
      </c>
      <c r="B2">
        <v>2</v>
      </c>
      <c r="C2" t="s">
        <v>366</v>
      </c>
      <c r="D2">
        <v>2</v>
      </c>
      <c r="F2">
        <v>5</v>
      </c>
      <c r="G2" t="str">
        <v>Negro</v>
      </c>
      <c r="I2" t="str">
        <v>Febrero</v>
      </c>
      <c r="J2" t="str">
        <v>martes</v>
      </c>
      <c r="K2" t="str">
        <v>martes</v>
      </c>
      <c r="M2" s="5">
        <f ca="1"/>
        <v>46073</v>
      </c>
    </row>
    <row r="3" spans="1:14" x14ac:dyDescent="0.25">
      <c r="A3" t="str">
        <v>Verde</v>
      </c>
      <c r="B3">
        <v>3</v>
      </c>
      <c r="C3" t="s">
        <v>321</v>
      </c>
      <c r="D3">
        <v>3</v>
      </c>
      <c r="F3">
        <v>9</v>
      </c>
      <c r="G3" t="str">
        <v>Negro</v>
      </c>
      <c r="I3" t="str">
        <v>Marzo</v>
      </c>
      <c r="J3" t="str">
        <v>miércoles</v>
      </c>
      <c r="K3" t="str">
        <v>miércoles</v>
      </c>
      <c r="M3" s="5">
        <f ca="1"/>
        <v>46096</v>
      </c>
    </row>
    <row r="4" spans="1:14" x14ac:dyDescent="0.25">
      <c r="A4" t="str">
        <v>Azul</v>
      </c>
      <c r="B4">
        <v>4</v>
      </c>
      <c r="C4" t="s">
        <v>320</v>
      </c>
      <c r="D4">
        <v>4</v>
      </c>
      <c r="F4">
        <v>13</v>
      </c>
      <c r="G4" t="str">
        <v>Negro</v>
      </c>
      <c r="I4" t="str">
        <v>Abril</v>
      </c>
      <c r="J4" t="str">
        <v>jueves</v>
      </c>
      <c r="K4" t="str">
        <v>jueves</v>
      </c>
      <c r="M4" s="5">
        <f ca="1"/>
        <v>46104</v>
      </c>
    </row>
    <row r="5" spans="1:14" x14ac:dyDescent="0.25">
      <c r="B5">
        <v>5</v>
      </c>
      <c r="C5" t="s">
        <v>365</v>
      </c>
      <c r="D5">
        <v>1</v>
      </c>
      <c r="F5">
        <v>17</v>
      </c>
      <c r="G5" t="str">
        <v>Negro</v>
      </c>
      <c r="I5" t="str">
        <v>Mayo</v>
      </c>
      <c r="J5" t="str">
        <v>sábado</v>
      </c>
      <c r="K5" t="str">
        <v>viernes</v>
      </c>
      <c r="M5" s="5">
        <f ca="1"/>
        <v>46105</v>
      </c>
    </row>
    <row r="6" spans="1:14" x14ac:dyDescent="0.25">
      <c r="B6">
        <v>6</v>
      </c>
      <c r="C6" t="s">
        <v>366</v>
      </c>
      <c r="D6">
        <v>2</v>
      </c>
      <c r="F6">
        <v>2</v>
      </c>
      <c r="G6" t="str">
        <v>Amarillo</v>
      </c>
      <c r="I6" t="str">
        <v>Junio</v>
      </c>
      <c r="J6" t="str">
        <v>domingo</v>
      </c>
      <c r="K6" t="str">
        <v>sábado</v>
      </c>
      <c r="M6" s="5">
        <f ca="1"/>
        <v>46119</v>
      </c>
    </row>
    <row r="7" spans="1:14" x14ac:dyDescent="0.25">
      <c r="B7">
        <v>7</v>
      </c>
      <c r="C7" t="s">
        <v>321</v>
      </c>
      <c r="D7">
        <v>3</v>
      </c>
      <c r="F7">
        <v>6</v>
      </c>
      <c r="G7" t="str">
        <v>Amarillo</v>
      </c>
      <c r="I7" t="str">
        <v>Julio</v>
      </c>
      <c r="J7" t="str">
        <v>lunes</v>
      </c>
      <c r="K7" t="str">
        <v>domingo</v>
      </c>
      <c r="M7" s="5">
        <f ca="1"/>
        <v>46125</v>
      </c>
    </row>
    <row r="8" spans="1:14" x14ac:dyDescent="0.25">
      <c r="B8">
        <v>8</v>
      </c>
      <c r="C8" t="s">
        <v>320</v>
      </c>
      <c r="D8">
        <v>4</v>
      </c>
      <c r="F8">
        <v>10</v>
      </c>
      <c r="G8" t="str">
        <v>Amarillo</v>
      </c>
      <c r="I8" t="str">
        <v>Agosto</v>
      </c>
      <c r="J8" t="str">
        <v>martes</v>
      </c>
      <c r="M8" s="5">
        <f ca="1"/>
        <v>46126</v>
      </c>
    </row>
    <row r="9" spans="1:14" x14ac:dyDescent="0.25">
      <c r="B9">
        <v>9</v>
      </c>
      <c r="C9" t="str" cm="1">
        <f t="array" ref="C9:C12">{"Negro";"Amarillo";"Verde";"Azul"}</f>
        <v>Negro</v>
      </c>
      <c r="D9">
        <v>1</v>
      </c>
      <c r="F9">
        <v>14</v>
      </c>
      <c r="G9" t="str">
        <v>Amarillo</v>
      </c>
      <c r="I9" t="str">
        <v>Septiembre</v>
      </c>
      <c r="J9" t="str">
        <v>jueves</v>
      </c>
      <c r="M9" s="5">
        <f ca="1"/>
        <v>46140</v>
      </c>
    </row>
    <row r="10" spans="1:14" x14ac:dyDescent="0.25">
      <c r="B10">
        <v>10</v>
      </c>
      <c r="C10" t="str">
        <v>Amarillo</v>
      </c>
      <c r="D10">
        <v>2</v>
      </c>
      <c r="F10">
        <v>18</v>
      </c>
      <c r="G10" t="str">
        <v>Amarillo</v>
      </c>
      <c r="I10" t="str">
        <v>Octubre</v>
      </c>
      <c r="J10" t="str">
        <v>viernes</v>
      </c>
      <c r="M10" s="5">
        <f ca="1"/>
        <v>46140</v>
      </c>
    </row>
    <row r="11" spans="1:14" x14ac:dyDescent="0.25">
      <c r="B11">
        <v>11</v>
      </c>
      <c r="C11" t="str">
        <v>Verde</v>
      </c>
      <c r="D11">
        <v>3</v>
      </c>
      <c r="F11">
        <v>3</v>
      </c>
      <c r="G11" t="str">
        <v>Verde</v>
      </c>
      <c r="I11" t="str">
        <v>Noviembre</v>
      </c>
      <c r="J11" t="str">
        <v>sábado</v>
      </c>
      <c r="M11" s="5">
        <f ca="1"/>
        <v>46144</v>
      </c>
    </row>
    <row r="12" spans="1:14" x14ac:dyDescent="0.25">
      <c r="B12">
        <v>12</v>
      </c>
      <c r="C12" t="str">
        <v>Azul</v>
      </c>
      <c r="D12">
        <v>4</v>
      </c>
      <c r="F12">
        <v>7</v>
      </c>
      <c r="G12" t="str">
        <v>Verde</v>
      </c>
      <c r="I12" t="str">
        <v>Diciembre</v>
      </c>
      <c r="J12" t="str">
        <v>domingo</v>
      </c>
      <c r="M12" s="5">
        <f ca="1"/>
        <v>46152</v>
      </c>
    </row>
    <row r="13" spans="1:14" x14ac:dyDescent="0.25">
      <c r="B13">
        <v>13</v>
      </c>
      <c r="C13" t="str" cm="1">
        <f t="array" ref="C13:C16">{"Negro";"Amarillo";"Verde";"Azul"}</f>
        <v>Negro</v>
      </c>
      <c r="D13">
        <v>1</v>
      </c>
      <c r="F13">
        <v>11</v>
      </c>
      <c r="G13" t="str">
        <v>Verde</v>
      </c>
      <c r="J13" t="str">
        <v>martes</v>
      </c>
      <c r="M13" s="5">
        <f ca="1"/>
        <v>46167</v>
      </c>
    </row>
    <row r="14" spans="1:14" x14ac:dyDescent="0.25">
      <c r="B14">
        <v>14</v>
      </c>
      <c r="C14" t="str">
        <v>Amarillo</v>
      </c>
      <c r="D14">
        <v>2</v>
      </c>
      <c r="F14">
        <v>15</v>
      </c>
      <c r="G14" t="str">
        <v>Verde</v>
      </c>
      <c r="J14" t="str">
        <v>miércoles</v>
      </c>
      <c r="M14" s="5">
        <f ca="1"/>
        <v>46185</v>
      </c>
    </row>
    <row r="15" spans="1:14" x14ac:dyDescent="0.25">
      <c r="B15">
        <v>15</v>
      </c>
      <c r="C15" t="str">
        <v>Verde</v>
      </c>
      <c r="D15">
        <v>3</v>
      </c>
      <c r="F15">
        <v>19</v>
      </c>
      <c r="G15" t="str">
        <v>Verde</v>
      </c>
      <c r="J15" t="str">
        <v>jueves</v>
      </c>
      <c r="M15" s="5">
        <f ca="1"/>
        <v>46191</v>
      </c>
    </row>
    <row r="16" spans="1:14" x14ac:dyDescent="0.25">
      <c r="B16">
        <v>16</v>
      </c>
      <c r="C16" t="str">
        <v>Azul</v>
      </c>
      <c r="D16">
        <v>4</v>
      </c>
      <c r="F16">
        <v>4</v>
      </c>
      <c r="G16" t="str">
        <v>Azul</v>
      </c>
      <c r="J16" t="str">
        <v>viernes</v>
      </c>
      <c r="M16" s="5">
        <f ca="1"/>
        <v>46218</v>
      </c>
    </row>
    <row r="17" spans="1:13" x14ac:dyDescent="0.25">
      <c r="B17">
        <v>17</v>
      </c>
      <c r="C17" t="str" cm="1">
        <f t="array" ref="C17:C20">{"Negro";"Amarillo";"Verde";"Azul"}</f>
        <v>Negro</v>
      </c>
      <c r="D17">
        <v>1</v>
      </c>
      <c r="F17">
        <v>8</v>
      </c>
      <c r="G17" t="str">
        <v>Azul</v>
      </c>
      <c r="J17" t="str">
        <v>domingo</v>
      </c>
      <c r="M17" s="5">
        <f ca="1"/>
        <v>46233</v>
      </c>
    </row>
    <row r="18" spans="1:13" x14ac:dyDescent="0.25">
      <c r="B18">
        <v>18</v>
      </c>
      <c r="C18" t="str">
        <v>Amarillo</v>
      </c>
      <c r="D18">
        <v>2</v>
      </c>
      <c r="F18">
        <v>12</v>
      </c>
      <c r="G18" t="str">
        <v>Azul</v>
      </c>
      <c r="J18" t="str">
        <v>lunes</v>
      </c>
      <c r="M18" s="5">
        <f ca="1"/>
        <v>46249</v>
      </c>
    </row>
    <row r="19" spans="1:13" x14ac:dyDescent="0.25">
      <c r="B19">
        <v>19</v>
      </c>
      <c r="C19" t="str">
        <v>Verde</v>
      </c>
      <c r="D19">
        <v>3</v>
      </c>
      <c r="F19">
        <v>16</v>
      </c>
      <c r="G19" t="str">
        <v>Azul</v>
      </c>
      <c r="J19" t="str">
        <v>martes</v>
      </c>
      <c r="M19" s="5">
        <f ca="1"/>
        <v>46279</v>
      </c>
    </row>
    <row r="20" spans="1:13" x14ac:dyDescent="0.25">
      <c r="B20">
        <v>20</v>
      </c>
      <c r="C20" t="str">
        <v>Azul</v>
      </c>
      <c r="D20">
        <v>4</v>
      </c>
      <c r="F20">
        <v>20</v>
      </c>
      <c r="G20" t="str">
        <v>Azul</v>
      </c>
      <c r="J20" t="str">
        <v>miércoles</v>
      </c>
      <c r="M20" s="5">
        <f ca="1"/>
        <v>46280</v>
      </c>
    </row>
    <row r="21" spans="1:13" x14ac:dyDescent="0.25">
      <c r="J21" t="str">
        <v>viernes</v>
      </c>
      <c r="M21" s="5">
        <f ca="1"/>
        <v>46296</v>
      </c>
    </row>
    <row r="22" spans="1:13" x14ac:dyDescent="0.25">
      <c r="J22" t="str">
        <v>sábado</v>
      </c>
      <c r="M22" s="5">
        <f ca="1"/>
        <v>46305</v>
      </c>
    </row>
    <row r="23" spans="1:13" x14ac:dyDescent="0.25">
      <c r="J23" t="str">
        <v>domingo</v>
      </c>
      <c r="M23" s="5">
        <f ca="1"/>
        <v>46317</v>
      </c>
    </row>
    <row r="24" spans="1:13" x14ac:dyDescent="0.25">
      <c r="A24" t="str" cm="1">
        <f t="array" ref="A24:A27">{"Raul";"Marta";"Javier";"Laura"}</f>
        <v>Raul</v>
      </c>
      <c r="J24" t="str">
        <v>lunes</v>
      </c>
      <c r="M24" s="5">
        <f ca="1"/>
        <v>46326</v>
      </c>
    </row>
    <row r="25" spans="1:13" x14ac:dyDescent="0.25">
      <c r="A25" t="str">
        <v>Marta</v>
      </c>
      <c r="J25" t="str">
        <v>miércoles</v>
      </c>
      <c r="M25" s="5">
        <f ca="1"/>
        <v>46337</v>
      </c>
    </row>
    <row r="26" spans="1:13" x14ac:dyDescent="0.25">
      <c r="A26" t="str">
        <v>Javier</v>
      </c>
      <c r="J26" t="str">
        <v>jueves</v>
      </c>
      <c r="M26" s="5">
        <f ca="1"/>
        <v>46352</v>
      </c>
    </row>
    <row r="27" spans="1:13" x14ac:dyDescent="0.25">
      <c r="A27" t="str">
        <v>Laura</v>
      </c>
      <c r="J27" t="str">
        <v>viernes</v>
      </c>
      <c r="M27" s="5">
        <f ca="1"/>
        <v>46358</v>
      </c>
    </row>
    <row r="28" spans="1:13" x14ac:dyDescent="0.25">
      <c r="J28" t="str">
        <v>sábado</v>
      </c>
      <c r="M28" s="5">
        <f ca="1"/>
        <v>46358</v>
      </c>
    </row>
    <row r="29" spans="1:13" x14ac:dyDescent="0.25">
      <c r="J29" t="str">
        <v>lunes</v>
      </c>
      <c r="M29" s="5">
        <f ca="1"/>
        <v>46364</v>
      </c>
    </row>
    <row r="30" spans="1:13" x14ac:dyDescent="0.25">
      <c r="J30" t="str">
        <v>martes</v>
      </c>
      <c r="M30" s="5">
        <f ca="1"/>
        <v>46384</v>
      </c>
    </row>
    <row r="31" spans="1:13" x14ac:dyDescent="0.25">
      <c r="J31" t="str">
        <v>miércoles</v>
      </c>
    </row>
    <row r="32" spans="1:13" x14ac:dyDescent="0.25">
      <c r="J32" t="str">
        <v>jueves</v>
      </c>
    </row>
    <row r="33" spans="10:10" x14ac:dyDescent="0.25">
      <c r="J33" t="str">
        <v>sábado</v>
      </c>
    </row>
    <row r="34" spans="10:10" x14ac:dyDescent="0.25">
      <c r="J34" t="str">
        <v>domingo</v>
      </c>
    </row>
    <row r="35" spans="10:10" x14ac:dyDescent="0.25">
      <c r="J35" t="str">
        <v>lunes</v>
      </c>
    </row>
    <row r="36" spans="10:10" x14ac:dyDescent="0.25">
      <c r="J36" t="str">
        <v>martes</v>
      </c>
    </row>
    <row r="37" spans="10:10" x14ac:dyDescent="0.25">
      <c r="J37" t="str">
        <v>jueves</v>
      </c>
    </row>
    <row r="38" spans="10:10" x14ac:dyDescent="0.25">
      <c r="J38" t="str">
        <v>viernes</v>
      </c>
    </row>
    <row r="39" spans="10:10" x14ac:dyDescent="0.25">
      <c r="J39" t="str">
        <v>sábado</v>
      </c>
    </row>
    <row r="40" spans="10:10" x14ac:dyDescent="0.25">
      <c r="J40" t="str">
        <v>domingo</v>
      </c>
    </row>
    <row r="41" spans="10:10" x14ac:dyDescent="0.25">
      <c r="J41" t="str">
        <v>martes</v>
      </c>
    </row>
    <row r="42" spans="10:10" x14ac:dyDescent="0.25">
      <c r="J42" t="str">
        <v>miércoles</v>
      </c>
    </row>
    <row r="43" spans="10:10" x14ac:dyDescent="0.25">
      <c r="J43" t="str">
        <v>jueves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9D97-8FD8-48EC-BB73-78C5713B02C8}">
  <sheetPr codeName="Hoja52"/>
  <dimension ref="D1:F7"/>
  <sheetViews>
    <sheetView workbookViewId="0">
      <selection activeCell="D15" sqref="D15"/>
    </sheetView>
  </sheetViews>
  <sheetFormatPr baseColWidth="10" defaultRowHeight="15" x14ac:dyDescent="0.25"/>
  <sheetData>
    <row r="1" spans="4:6" x14ac:dyDescent="0.25">
      <c r="E1" t="s">
        <v>370</v>
      </c>
      <c r="F1" t="s">
        <v>371</v>
      </c>
    </row>
    <row r="2" spans="4:6" x14ac:dyDescent="0.25">
      <c r="D2" t="s">
        <v>345</v>
      </c>
    </row>
    <row r="3" spans="4:6" x14ac:dyDescent="0.25">
      <c r="D3" t="s">
        <v>346</v>
      </c>
    </row>
    <row r="4" spans="4:6" x14ac:dyDescent="0.25">
      <c r="D4" t="s">
        <v>347</v>
      </c>
    </row>
    <row r="5" spans="4:6" x14ac:dyDescent="0.25">
      <c r="D5" t="s">
        <v>348</v>
      </c>
    </row>
    <row r="6" spans="4:6" x14ac:dyDescent="0.25">
      <c r="D6" t="s">
        <v>368</v>
      </c>
    </row>
    <row r="7" spans="4:6" x14ac:dyDescent="0.25">
      <c r="D7" t="s">
        <v>369</v>
      </c>
    </row>
  </sheetData>
  <sheetProtection algorithmName="SHA-512" hashValue="wcwYkSXd9y/AY8XZi1LK7mhlysxy4/SEyxbWnJu1aO34H/27CiYmyiz/bUQYMGZ1dLcEnY4+/A4JYybbiNkzzQ==" saltValue="y6/6J5AitCVepDv75yzGyQ==" spinCount="100000" sheet="1" objects="1" scenarios="1"/>
  <protectedRanges>
    <protectedRange algorithmName="SHA-512" hashValue="nYNp0hV3pF8bjRYCFYOF15TmbMNicg2qCubzlRIiY1jyR2LaUe38Wb9BwhUKo9IEMx5Hh6yNQhwNIdGb6Snjvg==" saltValue="pweM+8EGlqikpoCLKtcrmA==" spinCount="100000" sqref="F2:F7" name="Mates"/>
    <protectedRange algorithmName="SHA-512" hashValue="Bv98l+gRdDzI5gHiR8XKrolwyCY0f2wPYx5UorsdbUK1/ovnJAComZpWWVevV5shmODqddg0VgJKWlgUzEc23w==" saltValue="KdvQVk9ARng5exYfrGN3cw==" spinCount="100000" sqref="E2:E7" name="Lengua"/>
  </protectedRange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8B56-C7DF-4342-9C09-8F3B3B5E6619}">
  <sheetPr codeName="Hoja53"/>
  <dimension ref="A1:E17"/>
  <sheetViews>
    <sheetView workbookViewId="0">
      <selection activeCell="C3" sqref="C3"/>
    </sheetView>
  </sheetViews>
  <sheetFormatPr baseColWidth="10" defaultRowHeight="15" x14ac:dyDescent="0.25"/>
  <cols>
    <col min="4" max="4" width="11.140625" customWidth="1"/>
    <col min="5" max="5" width="15.42578125" customWidth="1"/>
  </cols>
  <sheetData>
    <row r="1" spans="1:5" x14ac:dyDescent="0.25">
      <c r="C1" t="s">
        <v>381</v>
      </c>
      <c r="D1" t="s">
        <v>382</v>
      </c>
      <c r="E1" t="s">
        <v>383</v>
      </c>
    </row>
    <row r="2" spans="1:5" x14ac:dyDescent="0.25">
      <c r="A2" t="s">
        <v>374</v>
      </c>
      <c r="B2" t="s">
        <v>372</v>
      </c>
      <c r="C2" t="s">
        <v>373</v>
      </c>
      <c r="D2" t="s">
        <v>375</v>
      </c>
      <c r="E2" t="s">
        <v>376</v>
      </c>
    </row>
    <row r="3" spans="1:5" x14ac:dyDescent="0.25">
      <c r="A3">
        <v>1</v>
      </c>
      <c r="B3" t="s">
        <v>377</v>
      </c>
      <c r="C3" t="str">
        <f>_xlfn.TRANSLATE($B3,"es",C$1)</f>
        <v>Hola</v>
      </c>
      <c r="D3" t="str">
        <f t="shared" ref="D3:E8" si="0">_xlfn.TRANSLATE($B3,"es",D$1)</f>
        <v>Hello</v>
      </c>
      <c r="E3" t="str">
        <f t="shared" si="0"/>
        <v>Hallo</v>
      </c>
    </row>
    <row r="4" spans="1:5" x14ac:dyDescent="0.25">
      <c r="A4">
        <v>2</v>
      </c>
      <c r="B4" t="s">
        <v>378</v>
      </c>
      <c r="C4" t="str">
        <f t="shared" ref="C4:C8" si="1">_xlfn.TRANSLATE($B4,"es",C$1)</f>
        <v>Adiós</v>
      </c>
      <c r="D4" t="str">
        <f t="shared" si="0"/>
        <v>Goodbye</v>
      </c>
      <c r="E4" t="str">
        <f t="shared" si="0"/>
        <v>Auf Wiedersehen</v>
      </c>
    </row>
    <row r="5" spans="1:5" x14ac:dyDescent="0.25">
      <c r="A5">
        <v>3</v>
      </c>
      <c r="B5" t="s">
        <v>379</v>
      </c>
      <c r="C5" t="str">
        <f t="shared" si="1"/>
        <v>Coche</v>
      </c>
      <c r="D5" t="str">
        <f t="shared" si="0"/>
        <v>Car</v>
      </c>
      <c r="E5" t="str">
        <f t="shared" si="0"/>
        <v>Auto</v>
      </c>
    </row>
    <row r="6" spans="1:5" x14ac:dyDescent="0.25">
      <c r="A6">
        <v>4</v>
      </c>
      <c r="B6" t="s">
        <v>380</v>
      </c>
      <c r="C6" t="str">
        <f t="shared" si="1"/>
        <v>Pelota</v>
      </c>
      <c r="D6" t="str">
        <f t="shared" si="0"/>
        <v>Ball</v>
      </c>
      <c r="E6" t="str">
        <f t="shared" si="0"/>
        <v>Ball</v>
      </c>
    </row>
    <row r="7" spans="1:5" x14ac:dyDescent="0.25">
      <c r="A7">
        <v>5</v>
      </c>
      <c r="B7" t="s">
        <v>384</v>
      </c>
      <c r="C7" t="str">
        <f t="shared" si="1"/>
        <v>Trailer</v>
      </c>
      <c r="D7" t="str">
        <f t="shared" si="0"/>
        <v>Trailer</v>
      </c>
      <c r="E7" t="str">
        <f t="shared" si="0"/>
        <v>Anhänger</v>
      </c>
    </row>
    <row r="8" spans="1:5" x14ac:dyDescent="0.25">
      <c r="A8">
        <v>6</v>
      </c>
      <c r="B8" t="s">
        <v>385</v>
      </c>
      <c r="C8" t="str">
        <f t="shared" si="1"/>
        <v>Autobús</v>
      </c>
      <c r="D8" t="str">
        <f t="shared" si="0"/>
        <v>Bus</v>
      </c>
      <c r="E8" t="str">
        <f t="shared" si="0"/>
        <v>Bus</v>
      </c>
    </row>
    <row r="9" spans="1:5" x14ac:dyDescent="0.25">
      <c r="A9">
        <v>7</v>
      </c>
      <c r="B9" t="s">
        <v>386</v>
      </c>
      <c r="C9" t="str">
        <f t="shared" ref="C9:C17" si="2">_xlfn.TRANSLATE($B9,"es","es")</f>
        <v>Ornitorrinco</v>
      </c>
      <c r="D9" t="str">
        <f t="shared" ref="D9:D17" si="3">_xlfn.TRANSLATE($B9,"es","en")</f>
        <v>Platypus</v>
      </c>
      <c r="E9" t="str">
        <f t="shared" ref="E9:E17" si="4">_xlfn.TRANSLATE($B9,"es","de")</f>
        <v>Schnabeltier</v>
      </c>
    </row>
    <row r="10" spans="1:5" x14ac:dyDescent="0.25">
      <c r="A10">
        <v>8</v>
      </c>
      <c r="B10" t="s">
        <v>387</v>
      </c>
      <c r="C10" t="str">
        <f t="shared" si="2"/>
        <v>Capibara</v>
      </c>
      <c r="D10" t="str">
        <f t="shared" si="3"/>
        <v>Capybara</v>
      </c>
      <c r="E10" t="str">
        <f t="shared" si="4"/>
        <v>Capybara</v>
      </c>
    </row>
    <row r="11" spans="1:5" x14ac:dyDescent="0.25">
      <c r="A11">
        <v>9</v>
      </c>
      <c r="B11" t="s">
        <v>388</v>
      </c>
      <c r="C11" t="str">
        <f t="shared" si="2"/>
        <v>Excelente</v>
      </c>
      <c r="D11" t="str">
        <f t="shared" si="3"/>
        <v>Excellent</v>
      </c>
      <c r="E11" t="str">
        <f t="shared" si="4"/>
        <v>Ausgezeichnet</v>
      </c>
    </row>
    <row r="12" spans="1:5" x14ac:dyDescent="0.25">
      <c r="A12">
        <v>10</v>
      </c>
      <c r="B12" t="s">
        <v>389</v>
      </c>
      <c r="C12" t="str">
        <f t="shared" si="2"/>
        <v>Regular</v>
      </c>
      <c r="D12" t="str">
        <f t="shared" si="3"/>
        <v>Regular</v>
      </c>
      <c r="E12" t="str">
        <f t="shared" si="4"/>
        <v>Regulär</v>
      </c>
    </row>
    <row r="13" spans="1:5" x14ac:dyDescent="0.25">
      <c r="A13">
        <v>11</v>
      </c>
      <c r="B13" t="s">
        <v>390</v>
      </c>
      <c r="C13" t="str">
        <f t="shared" si="2"/>
        <v>Fuera</v>
      </c>
      <c r="D13" t="str">
        <f t="shared" si="3"/>
        <v>Out</v>
      </c>
      <c r="E13" t="str">
        <f t="shared" si="4"/>
        <v>Ende</v>
      </c>
    </row>
    <row r="14" spans="1:5" x14ac:dyDescent="0.25">
      <c r="A14">
        <v>12</v>
      </c>
      <c r="B14" t="s">
        <v>391</v>
      </c>
      <c r="C14" t="str">
        <f t="shared" si="2"/>
        <v>Caliente</v>
      </c>
      <c r="D14" t="str">
        <f t="shared" si="3"/>
        <v>Hot</v>
      </c>
      <c r="E14" t="str">
        <f t="shared" si="4"/>
        <v>Heiß</v>
      </c>
    </row>
    <row r="15" spans="1:5" x14ac:dyDescent="0.25">
      <c r="A15">
        <v>13</v>
      </c>
      <c r="B15" t="s">
        <v>392</v>
      </c>
      <c r="C15" t="str">
        <f t="shared" si="2"/>
        <v>Frío</v>
      </c>
      <c r="D15" t="str">
        <f t="shared" si="3"/>
        <v>Cold</v>
      </c>
      <c r="E15" t="str">
        <f t="shared" si="4"/>
        <v>Kalt</v>
      </c>
    </row>
    <row r="16" spans="1:5" x14ac:dyDescent="0.25">
      <c r="A16">
        <v>14</v>
      </c>
      <c r="B16" t="s">
        <v>393</v>
      </c>
      <c r="C16" t="str">
        <f t="shared" si="2"/>
        <v>Casa</v>
      </c>
      <c r="D16" t="str">
        <f t="shared" si="3"/>
        <v>Home</v>
      </c>
      <c r="E16" t="str">
        <f t="shared" si="4"/>
        <v>Zuhause</v>
      </c>
    </row>
    <row r="17" spans="1:5" x14ac:dyDescent="0.25">
      <c r="A17">
        <v>15</v>
      </c>
      <c r="B17" t="s">
        <v>394</v>
      </c>
      <c r="C17" t="str">
        <f t="shared" si="2"/>
        <v>Rápido</v>
      </c>
      <c r="D17" t="str">
        <f t="shared" si="3"/>
        <v>Fast</v>
      </c>
      <c r="E17" t="str">
        <f t="shared" si="4"/>
        <v>Schnell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5B37-628C-4B42-9626-718D4EB65F8A}">
  <sheetPr codeName="Hoja54"/>
  <dimension ref="A1:D8"/>
  <sheetViews>
    <sheetView workbookViewId="0">
      <selection sqref="A1:D8"/>
    </sheetView>
  </sheetViews>
  <sheetFormatPr baseColWidth="10" defaultRowHeight="15" x14ac:dyDescent="0.25"/>
  <sheetData>
    <row r="1" spans="1:4" x14ac:dyDescent="0.25">
      <c r="A1" t="s">
        <v>395</v>
      </c>
      <c r="B1" t="s">
        <v>396</v>
      </c>
      <c r="C1" t="s">
        <v>397</v>
      </c>
      <c r="D1" t="s">
        <v>398</v>
      </c>
    </row>
    <row r="2" spans="1:4" x14ac:dyDescent="0.25">
      <c r="A2" t="s">
        <v>399</v>
      </c>
      <c r="B2">
        <v>6</v>
      </c>
      <c r="C2">
        <v>3</v>
      </c>
      <c r="D2">
        <v>7</v>
      </c>
    </row>
    <row r="3" spans="1:4" x14ac:dyDescent="0.25">
      <c r="A3" t="s">
        <v>400</v>
      </c>
      <c r="B3">
        <v>10</v>
      </c>
      <c r="C3">
        <v>7</v>
      </c>
      <c r="D3">
        <v>8</v>
      </c>
    </row>
    <row r="4" spans="1:4" x14ac:dyDescent="0.25">
      <c r="A4" t="s">
        <v>401</v>
      </c>
      <c r="B4">
        <v>9</v>
      </c>
      <c r="C4">
        <v>4</v>
      </c>
      <c r="D4">
        <v>6</v>
      </c>
    </row>
    <row r="5" spans="1:4" x14ac:dyDescent="0.25">
      <c r="A5" t="s">
        <v>402</v>
      </c>
      <c r="B5">
        <v>2</v>
      </c>
      <c r="C5">
        <v>4</v>
      </c>
      <c r="D5">
        <v>9</v>
      </c>
    </row>
    <row r="6" spans="1:4" x14ac:dyDescent="0.25">
      <c r="A6" t="s">
        <v>403</v>
      </c>
      <c r="B6">
        <v>4</v>
      </c>
      <c r="C6">
        <v>6</v>
      </c>
      <c r="D6">
        <v>1</v>
      </c>
    </row>
    <row r="7" spans="1:4" x14ac:dyDescent="0.25">
      <c r="A7" t="s">
        <v>404</v>
      </c>
      <c r="B7">
        <v>8</v>
      </c>
      <c r="C7">
        <v>3</v>
      </c>
      <c r="D7">
        <v>10</v>
      </c>
    </row>
    <row r="8" spans="1:4" x14ac:dyDescent="0.25">
      <c r="A8" t="s">
        <v>405</v>
      </c>
      <c r="B8">
        <v>3</v>
      </c>
      <c r="C8">
        <v>4</v>
      </c>
      <c r="D8">
        <v>9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0A40-41FA-4E3A-A155-97320B5F0BFD}">
  <sheetPr codeName="Hoja55"/>
  <dimension ref="A1:D6"/>
  <sheetViews>
    <sheetView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352</v>
      </c>
      <c r="B1" t="s">
        <v>410</v>
      </c>
      <c r="C1" t="s">
        <v>411</v>
      </c>
      <c r="D1" t="s">
        <v>412</v>
      </c>
    </row>
    <row r="2" spans="1:4" x14ac:dyDescent="0.25">
      <c r="A2" t="s">
        <v>64</v>
      </c>
      <c r="B2">
        <v>31</v>
      </c>
      <c r="C2">
        <v>51</v>
      </c>
      <c r="D2">
        <v>60</v>
      </c>
    </row>
    <row r="3" spans="1:4" x14ac:dyDescent="0.25">
      <c r="A3" t="s">
        <v>406</v>
      </c>
      <c r="B3">
        <v>58</v>
      </c>
      <c r="C3">
        <v>58</v>
      </c>
      <c r="D3">
        <v>71</v>
      </c>
    </row>
    <row r="4" spans="1:4" x14ac:dyDescent="0.25">
      <c r="A4" t="s">
        <v>407</v>
      </c>
      <c r="B4">
        <v>33</v>
      </c>
      <c r="C4">
        <v>52</v>
      </c>
      <c r="D4">
        <v>37</v>
      </c>
    </row>
    <row r="5" spans="1:4" x14ac:dyDescent="0.25">
      <c r="A5" t="s">
        <v>408</v>
      </c>
      <c r="B5">
        <v>41</v>
      </c>
      <c r="C5">
        <v>66</v>
      </c>
      <c r="D5">
        <v>52</v>
      </c>
    </row>
    <row r="6" spans="1:4" x14ac:dyDescent="0.25">
      <c r="A6" t="s">
        <v>409</v>
      </c>
      <c r="B6">
        <v>43</v>
      </c>
      <c r="C6">
        <v>30</v>
      </c>
      <c r="D6">
        <v>62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E2E8-AF10-43DF-8A53-99E4A564016B}">
  <sheetPr codeName="Hoja29"/>
  <dimension ref="A1:M13"/>
  <sheetViews>
    <sheetView workbookViewId="0"/>
  </sheetViews>
  <sheetFormatPr baseColWidth="10" defaultRowHeight="15" x14ac:dyDescent="0.25"/>
  <cols>
    <col min="1" max="1" width="11.7109375" bestFit="1" customWidth="1"/>
    <col min="2" max="2" width="11.85546875" customWidth="1"/>
    <col min="3" max="3" width="12.5703125" customWidth="1"/>
    <col min="8" max="8" width="11.7109375" bestFit="1" customWidth="1"/>
  </cols>
  <sheetData>
    <row r="1" spans="1:13" x14ac:dyDescent="0.25">
      <c r="A1" t="str" cm="1">
        <f t="array" aca="1" ref="A1:D13" ca="1">_xlfn.LET(_xlpm.titulos,{"Meses","Agua","Luz","Tlf"},
_xlpm.Referencias, PROPER(TEXT(DATE(2026,_xlfn.SEQUENCE(12),1), "MMMM")),
_xlpm.datos,_xlfn.RANDARRAY(12,3),
_xlpm.cuerpos,_xlfn.HSTACK(_xlpm.Referencias,_xlpm.datos),
_xlpm.final,_xlfn.VSTACK(_xlpm.titulos,_xlpm.cuerpos),
_xlpm.final)</f>
        <v>Meses</v>
      </c>
      <c r="B1" t="str">
        <f ca="1"/>
        <v>Agua</v>
      </c>
      <c r="C1" t="str">
        <f ca="1"/>
        <v>Luz</v>
      </c>
      <c r="D1" t="str">
        <f ca="1"/>
        <v>Tlf</v>
      </c>
      <c r="G1" t="s">
        <v>413</v>
      </c>
      <c r="J1" t="str" cm="1">
        <f t="array" aca="1" ref="J1:M13" ca="1">_xlfn.VSTACK({"Meses","Agua","Luz","Tlf"},_xlfn.HSTACK(PROPER(TEXT(DATE(2026,_xlfn.SEQUENCE(12),1),"MMMM")),_xlfn.RANDARRAY(12,3)))</f>
        <v>Meses</v>
      </c>
      <c r="K1" t="str">
        <f ca="1"/>
        <v>Agua</v>
      </c>
      <c r="L1" t="str">
        <f ca="1"/>
        <v>Luz</v>
      </c>
      <c r="M1" t="str">
        <f ca="1"/>
        <v>Tlf</v>
      </c>
    </row>
    <row r="2" spans="1:13" x14ac:dyDescent="0.25">
      <c r="A2" t="str">
        <f ca="1"/>
        <v>Enero</v>
      </c>
      <c r="B2">
        <f ca="1"/>
        <v>0.63381461224878355</v>
      </c>
      <c r="C2">
        <f ca="1"/>
        <v>0.67995749396385907</v>
      </c>
      <c r="D2">
        <f ca="1"/>
        <v>0.8001533447099507</v>
      </c>
      <c r="J2" t="str">
        <f ca="1"/>
        <v>Enero</v>
      </c>
      <c r="K2">
        <f ca="1"/>
        <v>0.52993909437004127</v>
      </c>
      <c r="L2">
        <f ca="1"/>
        <v>0.4569914195116811</v>
      </c>
      <c r="M2">
        <f ca="1"/>
        <v>0.64530237850473604</v>
      </c>
    </row>
    <row r="3" spans="1:13" x14ac:dyDescent="0.25">
      <c r="A3" t="str">
        <f ca="1"/>
        <v>Febrero</v>
      </c>
      <c r="B3">
        <f ca="1"/>
        <v>0.14280456228987926</v>
      </c>
      <c r="C3">
        <f ca="1"/>
        <v>0.38317543034777191</v>
      </c>
      <c r="D3">
        <f ca="1"/>
        <v>0.10329540970362516</v>
      </c>
      <c r="J3" t="str">
        <f ca="1"/>
        <v>Febrero</v>
      </c>
      <c r="K3">
        <f ca="1"/>
        <v>0.15905118487289505</v>
      </c>
      <c r="L3">
        <f ca="1"/>
        <v>0.42649930458694763</v>
      </c>
      <c r="M3">
        <f ca="1"/>
        <v>3.9695942282731211E-2</v>
      </c>
    </row>
    <row r="4" spans="1:13" x14ac:dyDescent="0.25">
      <c r="A4" t="str">
        <f ca="1"/>
        <v>Marzo</v>
      </c>
      <c r="B4">
        <f ca="1"/>
        <v>0.37936643479436283</v>
      </c>
      <c r="C4">
        <f ca="1"/>
        <v>0.93848457924203021</v>
      </c>
      <c r="D4">
        <f ca="1"/>
        <v>0.80638572797813524</v>
      </c>
      <c r="J4" t="str">
        <f ca="1"/>
        <v>Marzo</v>
      </c>
      <c r="K4">
        <f ca="1"/>
        <v>0.30850436435309048</v>
      </c>
      <c r="L4">
        <f ca="1"/>
        <v>0.50516368840801462</v>
      </c>
      <c r="M4">
        <f ca="1"/>
        <v>0.28639120141775387</v>
      </c>
    </row>
    <row r="5" spans="1:13" x14ac:dyDescent="0.25">
      <c r="A5" t="str">
        <f ca="1"/>
        <v>Abril</v>
      </c>
      <c r="B5">
        <f ca="1"/>
        <v>0.64362445556793046</v>
      </c>
      <c r="C5">
        <f ca="1"/>
        <v>0.73108497148075302</v>
      </c>
      <c r="D5">
        <f ca="1"/>
        <v>0.69510193903918971</v>
      </c>
      <c r="J5" t="str">
        <f ca="1"/>
        <v>Abril</v>
      </c>
      <c r="K5">
        <f ca="1"/>
        <v>1.2872941150176453E-2</v>
      </c>
      <c r="L5">
        <f ca="1"/>
        <v>0.7192865589731503</v>
      </c>
      <c r="M5">
        <f ca="1"/>
        <v>1.8951412508555476E-2</v>
      </c>
    </row>
    <row r="6" spans="1:13" x14ac:dyDescent="0.25">
      <c r="A6" t="str">
        <f ca="1"/>
        <v>Mayo</v>
      </c>
      <c r="B6">
        <f ca="1"/>
        <v>0.67611164589032113</v>
      </c>
      <c r="C6">
        <f ca="1"/>
        <v>9.401479867413598E-2</v>
      </c>
      <c r="D6">
        <f ca="1"/>
        <v>0.14919805380372186</v>
      </c>
      <c r="J6" t="str">
        <f ca="1"/>
        <v>Mayo</v>
      </c>
      <c r="K6">
        <f ca="1"/>
        <v>0.10614871057003072</v>
      </c>
      <c r="L6">
        <f ca="1"/>
        <v>0.86740040955111741</v>
      </c>
      <c r="M6">
        <f ca="1"/>
        <v>0.80216623006595245</v>
      </c>
    </row>
    <row r="7" spans="1:13" x14ac:dyDescent="0.25">
      <c r="A7" t="str">
        <f ca="1"/>
        <v>Junio</v>
      </c>
      <c r="B7">
        <f ca="1"/>
        <v>0.56254982376309415</v>
      </c>
      <c r="C7">
        <f ca="1"/>
        <v>0.5737911265966591</v>
      </c>
      <c r="D7">
        <f ca="1"/>
        <v>0.91111831276691135</v>
      </c>
      <c r="J7" t="str">
        <f ca="1"/>
        <v>Junio</v>
      </c>
      <c r="K7">
        <f ca="1"/>
        <v>9.3195093261084994E-2</v>
      </c>
      <c r="L7">
        <f ca="1"/>
        <v>0.95179004411651014</v>
      </c>
      <c r="M7">
        <f ca="1"/>
        <v>0.76700992711248328</v>
      </c>
    </row>
    <row r="8" spans="1:13" x14ac:dyDescent="0.25">
      <c r="A8" t="str">
        <f ca="1"/>
        <v>Julio</v>
      </c>
      <c r="B8">
        <f ca="1"/>
        <v>0.59809058588920139</v>
      </c>
      <c r="C8">
        <f ca="1"/>
        <v>0.35265891018417106</v>
      </c>
      <c r="D8">
        <f ca="1"/>
        <v>0.16596202231485635</v>
      </c>
      <c r="J8" t="str">
        <f ca="1"/>
        <v>Julio</v>
      </c>
      <c r="K8">
        <f ca="1"/>
        <v>0.94050576386618823</v>
      </c>
      <c r="L8">
        <f ca="1"/>
        <v>0.61584116074836581</v>
      </c>
      <c r="M8">
        <f ca="1"/>
        <v>0.30101136065516343</v>
      </c>
    </row>
    <row r="9" spans="1:13" x14ac:dyDescent="0.25">
      <c r="A9" t="str">
        <f ca="1"/>
        <v>Agosto</v>
      </c>
      <c r="B9">
        <f ca="1"/>
        <v>0.70404791189615756</v>
      </c>
      <c r="C9">
        <f ca="1"/>
        <v>0.63820146639642306</v>
      </c>
      <c r="D9">
        <f ca="1"/>
        <v>2.8417501713837723E-2</v>
      </c>
      <c r="J9" t="str">
        <f ca="1"/>
        <v>Agosto</v>
      </c>
      <c r="K9">
        <f ca="1"/>
        <v>0.83077813568217773</v>
      </c>
      <c r="L9">
        <f ca="1"/>
        <v>0.61411167430101354</v>
      </c>
      <c r="M9">
        <f ca="1"/>
        <v>0.1465476628469975</v>
      </c>
    </row>
    <row r="10" spans="1:13" x14ac:dyDescent="0.25">
      <c r="A10" t="str">
        <f ca="1"/>
        <v>Septiembre</v>
      </c>
      <c r="B10">
        <f ca="1"/>
        <v>5.4499588126712739E-2</v>
      </c>
      <c r="C10">
        <f ca="1"/>
        <v>6.7505687166903083E-2</v>
      </c>
      <c r="D10">
        <f ca="1"/>
        <v>0.42978134732822926</v>
      </c>
      <c r="J10" t="str">
        <f ca="1"/>
        <v>Septiembre</v>
      </c>
      <c r="K10">
        <f ca="1"/>
        <v>0.10035302761429077</v>
      </c>
      <c r="L10">
        <f ca="1"/>
        <v>2.2487234353604002E-2</v>
      </c>
      <c r="M10">
        <f ca="1"/>
        <v>0.9153415068273254</v>
      </c>
    </row>
    <row r="11" spans="1:13" x14ac:dyDescent="0.25">
      <c r="A11" t="str">
        <f ca="1"/>
        <v>Octubre</v>
      </c>
      <c r="B11">
        <f ca="1"/>
        <v>0.25596458279402157</v>
      </c>
      <c r="C11">
        <f ca="1"/>
        <v>0.18811102309643979</v>
      </c>
      <c r="D11">
        <f ca="1"/>
        <v>0.63131931643352912</v>
      </c>
      <c r="J11" t="str">
        <f ca="1"/>
        <v>Octubre</v>
      </c>
      <c r="K11">
        <f ca="1"/>
        <v>0.32540540415542885</v>
      </c>
      <c r="L11">
        <f ca="1"/>
        <v>4.0107905874428029E-2</v>
      </c>
      <c r="M11">
        <f ca="1"/>
        <v>0.9994052939018383</v>
      </c>
    </row>
    <row r="12" spans="1:13" x14ac:dyDescent="0.25">
      <c r="A12" t="str">
        <f ca="1"/>
        <v>Noviembre</v>
      </c>
      <c r="B12">
        <f ca="1"/>
        <v>4.4767358607616492E-2</v>
      </c>
      <c r="C12">
        <f ca="1"/>
        <v>0.74077888566943439</v>
      </c>
      <c r="D12">
        <f ca="1"/>
        <v>0.90509619523615648</v>
      </c>
      <c r="J12" t="str">
        <f ca="1"/>
        <v>Noviembre</v>
      </c>
      <c r="K12">
        <f ca="1"/>
        <v>0.75466503868369816</v>
      </c>
      <c r="L12">
        <f ca="1"/>
        <v>0.55243183041852806</v>
      </c>
      <c r="M12">
        <f ca="1"/>
        <v>0.12989779915178534</v>
      </c>
    </row>
    <row r="13" spans="1:13" x14ac:dyDescent="0.25">
      <c r="A13" t="str">
        <f ca="1"/>
        <v>Diciembre</v>
      </c>
      <c r="B13">
        <f ca="1"/>
        <v>8.201819610985428E-3</v>
      </c>
      <c r="C13">
        <f ca="1"/>
        <v>0.49740329474046585</v>
      </c>
      <c r="D13">
        <f ca="1"/>
        <v>2.3546475439049752E-2</v>
      </c>
      <c r="J13" t="str">
        <f ca="1"/>
        <v>Diciembre</v>
      </c>
      <c r="K13">
        <f ca="1"/>
        <v>0.12675085472813064</v>
      </c>
      <c r="L13">
        <f ca="1"/>
        <v>0.44228376100014177</v>
      </c>
      <c r="M13">
        <f ca="1"/>
        <v>0.6854445020224289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1B71-4844-4C1E-B797-6980946190CE}">
  <sheetPr codeName="Hoja56"/>
  <dimension ref="A1:K30"/>
  <sheetViews>
    <sheetView topLeftCell="A4" workbookViewId="0">
      <selection activeCell="G18" sqref="G18"/>
    </sheetView>
  </sheetViews>
  <sheetFormatPr baseColWidth="10" defaultRowHeight="15" x14ac:dyDescent="0.25"/>
  <cols>
    <col min="8" max="8" width="18.140625" customWidth="1"/>
    <col min="9" max="9" width="13.42578125" customWidth="1"/>
  </cols>
  <sheetData>
    <row r="1" spans="1:9" x14ac:dyDescent="0.25">
      <c r="A1" t="s">
        <v>321</v>
      </c>
      <c r="C1" t="s">
        <v>414</v>
      </c>
      <c r="F1" t="str" cm="1">
        <f t="array" ref="F1:F10">_xlfn.MAP(A1:A10,_xlfn.LAMBDA(_xlpm.c,_xlpm.c&amp;"*"))</f>
        <v>Verde*</v>
      </c>
      <c r="H1" t="str" cm="1">
        <f t="array" ref="H1:H10">IFERROR(_xlfn.MAP(A1:A10,_xlfn.ANCHORARRAY(F1),_xlfn.LAMBDA(_xlpm.c,_xlpm.d,_xlpm.c&amp;_xlpm.d)),A1:A10)</f>
        <v>VerdeVerde*</v>
      </c>
      <c r="I1" t="s">
        <v>415</v>
      </c>
    </row>
    <row r="2" spans="1:9" x14ac:dyDescent="0.25">
      <c r="A2" t="s">
        <v>321</v>
      </c>
      <c r="C2" t="s">
        <v>321</v>
      </c>
      <c r="F2" t="str">
        <v>Verde*</v>
      </c>
      <c r="H2" t="str">
        <v>VerdeVerde*</v>
      </c>
      <c r="I2" t="s">
        <v>416</v>
      </c>
    </row>
    <row r="3" spans="1:9" x14ac:dyDescent="0.25">
      <c r="A3" t="s">
        <v>321</v>
      </c>
      <c r="C3" t="s">
        <v>414</v>
      </c>
      <c r="F3" t="str">
        <v>Verde*</v>
      </c>
      <c r="H3" t="str">
        <v>VerdeVerde*</v>
      </c>
      <c r="I3" t="s">
        <v>415</v>
      </c>
    </row>
    <row r="4" spans="1:9" x14ac:dyDescent="0.25">
      <c r="A4" t="s">
        <v>320</v>
      </c>
      <c r="C4" t="s">
        <v>321</v>
      </c>
      <c r="F4" t="str">
        <v>Azul*</v>
      </c>
      <c r="H4" t="str">
        <v>AzulAzul*</v>
      </c>
      <c r="I4" t="s">
        <v>417</v>
      </c>
    </row>
    <row r="5" spans="1:9" x14ac:dyDescent="0.25">
      <c r="A5" t="s">
        <v>321</v>
      </c>
      <c r="C5" t="s">
        <v>320</v>
      </c>
      <c r="F5" t="str">
        <v>Verde*</v>
      </c>
      <c r="H5" t="str">
        <v>VerdeVerde*</v>
      </c>
      <c r="I5" t="s">
        <v>418</v>
      </c>
    </row>
    <row r="6" spans="1:9" x14ac:dyDescent="0.25">
      <c r="A6" t="s">
        <v>414</v>
      </c>
      <c r="C6" t="s">
        <v>321</v>
      </c>
      <c r="F6" t="str">
        <v>Marron*</v>
      </c>
      <c r="H6" t="str">
        <v>MarronMarron*</v>
      </c>
      <c r="I6" t="s">
        <v>419</v>
      </c>
    </row>
    <row r="7" spans="1:9" x14ac:dyDescent="0.25">
      <c r="A7" t="s">
        <v>320</v>
      </c>
      <c r="C7" t="s">
        <v>414</v>
      </c>
      <c r="F7" t="str">
        <v>Azul*</v>
      </c>
      <c r="H7" t="str">
        <v>AzulAzul*</v>
      </c>
      <c r="I7" t="s">
        <v>420</v>
      </c>
    </row>
    <row r="8" spans="1:9" x14ac:dyDescent="0.25">
      <c r="A8" t="s">
        <v>320</v>
      </c>
      <c r="C8" t="s">
        <v>414</v>
      </c>
      <c r="F8" t="str">
        <v>Azul*</v>
      </c>
      <c r="H8" t="str">
        <v>AzulAzul*</v>
      </c>
      <c r="I8" t="s">
        <v>420</v>
      </c>
    </row>
    <row r="9" spans="1:9" x14ac:dyDescent="0.25">
      <c r="A9" t="s">
        <v>321</v>
      </c>
      <c r="F9" t="str">
        <v>Verde*</v>
      </c>
      <c r="H9" t="str">
        <v>VerdeVerde*</v>
      </c>
      <c r="I9" t="s">
        <v>321</v>
      </c>
    </row>
    <row r="10" spans="1:9" x14ac:dyDescent="0.25">
      <c r="A10" t="s">
        <v>414</v>
      </c>
      <c r="F10" t="str">
        <v>Marron*</v>
      </c>
      <c r="H10" t="str">
        <v>MarronMarron*</v>
      </c>
      <c r="I10" t="s">
        <v>414</v>
      </c>
    </row>
    <row r="13" spans="1:9" x14ac:dyDescent="0.25">
      <c r="I13" t="s">
        <v>421</v>
      </c>
    </row>
    <row r="16" spans="1:9" x14ac:dyDescent="0.25">
      <c r="G16" t="s">
        <v>422</v>
      </c>
    </row>
    <row r="18" spans="1:11" x14ac:dyDescent="0.25">
      <c r="A18" t="s">
        <v>35</v>
      </c>
      <c r="B18" t="s">
        <v>14</v>
      </c>
      <c r="C18" t="s">
        <v>13</v>
      </c>
      <c r="D18" t="s">
        <v>50</v>
      </c>
      <c r="G18" cm="1">
        <f t="array" ref="G18:I29">_xlfn.SCAN(0,B19:D30,_xlfn.LAMBDA(_xlpm.acu,_xlpm.act,IF(AND(MOD(_xlpm.act,3)=0,MOD(_xlpm.act,5)=0),_xlpm.acu+_xlpm.act,_xlpm.acu)))</f>
        <v>30</v>
      </c>
      <c r="H18">
        <v>30</v>
      </c>
      <c r="I18">
        <v>30</v>
      </c>
      <c r="K18" cm="1">
        <f t="array" ref="K18">_xlfn.REDUCE(0,B19:D30,_xlfn.LAMBDA(_xlpm.acu,_xlpm.act,IF(AND(MOD(_xlpm.act,3)=0,MOD(_xlpm.act,5)=0),_xlpm.acu+_xlpm.act,_xlpm.acu)))</f>
        <v>555</v>
      </c>
    </row>
    <row r="19" spans="1:11" x14ac:dyDescent="0.25">
      <c r="A19" t="s">
        <v>0</v>
      </c>
      <c r="B19">
        <v>30</v>
      </c>
      <c r="C19">
        <v>38</v>
      </c>
      <c r="D19">
        <v>53</v>
      </c>
      <c r="G19">
        <v>30</v>
      </c>
      <c r="H19">
        <v>60</v>
      </c>
      <c r="I19">
        <v>60</v>
      </c>
    </row>
    <row r="20" spans="1:11" x14ac:dyDescent="0.25">
      <c r="A20" t="s">
        <v>1</v>
      </c>
      <c r="B20">
        <v>47</v>
      </c>
      <c r="C20">
        <v>30</v>
      </c>
      <c r="D20">
        <v>25</v>
      </c>
      <c r="G20">
        <v>120</v>
      </c>
      <c r="H20">
        <v>120</v>
      </c>
      <c r="I20">
        <v>120</v>
      </c>
    </row>
    <row r="21" spans="1:11" x14ac:dyDescent="0.25">
      <c r="A21" t="s">
        <v>2</v>
      </c>
      <c r="B21">
        <v>60</v>
      </c>
      <c r="C21">
        <v>51</v>
      </c>
      <c r="D21">
        <v>57</v>
      </c>
      <c r="G21">
        <v>195</v>
      </c>
      <c r="H21">
        <v>225</v>
      </c>
      <c r="I21">
        <v>255</v>
      </c>
    </row>
    <row r="22" spans="1:11" x14ac:dyDescent="0.25">
      <c r="A22" t="s">
        <v>3</v>
      </c>
      <c r="B22">
        <v>75</v>
      </c>
      <c r="C22">
        <v>30</v>
      </c>
      <c r="D22">
        <v>30</v>
      </c>
      <c r="G22">
        <v>300</v>
      </c>
      <c r="H22">
        <v>300</v>
      </c>
      <c r="I22">
        <v>300</v>
      </c>
    </row>
    <row r="23" spans="1:11" x14ac:dyDescent="0.25">
      <c r="A23" t="s">
        <v>4</v>
      </c>
      <c r="B23">
        <v>45</v>
      </c>
      <c r="C23">
        <v>31</v>
      </c>
      <c r="D23">
        <v>69</v>
      </c>
      <c r="G23">
        <v>300</v>
      </c>
      <c r="H23">
        <v>300</v>
      </c>
      <c r="I23">
        <v>300</v>
      </c>
    </row>
    <row r="24" spans="1:11" x14ac:dyDescent="0.25">
      <c r="A24" t="s">
        <v>5</v>
      </c>
      <c r="B24">
        <v>39</v>
      </c>
      <c r="C24">
        <v>35</v>
      </c>
      <c r="D24">
        <v>40</v>
      </c>
      <c r="G24">
        <v>300</v>
      </c>
      <c r="H24">
        <v>300</v>
      </c>
      <c r="I24">
        <v>300</v>
      </c>
    </row>
    <row r="25" spans="1:11" x14ac:dyDescent="0.25">
      <c r="A25" t="s">
        <v>6</v>
      </c>
      <c r="B25">
        <v>31</v>
      </c>
      <c r="C25">
        <v>74</v>
      </c>
      <c r="D25">
        <v>27</v>
      </c>
      <c r="G25">
        <v>360</v>
      </c>
      <c r="H25">
        <v>360</v>
      </c>
      <c r="I25">
        <v>360</v>
      </c>
    </row>
    <row r="26" spans="1:11" x14ac:dyDescent="0.25">
      <c r="A26" t="s">
        <v>7</v>
      </c>
      <c r="B26">
        <v>60</v>
      </c>
      <c r="C26">
        <v>52</v>
      </c>
      <c r="D26">
        <v>47</v>
      </c>
      <c r="G26">
        <v>360</v>
      </c>
      <c r="H26">
        <v>360</v>
      </c>
      <c r="I26">
        <v>420</v>
      </c>
    </row>
    <row r="27" spans="1:11" x14ac:dyDescent="0.25">
      <c r="A27" t="s">
        <v>8</v>
      </c>
      <c r="B27">
        <v>35</v>
      </c>
      <c r="C27">
        <v>37</v>
      </c>
      <c r="D27">
        <v>60</v>
      </c>
      <c r="G27">
        <v>420</v>
      </c>
      <c r="H27">
        <v>420</v>
      </c>
      <c r="I27">
        <v>420</v>
      </c>
    </row>
    <row r="28" spans="1:11" x14ac:dyDescent="0.25">
      <c r="A28" t="s">
        <v>9</v>
      </c>
      <c r="B28">
        <v>58</v>
      </c>
      <c r="C28">
        <v>58</v>
      </c>
      <c r="D28">
        <v>62</v>
      </c>
      <c r="G28">
        <v>420</v>
      </c>
      <c r="H28">
        <v>495</v>
      </c>
      <c r="I28">
        <v>495</v>
      </c>
    </row>
    <row r="29" spans="1:11" x14ac:dyDescent="0.25">
      <c r="A29" t="s">
        <v>10</v>
      </c>
      <c r="B29">
        <v>33</v>
      </c>
      <c r="C29">
        <v>75</v>
      </c>
      <c r="D29">
        <v>34</v>
      </c>
      <c r="G29">
        <v>495</v>
      </c>
      <c r="H29">
        <v>495</v>
      </c>
      <c r="I29">
        <v>555</v>
      </c>
    </row>
    <row r="30" spans="1:11" x14ac:dyDescent="0.25">
      <c r="A30" t="s">
        <v>11</v>
      </c>
      <c r="B30">
        <v>69</v>
      </c>
      <c r="C30">
        <v>58</v>
      </c>
      <c r="D30">
        <v>60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C816-81D4-42FD-A30F-66857A05FB1B}">
  <sheetPr codeName="Hoja57"/>
  <dimension ref="A1:M52"/>
  <sheetViews>
    <sheetView topLeftCell="A40" workbookViewId="0">
      <selection activeCell="G41" sqref="G41"/>
    </sheetView>
  </sheetViews>
  <sheetFormatPr baseColWidth="10" defaultRowHeight="15" x14ac:dyDescent="0.25"/>
  <sheetData>
    <row r="1" spans="1:13" x14ac:dyDescent="0.25">
      <c r="A1" t="s">
        <v>35</v>
      </c>
      <c r="B1" t="s">
        <v>14</v>
      </c>
      <c r="C1" t="s">
        <v>13</v>
      </c>
      <c r="D1" t="s">
        <v>50</v>
      </c>
      <c r="G1" t="str" cm="1">
        <f t="array" ref="G1:G52">_xlfn.TOCOL(A1:D13)</f>
        <v>Meses</v>
      </c>
      <c r="J1" t="str" cm="1">
        <f t="array" ref="J1:M13">_xlfn.WRAPROWS(_xlfn.ANCHORARRAY(G1),4)</f>
        <v>Meses</v>
      </c>
      <c r="K1" t="str">
        <v>Agua</v>
      </c>
      <c r="L1" t="str">
        <v>Luz</v>
      </c>
      <c r="M1" t="str">
        <v>Tlf</v>
      </c>
    </row>
    <row r="2" spans="1:13" x14ac:dyDescent="0.25">
      <c r="A2" t="s">
        <v>0</v>
      </c>
      <c r="B2">
        <v>30</v>
      </c>
      <c r="C2">
        <v>38</v>
      </c>
      <c r="D2">
        <v>53</v>
      </c>
      <c r="G2" t="str">
        <v>Agua</v>
      </c>
      <c r="J2" t="str">
        <v>Enero</v>
      </c>
      <c r="K2">
        <v>30</v>
      </c>
      <c r="L2">
        <v>38</v>
      </c>
      <c r="M2">
        <v>53</v>
      </c>
    </row>
    <row r="3" spans="1:13" x14ac:dyDescent="0.25">
      <c r="A3" t="s">
        <v>1</v>
      </c>
      <c r="B3">
        <v>47</v>
      </c>
      <c r="C3">
        <v>30</v>
      </c>
      <c r="D3">
        <v>25</v>
      </c>
      <c r="G3" t="str">
        <v>Luz</v>
      </c>
      <c r="J3" t="str">
        <v>Febrero</v>
      </c>
      <c r="K3">
        <v>47</v>
      </c>
      <c r="L3">
        <v>30</v>
      </c>
      <c r="M3">
        <v>25</v>
      </c>
    </row>
    <row r="4" spans="1:13" x14ac:dyDescent="0.25">
      <c r="A4" t="s">
        <v>2</v>
      </c>
      <c r="B4">
        <v>60</v>
      </c>
      <c r="C4">
        <v>51</v>
      </c>
      <c r="D4">
        <v>57</v>
      </c>
      <c r="G4" t="str">
        <v>Tlf</v>
      </c>
      <c r="J4" t="str">
        <v>Marzo</v>
      </c>
      <c r="K4">
        <v>60</v>
      </c>
      <c r="L4">
        <v>51</v>
      </c>
      <c r="M4">
        <v>57</v>
      </c>
    </row>
    <row r="5" spans="1:13" x14ac:dyDescent="0.25">
      <c r="A5" t="s">
        <v>3</v>
      </c>
      <c r="B5">
        <v>75</v>
      </c>
      <c r="C5">
        <v>30</v>
      </c>
      <c r="D5">
        <v>30</v>
      </c>
      <c r="G5" t="str">
        <v>Enero</v>
      </c>
      <c r="J5" t="str">
        <v>Abril</v>
      </c>
      <c r="K5">
        <v>75</v>
      </c>
      <c r="L5">
        <v>30</v>
      </c>
      <c r="M5">
        <v>30</v>
      </c>
    </row>
    <row r="6" spans="1:13" x14ac:dyDescent="0.25">
      <c r="A6" t="s">
        <v>4</v>
      </c>
      <c r="B6">
        <v>45</v>
      </c>
      <c r="C6">
        <v>31</v>
      </c>
      <c r="D6">
        <v>69</v>
      </c>
      <c r="G6">
        <v>30</v>
      </c>
      <c r="J6" t="str">
        <v>Mayo</v>
      </c>
      <c r="K6">
        <v>45</v>
      </c>
      <c r="L6">
        <v>31</v>
      </c>
      <c r="M6">
        <v>69</v>
      </c>
    </row>
    <row r="7" spans="1:13" x14ac:dyDescent="0.25">
      <c r="A7" t="s">
        <v>5</v>
      </c>
      <c r="B7">
        <v>39</v>
      </c>
      <c r="C7">
        <v>35</v>
      </c>
      <c r="D7">
        <v>40</v>
      </c>
      <c r="G7">
        <v>38</v>
      </c>
      <c r="J7" t="str">
        <v>Junio</v>
      </c>
      <c r="K7">
        <v>39</v>
      </c>
      <c r="L7">
        <v>35</v>
      </c>
      <c r="M7">
        <v>40</v>
      </c>
    </row>
    <row r="8" spans="1:13" x14ac:dyDescent="0.25">
      <c r="A8" t="s">
        <v>6</v>
      </c>
      <c r="B8">
        <v>31</v>
      </c>
      <c r="C8">
        <v>74</v>
      </c>
      <c r="D8">
        <v>27</v>
      </c>
      <c r="G8">
        <v>53</v>
      </c>
      <c r="J8" t="str">
        <v>Julio</v>
      </c>
      <c r="K8">
        <v>31</v>
      </c>
      <c r="L8">
        <v>74</v>
      </c>
      <c r="M8">
        <v>27</v>
      </c>
    </row>
    <row r="9" spans="1:13" x14ac:dyDescent="0.25">
      <c r="A9" t="s">
        <v>7</v>
      </c>
      <c r="B9">
        <v>60</v>
      </c>
      <c r="C9">
        <v>52</v>
      </c>
      <c r="D9">
        <v>47</v>
      </c>
      <c r="G9" t="str">
        <v>Febrero</v>
      </c>
      <c r="J9" t="str">
        <v>Agosto</v>
      </c>
      <c r="K9">
        <v>60</v>
      </c>
      <c r="L9">
        <v>52</v>
      </c>
      <c r="M9">
        <v>47</v>
      </c>
    </row>
    <row r="10" spans="1:13" x14ac:dyDescent="0.25">
      <c r="A10" t="s">
        <v>8</v>
      </c>
      <c r="B10">
        <v>35</v>
      </c>
      <c r="C10">
        <v>37</v>
      </c>
      <c r="D10">
        <v>60</v>
      </c>
      <c r="G10">
        <v>47</v>
      </c>
      <c r="J10" t="str">
        <v>Septiembre</v>
      </c>
      <c r="K10">
        <v>35</v>
      </c>
      <c r="L10">
        <v>37</v>
      </c>
      <c r="M10">
        <v>60</v>
      </c>
    </row>
    <row r="11" spans="1:13" x14ac:dyDescent="0.25">
      <c r="A11" t="s">
        <v>9</v>
      </c>
      <c r="B11">
        <v>58</v>
      </c>
      <c r="C11">
        <v>58</v>
      </c>
      <c r="D11">
        <v>62</v>
      </c>
      <c r="G11">
        <v>30</v>
      </c>
      <c r="J11" t="str">
        <v>Octubre</v>
      </c>
      <c r="K11">
        <v>58</v>
      </c>
      <c r="L11">
        <v>58</v>
      </c>
      <c r="M11">
        <v>62</v>
      </c>
    </row>
    <row r="12" spans="1:13" x14ac:dyDescent="0.25">
      <c r="A12" t="s">
        <v>10</v>
      </c>
      <c r="B12">
        <v>33</v>
      </c>
      <c r="C12">
        <v>75</v>
      </c>
      <c r="D12">
        <v>34</v>
      </c>
      <c r="G12">
        <v>25</v>
      </c>
      <c r="J12" t="str">
        <v>Noviembre</v>
      </c>
      <c r="K12">
        <v>33</v>
      </c>
      <c r="L12">
        <v>75</v>
      </c>
      <c r="M12">
        <v>34</v>
      </c>
    </row>
    <row r="13" spans="1:13" x14ac:dyDescent="0.25">
      <c r="A13" t="s">
        <v>11</v>
      </c>
      <c r="B13">
        <v>69</v>
      </c>
      <c r="C13">
        <v>58</v>
      </c>
      <c r="D13">
        <v>60</v>
      </c>
      <c r="G13" t="str">
        <v>Marzo</v>
      </c>
      <c r="J13" t="str">
        <v>Diciembre</v>
      </c>
      <c r="K13">
        <v>69</v>
      </c>
      <c r="L13">
        <v>58</v>
      </c>
      <c r="M13">
        <v>60</v>
      </c>
    </row>
    <row r="14" spans="1:13" x14ac:dyDescent="0.25">
      <c r="G14">
        <v>60</v>
      </c>
    </row>
    <row r="15" spans="1:13" x14ac:dyDescent="0.25">
      <c r="G15">
        <v>51</v>
      </c>
    </row>
    <row r="16" spans="1:13" x14ac:dyDescent="0.25">
      <c r="G16">
        <v>57</v>
      </c>
    </row>
    <row r="17" spans="7:7" x14ac:dyDescent="0.25">
      <c r="G17" t="str">
        <v>Abril</v>
      </c>
    </row>
    <row r="18" spans="7:7" x14ac:dyDescent="0.25">
      <c r="G18">
        <v>75</v>
      </c>
    </row>
    <row r="19" spans="7:7" x14ac:dyDescent="0.25">
      <c r="G19">
        <v>30</v>
      </c>
    </row>
    <row r="20" spans="7:7" x14ac:dyDescent="0.25">
      <c r="G20">
        <v>30</v>
      </c>
    </row>
    <row r="21" spans="7:7" x14ac:dyDescent="0.25">
      <c r="G21" t="str">
        <v>Mayo</v>
      </c>
    </row>
    <row r="22" spans="7:7" x14ac:dyDescent="0.25">
      <c r="G22">
        <v>45</v>
      </c>
    </row>
    <row r="23" spans="7:7" x14ac:dyDescent="0.25">
      <c r="G23">
        <v>31</v>
      </c>
    </row>
    <row r="24" spans="7:7" x14ac:dyDescent="0.25">
      <c r="G24">
        <v>69</v>
      </c>
    </row>
    <row r="25" spans="7:7" x14ac:dyDescent="0.25">
      <c r="G25" t="str">
        <v>Junio</v>
      </c>
    </row>
    <row r="26" spans="7:7" x14ac:dyDescent="0.25">
      <c r="G26">
        <v>39</v>
      </c>
    </row>
    <row r="27" spans="7:7" x14ac:dyDescent="0.25">
      <c r="G27">
        <v>35</v>
      </c>
    </row>
    <row r="28" spans="7:7" x14ac:dyDescent="0.25">
      <c r="G28">
        <v>40</v>
      </c>
    </row>
    <row r="29" spans="7:7" x14ac:dyDescent="0.25">
      <c r="G29" t="str">
        <v>Julio</v>
      </c>
    </row>
    <row r="30" spans="7:7" x14ac:dyDescent="0.25">
      <c r="G30">
        <v>31</v>
      </c>
    </row>
    <row r="31" spans="7:7" x14ac:dyDescent="0.25">
      <c r="G31">
        <v>74</v>
      </c>
    </row>
    <row r="32" spans="7:7" x14ac:dyDescent="0.25">
      <c r="G32">
        <v>27</v>
      </c>
    </row>
    <row r="33" spans="7:7" x14ac:dyDescent="0.25">
      <c r="G33" t="str">
        <v>Agosto</v>
      </c>
    </row>
    <row r="34" spans="7:7" x14ac:dyDescent="0.25">
      <c r="G34">
        <v>60</v>
      </c>
    </row>
    <row r="35" spans="7:7" x14ac:dyDescent="0.25">
      <c r="G35">
        <v>52</v>
      </c>
    </row>
    <row r="36" spans="7:7" x14ac:dyDescent="0.25">
      <c r="G36">
        <v>47</v>
      </c>
    </row>
    <row r="37" spans="7:7" x14ac:dyDescent="0.25">
      <c r="G37" t="str">
        <v>Septiembre</v>
      </c>
    </row>
    <row r="38" spans="7:7" x14ac:dyDescent="0.25">
      <c r="G38">
        <v>35</v>
      </c>
    </row>
    <row r="39" spans="7:7" x14ac:dyDescent="0.25">
      <c r="G39">
        <v>37</v>
      </c>
    </row>
    <row r="40" spans="7:7" x14ac:dyDescent="0.25">
      <c r="G40">
        <v>60</v>
      </c>
    </row>
    <row r="41" spans="7:7" x14ac:dyDescent="0.25">
      <c r="G41" t="str">
        <v>Octubre</v>
      </c>
    </row>
    <row r="42" spans="7:7" x14ac:dyDescent="0.25">
      <c r="G42">
        <v>58</v>
      </c>
    </row>
    <row r="43" spans="7:7" x14ac:dyDescent="0.25">
      <c r="G43">
        <v>58</v>
      </c>
    </row>
    <row r="44" spans="7:7" x14ac:dyDescent="0.25">
      <c r="G44">
        <v>62</v>
      </c>
    </row>
    <row r="45" spans="7:7" x14ac:dyDescent="0.25">
      <c r="G45" t="str">
        <v>Noviembre</v>
      </c>
    </row>
    <row r="46" spans="7:7" x14ac:dyDescent="0.25">
      <c r="G46">
        <v>33</v>
      </c>
    </row>
    <row r="47" spans="7:7" x14ac:dyDescent="0.25">
      <c r="G47">
        <v>75</v>
      </c>
    </row>
    <row r="48" spans="7:7" x14ac:dyDescent="0.25">
      <c r="G48">
        <v>34</v>
      </c>
    </row>
    <row r="49" spans="7:7" x14ac:dyDescent="0.25">
      <c r="G49" t="str">
        <v>Diciembre</v>
      </c>
    </row>
    <row r="50" spans="7:7" x14ac:dyDescent="0.25">
      <c r="G50">
        <v>69</v>
      </c>
    </row>
    <row r="51" spans="7:7" x14ac:dyDescent="0.25">
      <c r="G51">
        <v>58</v>
      </c>
    </row>
    <row r="52" spans="7:7" x14ac:dyDescent="0.25">
      <c r="G52">
        <v>60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0891-E02C-485E-9D8E-13516A67738F}">
  <sheetPr codeName="Hoja58"/>
  <dimension ref="A1:Q50"/>
  <sheetViews>
    <sheetView workbookViewId="0">
      <selection activeCell="N2" sqref="N2"/>
    </sheetView>
  </sheetViews>
  <sheetFormatPr baseColWidth="10" defaultRowHeight="15" x14ac:dyDescent="0.25"/>
  <cols>
    <col min="14" max="14" width="11.7109375" bestFit="1" customWidth="1"/>
  </cols>
  <sheetData>
    <row r="1" spans="1:17" x14ac:dyDescent="0.25">
      <c r="A1" t="s">
        <v>35</v>
      </c>
      <c r="B1" t="s">
        <v>435</v>
      </c>
      <c r="C1" t="s">
        <v>436</v>
      </c>
      <c r="N1" s="19" t="s">
        <v>437</v>
      </c>
    </row>
    <row r="2" spans="1:17" x14ac:dyDescent="0.25">
      <c r="A2" t="s">
        <v>423</v>
      </c>
      <c r="B2" cm="1">
        <f t="array" aca="1" ref="B2:B50" ca="1">_xlfn.RANDARRAY(49,1,1,10,TRUE)</f>
        <v>6</v>
      </c>
      <c r="C2" cm="1">
        <f t="array" aca="1" ref="C2:C50" ca="1">_xlfn.RANDARRAY(49,1,1,10,TRUE)</f>
        <v>7</v>
      </c>
      <c r="E2" t="str" cm="1">
        <f t="array" aca="1" ref="E2:G14" ca="1">_xlfn.GROUPBY(A2:A50,B2:C50,_xlfn.HSTACK(_xleta.AVERAGE,_xleta.SUM),0,0)</f>
        <v/>
      </c>
      <c r="F2" t="str">
        <f ca="1"/>
        <v>PROMEDIO</v>
      </c>
      <c r="G2" t="str">
        <f ca="1"/>
        <v>SUMA</v>
      </c>
      <c r="I2" t="str" cm="1">
        <f t="array" aca="1" ref="I2:L14" ca="1">_xlfn.GROUPBY(A2:A50,_xlfn.HSTACK(B2:C50,C2:C50),_xlfn.HSTACK(_xleta.SUM,_xleta.AVERAGE,_xleta.SUM),0,0)</f>
        <v/>
      </c>
      <c r="J2" t="str">
        <f ca="1"/>
        <v>SUMA</v>
      </c>
      <c r="K2" t="str">
        <f ca="1"/>
        <v>PROMEDIO</v>
      </c>
      <c r="L2" t="str">
        <f ca="1"/>
        <v>SUMA</v>
      </c>
      <c r="N2" t="str" cm="1">
        <f t="array" aca="1" ref="N2:Q13" ca="1">_xlfn.LET(_xlpm.base,_xlfn.DROP(_xlfn.GROUPBY(A2:A50,_xlfn.HSTACK(B2:C50,C2:C50),_xlfn.HSTACK(_xleta.SUM,_xleta.AVERAGE,_xleta.SUM),0,0),1),
_xlpm.primera,_xlfn.CHOOSECOLS(_xlpm.base,1),
_xlpm.Referencias,TEXT(DATE(2026,_xlfn.SEQUENCE(12),1),"mmmm"),
_xlpm.ordenada,MATCH(_xlpm.primera,_xlpm.Referencias,0),
_xlfn.SORTBY(_xlpm.base,_xlpm.ordenada,1))</f>
        <v>enero</v>
      </c>
      <c r="O2">
        <f ca="1"/>
        <v>34</v>
      </c>
      <c r="P2">
        <f ca="1"/>
        <v>4.4000000000000004</v>
      </c>
      <c r="Q2">
        <f ca="1"/>
        <v>22</v>
      </c>
    </row>
    <row r="3" spans="1:17" x14ac:dyDescent="0.25">
      <c r="A3" t="s">
        <v>424</v>
      </c>
      <c r="B3">
        <f ca="1"/>
        <v>10</v>
      </c>
      <c r="C3">
        <f ca="1"/>
        <v>2</v>
      </c>
      <c r="E3" t="str">
        <f ca="1"/>
        <v>abril</v>
      </c>
      <c r="F3">
        <f ca="1"/>
        <v>5.75</v>
      </c>
      <c r="G3">
        <f ca="1"/>
        <v>27</v>
      </c>
      <c r="I3" t="str">
        <f ca="1"/>
        <v>abril</v>
      </c>
      <c r="J3">
        <f ca="1"/>
        <v>23</v>
      </c>
      <c r="K3">
        <f ca="1"/>
        <v>6.75</v>
      </c>
      <c r="L3">
        <f ca="1"/>
        <v>27</v>
      </c>
      <c r="N3" t="str">
        <f ca="1"/>
        <v>febrero</v>
      </c>
      <c r="O3">
        <f ca="1"/>
        <v>31</v>
      </c>
      <c r="P3">
        <f ca="1"/>
        <v>4</v>
      </c>
      <c r="Q3">
        <f ca="1"/>
        <v>16</v>
      </c>
    </row>
    <row r="4" spans="1:17" x14ac:dyDescent="0.25">
      <c r="A4" t="s">
        <v>425</v>
      </c>
      <c r="B4">
        <f ca="1"/>
        <v>8</v>
      </c>
      <c r="C4">
        <f ca="1"/>
        <v>9</v>
      </c>
      <c r="E4" t="str">
        <f ca="1"/>
        <v>agosto</v>
      </c>
      <c r="F4">
        <f ca="1"/>
        <v>6.5</v>
      </c>
      <c r="G4">
        <f ca="1"/>
        <v>16</v>
      </c>
      <c r="I4" t="str">
        <f ca="1"/>
        <v>agosto</v>
      </c>
      <c r="J4">
        <f ca="1"/>
        <v>26</v>
      </c>
      <c r="K4">
        <f ca="1"/>
        <v>4</v>
      </c>
      <c r="L4">
        <f ca="1"/>
        <v>16</v>
      </c>
      <c r="N4" t="str">
        <f ca="1"/>
        <v>marzo</v>
      </c>
      <c r="O4">
        <f ca="1"/>
        <v>26</v>
      </c>
      <c r="P4">
        <f ca="1"/>
        <v>4.75</v>
      </c>
      <c r="Q4">
        <f ca="1"/>
        <v>19</v>
      </c>
    </row>
    <row r="5" spans="1:17" x14ac:dyDescent="0.25">
      <c r="A5" t="s">
        <v>426</v>
      </c>
      <c r="B5">
        <f ca="1"/>
        <v>9</v>
      </c>
      <c r="C5">
        <f ca="1"/>
        <v>4</v>
      </c>
      <c r="E5" t="str">
        <f ca="1"/>
        <v>diciembre</v>
      </c>
      <c r="F5">
        <f ca="1"/>
        <v>5.5</v>
      </c>
      <c r="G5">
        <f ca="1"/>
        <v>11</v>
      </c>
      <c r="I5" t="str">
        <f ca="1"/>
        <v>diciembre</v>
      </c>
      <c r="J5">
        <f ca="1"/>
        <v>22</v>
      </c>
      <c r="K5">
        <f ca="1"/>
        <v>2.75</v>
      </c>
      <c r="L5">
        <f ca="1"/>
        <v>11</v>
      </c>
      <c r="N5" t="str">
        <f ca="1"/>
        <v>abril</v>
      </c>
      <c r="O5">
        <f ca="1"/>
        <v>23</v>
      </c>
      <c r="P5">
        <f ca="1"/>
        <v>6.75</v>
      </c>
      <c r="Q5">
        <f ca="1"/>
        <v>27</v>
      </c>
    </row>
    <row r="6" spans="1:17" x14ac:dyDescent="0.25">
      <c r="A6" t="s">
        <v>427</v>
      </c>
      <c r="B6">
        <f ca="1"/>
        <v>2</v>
      </c>
      <c r="C6">
        <f ca="1"/>
        <v>8</v>
      </c>
      <c r="E6" t="str">
        <f ca="1"/>
        <v>enero</v>
      </c>
      <c r="F6">
        <f ca="1"/>
        <v>6.8</v>
      </c>
      <c r="G6">
        <f ca="1"/>
        <v>22</v>
      </c>
      <c r="I6" t="str">
        <f ca="1"/>
        <v>enero</v>
      </c>
      <c r="J6">
        <f ca="1"/>
        <v>34</v>
      </c>
      <c r="K6">
        <f ca="1"/>
        <v>4.4000000000000004</v>
      </c>
      <c r="L6">
        <f ca="1"/>
        <v>22</v>
      </c>
      <c r="N6" t="str">
        <f ca="1"/>
        <v>mayo</v>
      </c>
      <c r="O6">
        <f ca="1"/>
        <v>23</v>
      </c>
      <c r="P6">
        <f ca="1"/>
        <v>7.25</v>
      </c>
      <c r="Q6">
        <f ca="1"/>
        <v>29</v>
      </c>
    </row>
    <row r="7" spans="1:17" x14ac:dyDescent="0.25">
      <c r="A7" t="s">
        <v>428</v>
      </c>
      <c r="B7">
        <f ca="1"/>
        <v>10</v>
      </c>
      <c r="C7">
        <f ca="1"/>
        <v>3</v>
      </c>
      <c r="E7" t="str">
        <f ca="1"/>
        <v>febrero</v>
      </c>
      <c r="F7">
        <f ca="1"/>
        <v>7.75</v>
      </c>
      <c r="G7">
        <f ca="1"/>
        <v>16</v>
      </c>
      <c r="I7" t="str">
        <f ca="1"/>
        <v>febrero</v>
      </c>
      <c r="J7">
        <f ca="1"/>
        <v>31</v>
      </c>
      <c r="K7">
        <f ca="1"/>
        <v>4</v>
      </c>
      <c r="L7">
        <f ca="1"/>
        <v>16</v>
      </c>
      <c r="N7" t="str">
        <f ca="1"/>
        <v>junio</v>
      </c>
      <c r="O7">
        <f ca="1"/>
        <v>39</v>
      </c>
      <c r="P7">
        <f ca="1"/>
        <v>5.5</v>
      </c>
      <c r="Q7">
        <f ca="1"/>
        <v>22</v>
      </c>
    </row>
    <row r="8" spans="1:17" x14ac:dyDescent="0.25">
      <c r="A8" t="s">
        <v>429</v>
      </c>
      <c r="B8">
        <f ca="1"/>
        <v>2</v>
      </c>
      <c r="C8">
        <f ca="1"/>
        <v>8</v>
      </c>
      <c r="E8" t="str">
        <f ca="1"/>
        <v>julio</v>
      </c>
      <c r="F8">
        <f ca="1"/>
        <v>1.75</v>
      </c>
      <c r="G8">
        <f ca="1"/>
        <v>23</v>
      </c>
      <c r="I8" t="str">
        <f ca="1"/>
        <v>julio</v>
      </c>
      <c r="J8">
        <f ca="1"/>
        <v>7</v>
      </c>
      <c r="K8">
        <f ca="1"/>
        <v>5.75</v>
      </c>
      <c r="L8">
        <f ca="1"/>
        <v>23</v>
      </c>
      <c r="N8" t="str">
        <f ca="1"/>
        <v>julio</v>
      </c>
      <c r="O8">
        <f ca="1"/>
        <v>7</v>
      </c>
      <c r="P8">
        <f ca="1"/>
        <v>5.75</v>
      </c>
      <c r="Q8">
        <f ca="1"/>
        <v>23</v>
      </c>
    </row>
    <row r="9" spans="1:17" x14ac:dyDescent="0.25">
      <c r="A9" t="s">
        <v>430</v>
      </c>
      <c r="B9">
        <f ca="1"/>
        <v>8</v>
      </c>
      <c r="C9">
        <f ca="1"/>
        <v>9</v>
      </c>
      <c r="E9" t="str">
        <f ca="1"/>
        <v>junio</v>
      </c>
      <c r="F9">
        <f ca="1"/>
        <v>9.75</v>
      </c>
      <c r="G9">
        <f ca="1"/>
        <v>22</v>
      </c>
      <c r="I9" t="str">
        <f ca="1"/>
        <v>junio</v>
      </c>
      <c r="J9">
        <f ca="1"/>
        <v>39</v>
      </c>
      <c r="K9">
        <f ca="1"/>
        <v>5.5</v>
      </c>
      <c r="L9">
        <f ca="1"/>
        <v>22</v>
      </c>
      <c r="N9" t="str">
        <f ca="1"/>
        <v>agosto</v>
      </c>
      <c r="O9">
        <f ca="1"/>
        <v>26</v>
      </c>
      <c r="P9">
        <f ca="1"/>
        <v>4</v>
      </c>
      <c r="Q9">
        <f ca="1"/>
        <v>16</v>
      </c>
    </row>
    <row r="10" spans="1:17" x14ac:dyDescent="0.25">
      <c r="A10" t="s">
        <v>431</v>
      </c>
      <c r="B10">
        <f ca="1"/>
        <v>7</v>
      </c>
      <c r="C10">
        <f ca="1"/>
        <v>3</v>
      </c>
      <c r="E10" t="str">
        <f ca="1"/>
        <v>marzo</v>
      </c>
      <c r="F10">
        <f ca="1"/>
        <v>6.5</v>
      </c>
      <c r="G10">
        <f ca="1"/>
        <v>19</v>
      </c>
      <c r="I10" t="str">
        <f ca="1"/>
        <v>marzo</v>
      </c>
      <c r="J10">
        <f ca="1"/>
        <v>26</v>
      </c>
      <c r="K10">
        <f ca="1"/>
        <v>4.75</v>
      </c>
      <c r="L10">
        <f ca="1"/>
        <v>19</v>
      </c>
      <c r="N10" t="str">
        <f ca="1"/>
        <v>septiembre</v>
      </c>
      <c r="O10">
        <f ca="1"/>
        <v>29</v>
      </c>
      <c r="P10">
        <f ca="1"/>
        <v>4.75</v>
      </c>
      <c r="Q10">
        <f ca="1"/>
        <v>19</v>
      </c>
    </row>
    <row r="11" spans="1:17" x14ac:dyDescent="0.25">
      <c r="A11" t="s">
        <v>432</v>
      </c>
      <c r="B11">
        <f ca="1"/>
        <v>9</v>
      </c>
      <c r="C11">
        <f ca="1"/>
        <v>8</v>
      </c>
      <c r="E11" t="str">
        <f ca="1"/>
        <v>mayo</v>
      </c>
      <c r="F11">
        <f ca="1"/>
        <v>5.75</v>
      </c>
      <c r="G11">
        <f ca="1"/>
        <v>29</v>
      </c>
      <c r="I11" t="str">
        <f ca="1"/>
        <v>mayo</v>
      </c>
      <c r="J11">
        <f ca="1"/>
        <v>23</v>
      </c>
      <c r="K11">
        <f ca="1"/>
        <v>7.25</v>
      </c>
      <c r="L11">
        <f ca="1"/>
        <v>29</v>
      </c>
      <c r="N11" t="str">
        <f ca="1"/>
        <v>octubre</v>
      </c>
      <c r="O11">
        <f ca="1"/>
        <v>29</v>
      </c>
      <c r="P11">
        <f ca="1"/>
        <v>6</v>
      </c>
      <c r="Q11">
        <f ca="1"/>
        <v>24</v>
      </c>
    </row>
    <row r="12" spans="1:17" x14ac:dyDescent="0.25">
      <c r="A12" t="s">
        <v>433</v>
      </c>
      <c r="B12">
        <f ca="1"/>
        <v>2</v>
      </c>
      <c r="C12">
        <f ca="1"/>
        <v>6</v>
      </c>
      <c r="E12" t="str">
        <f ca="1"/>
        <v>noviembre</v>
      </c>
      <c r="F12">
        <f ca="1"/>
        <v>5.25</v>
      </c>
      <c r="G12">
        <f ca="1"/>
        <v>16</v>
      </c>
      <c r="I12" t="str">
        <f ca="1"/>
        <v>noviembre</v>
      </c>
      <c r="J12">
        <f ca="1"/>
        <v>21</v>
      </c>
      <c r="K12">
        <f ca="1"/>
        <v>4</v>
      </c>
      <c r="L12">
        <f ca="1"/>
        <v>16</v>
      </c>
      <c r="N12" t="str">
        <f ca="1"/>
        <v>noviembre</v>
      </c>
      <c r="O12">
        <f ca="1"/>
        <v>21</v>
      </c>
      <c r="P12">
        <f ca="1"/>
        <v>4</v>
      </c>
      <c r="Q12">
        <f ca="1"/>
        <v>16</v>
      </c>
    </row>
    <row r="13" spans="1:17" x14ac:dyDescent="0.25">
      <c r="A13" t="s">
        <v>434</v>
      </c>
      <c r="B13">
        <f ca="1"/>
        <v>1</v>
      </c>
      <c r="C13">
        <f ca="1"/>
        <v>4</v>
      </c>
      <c r="E13" t="str">
        <f ca="1"/>
        <v>octubre</v>
      </c>
      <c r="F13">
        <f ca="1"/>
        <v>7.25</v>
      </c>
      <c r="G13">
        <f ca="1"/>
        <v>24</v>
      </c>
      <c r="I13" t="str">
        <f ca="1"/>
        <v>octubre</v>
      </c>
      <c r="J13">
        <f ca="1"/>
        <v>29</v>
      </c>
      <c r="K13">
        <f ca="1"/>
        <v>6</v>
      </c>
      <c r="L13">
        <f ca="1"/>
        <v>24</v>
      </c>
      <c r="N13" t="str">
        <f ca="1"/>
        <v>diciembre</v>
      </c>
      <c r="O13">
        <f ca="1"/>
        <v>22</v>
      </c>
      <c r="P13">
        <f ca="1"/>
        <v>2.75</v>
      </c>
      <c r="Q13">
        <f ca="1"/>
        <v>11</v>
      </c>
    </row>
    <row r="14" spans="1:17" x14ac:dyDescent="0.25">
      <c r="A14" t="s">
        <v>423</v>
      </c>
      <c r="B14">
        <f ca="1"/>
        <v>10</v>
      </c>
      <c r="C14">
        <f ca="1"/>
        <v>2</v>
      </c>
      <c r="E14" t="str">
        <f ca="1"/>
        <v>septiembre</v>
      </c>
      <c r="F14">
        <f ca="1"/>
        <v>7.25</v>
      </c>
      <c r="G14">
        <f ca="1"/>
        <v>19</v>
      </c>
      <c r="I14" t="str">
        <f ca="1"/>
        <v>septiembre</v>
      </c>
      <c r="J14">
        <f ca="1"/>
        <v>29</v>
      </c>
      <c r="K14">
        <f ca="1"/>
        <v>4.75</v>
      </c>
      <c r="L14">
        <f ca="1"/>
        <v>19</v>
      </c>
    </row>
    <row r="15" spans="1:17" x14ac:dyDescent="0.25">
      <c r="A15" t="s">
        <v>424</v>
      </c>
      <c r="B15">
        <f ca="1"/>
        <v>6</v>
      </c>
      <c r="C15">
        <f ca="1"/>
        <v>4</v>
      </c>
    </row>
    <row r="16" spans="1:17" x14ac:dyDescent="0.25">
      <c r="A16" t="s">
        <v>425</v>
      </c>
      <c r="B16">
        <f ca="1"/>
        <v>3</v>
      </c>
      <c r="C16">
        <f ca="1"/>
        <v>4</v>
      </c>
    </row>
    <row r="17" spans="1:12" x14ac:dyDescent="0.25">
      <c r="A17" t="s">
        <v>426</v>
      </c>
      <c r="B17">
        <f ca="1"/>
        <v>10</v>
      </c>
      <c r="C17">
        <f ca="1"/>
        <v>7</v>
      </c>
      <c r="I17" t="str" cm="1">
        <f t="array" aca="1" ref="I17:L28" ca="1">_xlfn.DROP(_xlfn.GROUPBY(A2:A50,_xlfn.HSTACK(B2:C50,C2:C50),_xlfn.HSTACK(_xleta.SUM,_xleta.AVERAGE,_xleta.SUM),0,0),1)</f>
        <v>abril</v>
      </c>
      <c r="J17">
        <f ca="1"/>
        <v>23</v>
      </c>
      <c r="K17">
        <f ca="1"/>
        <v>6.75</v>
      </c>
      <c r="L17">
        <f ca="1"/>
        <v>27</v>
      </c>
    </row>
    <row r="18" spans="1:12" x14ac:dyDescent="0.25">
      <c r="A18" t="s">
        <v>427</v>
      </c>
      <c r="B18">
        <f ca="1"/>
        <v>4</v>
      </c>
      <c r="C18">
        <f ca="1"/>
        <v>7</v>
      </c>
      <c r="I18" t="str">
        <f ca="1"/>
        <v>agosto</v>
      </c>
      <c r="J18">
        <f ca="1"/>
        <v>26</v>
      </c>
      <c r="K18">
        <f ca="1"/>
        <v>4</v>
      </c>
      <c r="L18">
        <f ca="1"/>
        <v>16</v>
      </c>
    </row>
    <row r="19" spans="1:12" x14ac:dyDescent="0.25">
      <c r="A19" t="s">
        <v>428</v>
      </c>
      <c r="B19">
        <f ca="1"/>
        <v>9</v>
      </c>
      <c r="C19">
        <f ca="1"/>
        <v>9</v>
      </c>
      <c r="I19" t="str">
        <f ca="1"/>
        <v>diciembre</v>
      </c>
      <c r="J19">
        <f ca="1"/>
        <v>22</v>
      </c>
      <c r="K19">
        <f ca="1"/>
        <v>2.75</v>
      </c>
      <c r="L19">
        <f ca="1"/>
        <v>11</v>
      </c>
    </row>
    <row r="20" spans="1:12" x14ac:dyDescent="0.25">
      <c r="A20" t="s">
        <v>429</v>
      </c>
      <c r="B20">
        <f ca="1"/>
        <v>2</v>
      </c>
      <c r="C20">
        <f ca="1"/>
        <v>1</v>
      </c>
      <c r="I20" t="str">
        <f ca="1"/>
        <v>enero</v>
      </c>
      <c r="J20">
        <f ca="1"/>
        <v>34</v>
      </c>
      <c r="K20">
        <f ca="1"/>
        <v>4.4000000000000004</v>
      </c>
      <c r="L20">
        <f ca="1"/>
        <v>22</v>
      </c>
    </row>
    <row r="21" spans="1:12" x14ac:dyDescent="0.25">
      <c r="A21" t="s">
        <v>430</v>
      </c>
      <c r="B21">
        <f ca="1"/>
        <v>10</v>
      </c>
      <c r="C21">
        <f ca="1"/>
        <v>2</v>
      </c>
      <c r="I21" t="str">
        <f ca="1"/>
        <v>febrero</v>
      </c>
      <c r="J21">
        <f ca="1"/>
        <v>31</v>
      </c>
      <c r="K21">
        <f ca="1"/>
        <v>4</v>
      </c>
      <c r="L21">
        <f ca="1"/>
        <v>16</v>
      </c>
    </row>
    <row r="22" spans="1:12" x14ac:dyDescent="0.25">
      <c r="A22" t="s">
        <v>431</v>
      </c>
      <c r="B22">
        <f ca="1"/>
        <v>7</v>
      </c>
      <c r="C22">
        <f ca="1"/>
        <v>5</v>
      </c>
      <c r="I22" t="str">
        <f ca="1"/>
        <v>julio</v>
      </c>
      <c r="J22">
        <f ca="1"/>
        <v>7</v>
      </c>
      <c r="K22">
        <f ca="1"/>
        <v>5.75</v>
      </c>
      <c r="L22">
        <f ca="1"/>
        <v>23</v>
      </c>
    </row>
    <row r="23" spans="1:12" x14ac:dyDescent="0.25">
      <c r="A23" t="s">
        <v>432</v>
      </c>
      <c r="B23">
        <f ca="1"/>
        <v>8</v>
      </c>
      <c r="C23">
        <f ca="1"/>
        <v>10</v>
      </c>
      <c r="I23" t="str">
        <f ca="1"/>
        <v>junio</v>
      </c>
      <c r="J23">
        <f ca="1"/>
        <v>39</v>
      </c>
      <c r="K23">
        <f ca="1"/>
        <v>5.5</v>
      </c>
      <c r="L23">
        <f ca="1"/>
        <v>22</v>
      </c>
    </row>
    <row r="24" spans="1:12" x14ac:dyDescent="0.25">
      <c r="A24" t="s">
        <v>433</v>
      </c>
      <c r="B24">
        <f ca="1"/>
        <v>10</v>
      </c>
      <c r="C24">
        <f ca="1"/>
        <v>4</v>
      </c>
      <c r="I24" t="str">
        <f ca="1"/>
        <v>marzo</v>
      </c>
      <c r="J24">
        <f ca="1"/>
        <v>26</v>
      </c>
      <c r="K24">
        <f ca="1"/>
        <v>4.75</v>
      </c>
      <c r="L24">
        <f ca="1"/>
        <v>19</v>
      </c>
    </row>
    <row r="25" spans="1:12" x14ac:dyDescent="0.25">
      <c r="A25" t="s">
        <v>434</v>
      </c>
      <c r="B25">
        <f ca="1"/>
        <v>9</v>
      </c>
      <c r="C25">
        <f ca="1"/>
        <v>1</v>
      </c>
      <c r="I25" t="str">
        <f ca="1"/>
        <v>mayo</v>
      </c>
      <c r="J25">
        <f ca="1"/>
        <v>23</v>
      </c>
      <c r="K25">
        <f ca="1"/>
        <v>7.25</v>
      </c>
      <c r="L25">
        <f ca="1"/>
        <v>29</v>
      </c>
    </row>
    <row r="26" spans="1:12" x14ac:dyDescent="0.25">
      <c r="A26" t="s">
        <v>423</v>
      </c>
      <c r="B26">
        <f ca="1"/>
        <v>7</v>
      </c>
      <c r="C26">
        <f ca="1"/>
        <v>3</v>
      </c>
      <c r="I26" t="str">
        <f ca="1"/>
        <v>noviembre</v>
      </c>
      <c r="J26">
        <f ca="1"/>
        <v>21</v>
      </c>
      <c r="K26">
        <f ca="1"/>
        <v>4</v>
      </c>
      <c r="L26">
        <f ca="1"/>
        <v>16</v>
      </c>
    </row>
    <row r="27" spans="1:12" x14ac:dyDescent="0.25">
      <c r="A27" t="s">
        <v>424</v>
      </c>
      <c r="B27">
        <f ca="1"/>
        <v>7</v>
      </c>
      <c r="C27">
        <f ca="1"/>
        <v>9</v>
      </c>
      <c r="I27" t="str">
        <f ca="1"/>
        <v>octubre</v>
      </c>
      <c r="J27">
        <f ca="1"/>
        <v>29</v>
      </c>
      <c r="K27">
        <f ca="1"/>
        <v>6</v>
      </c>
      <c r="L27">
        <f ca="1"/>
        <v>24</v>
      </c>
    </row>
    <row r="28" spans="1:12" x14ac:dyDescent="0.25">
      <c r="A28" t="s">
        <v>425</v>
      </c>
      <c r="B28">
        <f ca="1"/>
        <v>6</v>
      </c>
      <c r="C28">
        <f ca="1"/>
        <v>4</v>
      </c>
      <c r="I28" t="str">
        <f ca="1"/>
        <v>septiembre</v>
      </c>
      <c r="J28">
        <f ca="1"/>
        <v>29</v>
      </c>
      <c r="K28">
        <f ca="1"/>
        <v>4.75</v>
      </c>
      <c r="L28">
        <f ca="1"/>
        <v>19</v>
      </c>
    </row>
    <row r="29" spans="1:12" x14ac:dyDescent="0.25">
      <c r="A29" t="s">
        <v>426</v>
      </c>
      <c r="B29">
        <f ca="1"/>
        <v>1</v>
      </c>
      <c r="C29">
        <f ca="1"/>
        <v>9</v>
      </c>
    </row>
    <row r="30" spans="1:12" x14ac:dyDescent="0.25">
      <c r="A30" t="s">
        <v>427</v>
      </c>
      <c r="B30">
        <f ca="1"/>
        <v>9</v>
      </c>
      <c r="C30">
        <f ca="1"/>
        <v>8</v>
      </c>
    </row>
    <row r="31" spans="1:12" x14ac:dyDescent="0.25">
      <c r="A31" t="s">
        <v>428</v>
      </c>
      <c r="B31">
        <f ca="1"/>
        <v>10</v>
      </c>
      <c r="C31">
        <f ca="1"/>
        <v>9</v>
      </c>
    </row>
    <row r="32" spans="1:12" x14ac:dyDescent="0.25">
      <c r="A32" t="s">
        <v>429</v>
      </c>
      <c r="B32">
        <f ca="1"/>
        <v>2</v>
      </c>
      <c r="C32">
        <f ca="1"/>
        <v>6</v>
      </c>
    </row>
    <row r="33" spans="1:3" x14ac:dyDescent="0.25">
      <c r="A33" t="s">
        <v>430</v>
      </c>
      <c r="B33">
        <f ca="1"/>
        <v>7</v>
      </c>
      <c r="C33">
        <f ca="1"/>
        <v>2</v>
      </c>
    </row>
    <row r="34" spans="1:3" x14ac:dyDescent="0.25">
      <c r="A34" t="s">
        <v>431</v>
      </c>
      <c r="B34">
        <f ca="1"/>
        <v>8</v>
      </c>
      <c r="C34">
        <f ca="1"/>
        <v>4</v>
      </c>
    </row>
    <row r="35" spans="1:3" x14ac:dyDescent="0.25">
      <c r="A35" t="s">
        <v>432</v>
      </c>
      <c r="B35">
        <f ca="1"/>
        <v>8</v>
      </c>
      <c r="C35">
        <f ca="1"/>
        <v>2</v>
      </c>
    </row>
    <row r="36" spans="1:3" x14ac:dyDescent="0.25">
      <c r="A36" t="s">
        <v>433</v>
      </c>
      <c r="B36">
        <f ca="1"/>
        <v>4</v>
      </c>
      <c r="C36">
        <f ca="1"/>
        <v>1</v>
      </c>
    </row>
    <row r="37" spans="1:3" x14ac:dyDescent="0.25">
      <c r="A37" t="s">
        <v>434</v>
      </c>
      <c r="B37">
        <f ca="1"/>
        <v>8</v>
      </c>
      <c r="C37">
        <f ca="1"/>
        <v>2</v>
      </c>
    </row>
    <row r="38" spans="1:3" x14ac:dyDescent="0.25">
      <c r="A38" t="s">
        <v>423</v>
      </c>
      <c r="B38">
        <f ca="1"/>
        <v>7</v>
      </c>
      <c r="C38">
        <f ca="1"/>
        <v>3</v>
      </c>
    </row>
    <row r="39" spans="1:3" x14ac:dyDescent="0.25">
      <c r="A39" t="s">
        <v>424</v>
      </c>
      <c r="B39">
        <f ca="1"/>
        <v>8</v>
      </c>
      <c r="C39">
        <f ca="1"/>
        <v>1</v>
      </c>
    </row>
    <row r="40" spans="1:3" x14ac:dyDescent="0.25">
      <c r="A40" t="s">
        <v>425</v>
      </c>
      <c r="B40">
        <f ca="1"/>
        <v>9</v>
      </c>
      <c r="C40">
        <f ca="1"/>
        <v>2</v>
      </c>
    </row>
    <row r="41" spans="1:3" x14ac:dyDescent="0.25">
      <c r="A41" t="s">
        <v>426</v>
      </c>
      <c r="B41">
        <f ca="1"/>
        <v>3</v>
      </c>
      <c r="C41">
        <f ca="1"/>
        <v>7</v>
      </c>
    </row>
    <row r="42" spans="1:3" x14ac:dyDescent="0.25">
      <c r="A42" t="s">
        <v>427</v>
      </c>
      <c r="B42">
        <f ca="1"/>
        <v>8</v>
      </c>
      <c r="C42">
        <f ca="1"/>
        <v>6</v>
      </c>
    </row>
    <row r="43" spans="1:3" x14ac:dyDescent="0.25">
      <c r="A43" t="s">
        <v>428</v>
      </c>
      <c r="B43">
        <f ca="1"/>
        <v>10</v>
      </c>
      <c r="C43">
        <f ca="1"/>
        <v>1</v>
      </c>
    </row>
    <row r="44" spans="1:3" x14ac:dyDescent="0.25">
      <c r="A44" t="s">
        <v>429</v>
      </c>
      <c r="B44">
        <f ca="1"/>
        <v>1</v>
      </c>
      <c r="C44">
        <f ca="1"/>
        <v>8</v>
      </c>
    </row>
    <row r="45" spans="1:3" x14ac:dyDescent="0.25">
      <c r="A45" t="s">
        <v>430</v>
      </c>
      <c r="B45">
        <f ca="1"/>
        <v>1</v>
      </c>
      <c r="C45">
        <f ca="1"/>
        <v>3</v>
      </c>
    </row>
    <row r="46" spans="1:3" x14ac:dyDescent="0.25">
      <c r="A46" t="s">
        <v>431</v>
      </c>
      <c r="B46">
        <f ca="1"/>
        <v>7</v>
      </c>
      <c r="C46">
        <f ca="1"/>
        <v>7</v>
      </c>
    </row>
    <row r="47" spans="1:3" x14ac:dyDescent="0.25">
      <c r="A47" t="s">
        <v>432</v>
      </c>
      <c r="B47">
        <f ca="1"/>
        <v>4</v>
      </c>
      <c r="C47">
        <f ca="1"/>
        <v>4</v>
      </c>
    </row>
    <row r="48" spans="1:3" x14ac:dyDescent="0.25">
      <c r="A48" t="s">
        <v>433</v>
      </c>
      <c r="B48">
        <f ca="1"/>
        <v>5</v>
      </c>
      <c r="C48">
        <f ca="1"/>
        <v>5</v>
      </c>
    </row>
    <row r="49" spans="1:3" x14ac:dyDescent="0.25">
      <c r="A49" t="s">
        <v>434</v>
      </c>
      <c r="B49">
        <f ca="1"/>
        <v>4</v>
      </c>
      <c r="C49">
        <f ca="1"/>
        <v>4</v>
      </c>
    </row>
    <row r="50" spans="1:3" x14ac:dyDescent="0.25">
      <c r="A50" t="s">
        <v>423</v>
      </c>
      <c r="B50">
        <f ca="1"/>
        <v>4</v>
      </c>
      <c r="C50">
        <f ca="1"/>
        <v>7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1594-C975-4BD6-8352-3D55B979C579}">
  <sheetPr codeName="Hoja59"/>
  <dimension ref="A1:K50"/>
  <sheetViews>
    <sheetView workbookViewId="0">
      <selection activeCell="G1" sqref="G1"/>
    </sheetView>
  </sheetViews>
  <sheetFormatPr baseColWidth="10" defaultRowHeight="15" x14ac:dyDescent="0.25"/>
  <sheetData>
    <row r="1" spans="1:11" x14ac:dyDescent="0.25">
      <c r="A1" t="s">
        <v>35</v>
      </c>
      <c r="B1" t="s">
        <v>53</v>
      </c>
      <c r="C1" t="s">
        <v>435</v>
      </c>
      <c r="D1" t="s">
        <v>436</v>
      </c>
      <c r="G1" t="str" cm="1">
        <f t="array" ref="G1:K13">_xlfn.PIVOTBY(A2:A50,B2:B50,C2:C50,_xleta.SUM,0,0)</f>
        <v/>
      </c>
      <c r="H1" t="str">
        <v>A</v>
      </c>
      <c r="I1" t="str">
        <v>B</v>
      </c>
      <c r="J1" t="str">
        <v>C</v>
      </c>
      <c r="K1" t="str">
        <v>Total</v>
      </c>
    </row>
    <row r="2" spans="1:11" x14ac:dyDescent="0.25">
      <c r="A2" t="s">
        <v>423</v>
      </c>
      <c r="B2" t="s">
        <v>26</v>
      </c>
      <c r="C2">
        <v>7</v>
      </c>
      <c r="D2">
        <v>8</v>
      </c>
      <c r="G2" t="str">
        <v>abril</v>
      </c>
      <c r="H2">
        <v>13</v>
      </c>
      <c r="I2" t="str">
        <v/>
      </c>
      <c r="J2" t="str">
        <v/>
      </c>
      <c r="K2">
        <v>13</v>
      </c>
    </row>
    <row r="3" spans="1:11" x14ac:dyDescent="0.25">
      <c r="A3" t="s">
        <v>424</v>
      </c>
      <c r="B3" t="s">
        <v>27</v>
      </c>
      <c r="C3">
        <v>6</v>
      </c>
      <c r="D3">
        <v>4</v>
      </c>
      <c r="G3" t="str">
        <v>agosto</v>
      </c>
      <c r="H3" t="str">
        <v/>
      </c>
      <c r="I3">
        <v>28</v>
      </c>
      <c r="J3" t="str">
        <v/>
      </c>
      <c r="K3">
        <v>28</v>
      </c>
    </row>
    <row r="4" spans="1:11" x14ac:dyDescent="0.25">
      <c r="A4" t="s">
        <v>425</v>
      </c>
      <c r="B4" t="s">
        <v>28</v>
      </c>
      <c r="C4">
        <v>4</v>
      </c>
      <c r="D4">
        <v>8</v>
      </c>
      <c r="G4" t="str">
        <v>diciembre</v>
      </c>
      <c r="H4" t="str">
        <v/>
      </c>
      <c r="I4" t="str">
        <v/>
      </c>
      <c r="J4">
        <v>16</v>
      </c>
      <c r="K4">
        <v>16</v>
      </c>
    </row>
    <row r="5" spans="1:11" x14ac:dyDescent="0.25">
      <c r="A5" t="s">
        <v>426</v>
      </c>
      <c r="B5" t="s">
        <v>26</v>
      </c>
      <c r="C5">
        <v>2</v>
      </c>
      <c r="D5">
        <v>6</v>
      </c>
      <c r="G5" t="str">
        <v>enero</v>
      </c>
      <c r="H5">
        <v>28</v>
      </c>
      <c r="I5" t="str">
        <v/>
      </c>
      <c r="J5" t="str">
        <v/>
      </c>
      <c r="K5">
        <v>28</v>
      </c>
    </row>
    <row r="6" spans="1:11" x14ac:dyDescent="0.25">
      <c r="A6" t="s">
        <v>427</v>
      </c>
      <c r="B6" t="s">
        <v>27</v>
      </c>
      <c r="C6">
        <v>8</v>
      </c>
      <c r="D6">
        <v>2</v>
      </c>
      <c r="G6" t="str">
        <v>febrero</v>
      </c>
      <c r="H6" t="str">
        <v/>
      </c>
      <c r="I6">
        <v>22</v>
      </c>
      <c r="J6" t="str">
        <v/>
      </c>
      <c r="K6">
        <v>22</v>
      </c>
    </row>
    <row r="7" spans="1:11" x14ac:dyDescent="0.25">
      <c r="A7" t="s">
        <v>428</v>
      </c>
      <c r="B7" t="s">
        <v>28</v>
      </c>
      <c r="C7">
        <v>7</v>
      </c>
      <c r="D7">
        <v>7</v>
      </c>
      <c r="G7" t="str">
        <v>julio</v>
      </c>
      <c r="H7">
        <v>33</v>
      </c>
      <c r="I7" t="str">
        <v/>
      </c>
      <c r="J7" t="str">
        <v/>
      </c>
      <c r="K7">
        <v>33</v>
      </c>
    </row>
    <row r="8" spans="1:11" x14ac:dyDescent="0.25">
      <c r="A8" t="s">
        <v>429</v>
      </c>
      <c r="B8" t="s">
        <v>26</v>
      </c>
      <c r="C8">
        <v>6</v>
      </c>
      <c r="D8">
        <v>3</v>
      </c>
      <c r="G8" t="str">
        <v>junio</v>
      </c>
      <c r="H8" t="str">
        <v/>
      </c>
      <c r="I8" t="str">
        <v/>
      </c>
      <c r="J8">
        <v>24</v>
      </c>
      <c r="K8">
        <v>24</v>
      </c>
    </row>
    <row r="9" spans="1:11" x14ac:dyDescent="0.25">
      <c r="A9" t="s">
        <v>430</v>
      </c>
      <c r="B9" t="s">
        <v>27</v>
      </c>
      <c r="C9">
        <v>10</v>
      </c>
      <c r="D9">
        <v>10</v>
      </c>
      <c r="G9" t="str">
        <v>marzo</v>
      </c>
      <c r="H9" t="str">
        <v/>
      </c>
      <c r="I9" t="str">
        <v/>
      </c>
      <c r="J9">
        <v>20</v>
      </c>
      <c r="K9">
        <v>20</v>
      </c>
    </row>
    <row r="10" spans="1:11" x14ac:dyDescent="0.25">
      <c r="A10" t="s">
        <v>431</v>
      </c>
      <c r="B10" t="s">
        <v>28</v>
      </c>
      <c r="C10">
        <v>10</v>
      </c>
      <c r="D10">
        <v>6</v>
      </c>
      <c r="G10" t="str">
        <v>mayo</v>
      </c>
      <c r="H10" t="str">
        <v/>
      </c>
      <c r="I10">
        <v>26</v>
      </c>
      <c r="J10" t="str">
        <v/>
      </c>
      <c r="K10">
        <v>26</v>
      </c>
    </row>
    <row r="11" spans="1:11" x14ac:dyDescent="0.25">
      <c r="A11" t="s">
        <v>432</v>
      </c>
      <c r="B11" t="s">
        <v>26</v>
      </c>
      <c r="C11">
        <v>8</v>
      </c>
      <c r="D11">
        <v>3</v>
      </c>
      <c r="G11" t="str">
        <v>noviembre</v>
      </c>
      <c r="H11" t="str">
        <v/>
      </c>
      <c r="I11">
        <v>20</v>
      </c>
      <c r="J11" t="str">
        <v/>
      </c>
      <c r="K11">
        <v>20</v>
      </c>
    </row>
    <row r="12" spans="1:11" x14ac:dyDescent="0.25">
      <c r="A12" t="s">
        <v>433</v>
      </c>
      <c r="B12" t="s">
        <v>27</v>
      </c>
      <c r="C12">
        <v>7</v>
      </c>
      <c r="D12">
        <v>4</v>
      </c>
      <c r="G12" t="str">
        <v>octubre</v>
      </c>
      <c r="H12">
        <v>28</v>
      </c>
      <c r="I12" t="str">
        <v/>
      </c>
      <c r="J12" t="str">
        <v/>
      </c>
      <c r="K12">
        <v>28</v>
      </c>
    </row>
    <row r="13" spans="1:11" x14ac:dyDescent="0.25">
      <c r="A13" t="s">
        <v>434</v>
      </c>
      <c r="B13" t="s">
        <v>28</v>
      </c>
      <c r="C13">
        <v>9</v>
      </c>
      <c r="D13">
        <v>5</v>
      </c>
      <c r="G13" t="str">
        <v>septiembre</v>
      </c>
      <c r="H13" t="str">
        <v/>
      </c>
      <c r="I13" t="str">
        <v/>
      </c>
      <c r="J13">
        <v>32</v>
      </c>
      <c r="K13">
        <v>32</v>
      </c>
    </row>
    <row r="14" spans="1:11" x14ac:dyDescent="0.25">
      <c r="A14" t="s">
        <v>423</v>
      </c>
      <c r="B14" t="s">
        <v>26</v>
      </c>
      <c r="C14">
        <v>7</v>
      </c>
      <c r="D14">
        <v>10</v>
      </c>
    </row>
    <row r="15" spans="1:11" x14ac:dyDescent="0.25">
      <c r="A15" t="s">
        <v>424</v>
      </c>
      <c r="B15" t="s">
        <v>27</v>
      </c>
      <c r="C15">
        <v>3</v>
      </c>
      <c r="D15">
        <v>9</v>
      </c>
    </row>
    <row r="16" spans="1:11" x14ac:dyDescent="0.25">
      <c r="A16" t="s">
        <v>425</v>
      </c>
      <c r="B16" t="s">
        <v>28</v>
      </c>
      <c r="C16">
        <v>1</v>
      </c>
      <c r="D16">
        <v>3</v>
      </c>
    </row>
    <row r="17" spans="1:4" x14ac:dyDescent="0.25">
      <c r="A17" t="s">
        <v>426</v>
      </c>
      <c r="B17" t="s">
        <v>26</v>
      </c>
      <c r="C17">
        <v>5</v>
      </c>
      <c r="D17">
        <v>5</v>
      </c>
    </row>
    <row r="18" spans="1:4" x14ac:dyDescent="0.25">
      <c r="A18" t="s">
        <v>427</v>
      </c>
      <c r="B18" t="s">
        <v>27</v>
      </c>
      <c r="C18">
        <v>6</v>
      </c>
      <c r="D18">
        <v>2</v>
      </c>
    </row>
    <row r="19" spans="1:4" x14ac:dyDescent="0.25">
      <c r="A19" t="s">
        <v>428</v>
      </c>
      <c r="B19" t="s">
        <v>28</v>
      </c>
      <c r="C19">
        <v>6</v>
      </c>
      <c r="D19">
        <v>2</v>
      </c>
    </row>
    <row r="20" spans="1:4" x14ac:dyDescent="0.25">
      <c r="A20" t="s">
        <v>429</v>
      </c>
      <c r="B20" t="s">
        <v>26</v>
      </c>
      <c r="C20">
        <v>10</v>
      </c>
      <c r="D20">
        <v>6</v>
      </c>
    </row>
    <row r="21" spans="1:4" x14ac:dyDescent="0.25">
      <c r="A21" t="s">
        <v>430</v>
      </c>
      <c r="B21" t="s">
        <v>27</v>
      </c>
      <c r="C21">
        <v>3</v>
      </c>
      <c r="D21">
        <v>6</v>
      </c>
    </row>
    <row r="22" spans="1:4" x14ac:dyDescent="0.25">
      <c r="A22" t="s">
        <v>431</v>
      </c>
      <c r="B22" t="s">
        <v>28</v>
      </c>
      <c r="C22">
        <v>10</v>
      </c>
      <c r="D22">
        <v>5</v>
      </c>
    </row>
    <row r="23" spans="1:4" x14ac:dyDescent="0.25">
      <c r="A23" t="s">
        <v>432</v>
      </c>
      <c r="B23" t="s">
        <v>26</v>
      </c>
      <c r="C23">
        <v>8</v>
      </c>
      <c r="D23">
        <v>8</v>
      </c>
    </row>
    <row r="24" spans="1:4" x14ac:dyDescent="0.25">
      <c r="A24" t="s">
        <v>433</v>
      </c>
      <c r="B24" t="s">
        <v>27</v>
      </c>
      <c r="C24">
        <v>2</v>
      </c>
      <c r="D24">
        <v>10</v>
      </c>
    </row>
    <row r="25" spans="1:4" x14ac:dyDescent="0.25">
      <c r="A25" t="s">
        <v>434</v>
      </c>
      <c r="B25" t="s">
        <v>28</v>
      </c>
      <c r="C25">
        <v>2</v>
      </c>
      <c r="D25">
        <v>3</v>
      </c>
    </row>
    <row r="26" spans="1:4" x14ac:dyDescent="0.25">
      <c r="A26" t="s">
        <v>423</v>
      </c>
      <c r="B26" t="s">
        <v>26</v>
      </c>
      <c r="C26">
        <v>3</v>
      </c>
      <c r="D26">
        <v>10</v>
      </c>
    </row>
    <row r="27" spans="1:4" x14ac:dyDescent="0.25">
      <c r="A27" t="s">
        <v>424</v>
      </c>
      <c r="B27" t="s">
        <v>27</v>
      </c>
      <c r="C27">
        <v>8</v>
      </c>
      <c r="D27">
        <v>4</v>
      </c>
    </row>
    <row r="28" spans="1:4" x14ac:dyDescent="0.25">
      <c r="A28" t="s">
        <v>425</v>
      </c>
      <c r="B28" t="s">
        <v>28</v>
      </c>
      <c r="C28">
        <v>10</v>
      </c>
      <c r="D28">
        <v>6</v>
      </c>
    </row>
    <row r="29" spans="1:4" x14ac:dyDescent="0.25">
      <c r="A29" t="s">
        <v>426</v>
      </c>
      <c r="B29" t="s">
        <v>26</v>
      </c>
      <c r="C29">
        <v>2</v>
      </c>
      <c r="D29">
        <v>1</v>
      </c>
    </row>
    <row r="30" spans="1:4" x14ac:dyDescent="0.25">
      <c r="A30" t="s">
        <v>427</v>
      </c>
      <c r="B30" t="s">
        <v>27</v>
      </c>
      <c r="C30">
        <v>10</v>
      </c>
      <c r="D30">
        <v>5</v>
      </c>
    </row>
    <row r="31" spans="1:4" x14ac:dyDescent="0.25">
      <c r="A31" t="s">
        <v>428</v>
      </c>
      <c r="B31" t="s">
        <v>28</v>
      </c>
      <c r="C31">
        <v>7</v>
      </c>
      <c r="D31">
        <v>3</v>
      </c>
    </row>
    <row r="32" spans="1:4" x14ac:dyDescent="0.25">
      <c r="A32" t="s">
        <v>429</v>
      </c>
      <c r="B32" t="s">
        <v>26</v>
      </c>
      <c r="C32">
        <v>7</v>
      </c>
      <c r="D32">
        <v>6</v>
      </c>
    </row>
    <row r="33" spans="1:4" x14ac:dyDescent="0.25">
      <c r="A33" t="s">
        <v>430</v>
      </c>
      <c r="B33" t="s">
        <v>27</v>
      </c>
      <c r="C33">
        <v>8</v>
      </c>
      <c r="D33">
        <v>7</v>
      </c>
    </row>
    <row r="34" spans="1:4" x14ac:dyDescent="0.25">
      <c r="A34" t="s">
        <v>431</v>
      </c>
      <c r="B34" t="s">
        <v>28</v>
      </c>
      <c r="C34">
        <v>7</v>
      </c>
      <c r="D34">
        <v>8</v>
      </c>
    </row>
    <row r="35" spans="1:4" x14ac:dyDescent="0.25">
      <c r="A35" t="s">
        <v>432</v>
      </c>
      <c r="B35" t="s">
        <v>26</v>
      </c>
      <c r="C35">
        <v>8</v>
      </c>
      <c r="D35">
        <v>1</v>
      </c>
    </row>
    <row r="36" spans="1:4" x14ac:dyDescent="0.25">
      <c r="A36" t="s">
        <v>433</v>
      </c>
      <c r="B36" t="s">
        <v>27</v>
      </c>
      <c r="C36">
        <v>4</v>
      </c>
      <c r="D36">
        <v>5</v>
      </c>
    </row>
    <row r="37" spans="1:4" x14ac:dyDescent="0.25">
      <c r="A37" t="s">
        <v>434</v>
      </c>
      <c r="B37" t="s">
        <v>28</v>
      </c>
      <c r="C37">
        <v>1</v>
      </c>
      <c r="D37">
        <v>5</v>
      </c>
    </row>
    <row r="38" spans="1:4" x14ac:dyDescent="0.25">
      <c r="A38" t="s">
        <v>423</v>
      </c>
      <c r="B38" t="s">
        <v>26</v>
      </c>
      <c r="C38">
        <v>2</v>
      </c>
      <c r="D38">
        <v>5</v>
      </c>
    </row>
    <row r="39" spans="1:4" x14ac:dyDescent="0.25">
      <c r="A39" t="s">
        <v>424</v>
      </c>
      <c r="B39" t="s">
        <v>27</v>
      </c>
      <c r="C39">
        <v>5</v>
      </c>
      <c r="D39">
        <v>1</v>
      </c>
    </row>
    <row r="40" spans="1:4" x14ac:dyDescent="0.25">
      <c r="A40" t="s">
        <v>425</v>
      </c>
      <c r="B40" t="s">
        <v>28</v>
      </c>
      <c r="C40">
        <v>5</v>
      </c>
      <c r="D40">
        <v>1</v>
      </c>
    </row>
    <row r="41" spans="1:4" x14ac:dyDescent="0.25">
      <c r="A41" t="s">
        <v>426</v>
      </c>
      <c r="B41" t="s">
        <v>26</v>
      </c>
      <c r="C41">
        <v>4</v>
      </c>
      <c r="D41">
        <v>8</v>
      </c>
    </row>
    <row r="42" spans="1:4" x14ac:dyDescent="0.25">
      <c r="A42" t="s">
        <v>427</v>
      </c>
      <c r="B42" t="s">
        <v>27</v>
      </c>
      <c r="C42">
        <v>2</v>
      </c>
      <c r="D42">
        <v>6</v>
      </c>
    </row>
    <row r="43" spans="1:4" x14ac:dyDescent="0.25">
      <c r="A43" t="s">
        <v>428</v>
      </c>
      <c r="B43" t="s">
        <v>28</v>
      </c>
      <c r="C43">
        <v>4</v>
      </c>
      <c r="D43">
        <v>3</v>
      </c>
    </row>
    <row r="44" spans="1:4" x14ac:dyDescent="0.25">
      <c r="A44" t="s">
        <v>429</v>
      </c>
      <c r="B44" t="s">
        <v>26</v>
      </c>
      <c r="C44">
        <v>10</v>
      </c>
      <c r="D44">
        <v>1</v>
      </c>
    </row>
    <row r="45" spans="1:4" x14ac:dyDescent="0.25">
      <c r="A45" t="s">
        <v>430</v>
      </c>
      <c r="B45" t="s">
        <v>27</v>
      </c>
      <c r="C45">
        <v>7</v>
      </c>
      <c r="D45">
        <v>10</v>
      </c>
    </row>
    <row r="46" spans="1:4" x14ac:dyDescent="0.25">
      <c r="A46" t="s">
        <v>431</v>
      </c>
      <c r="B46" t="s">
        <v>28</v>
      </c>
      <c r="C46">
        <v>5</v>
      </c>
      <c r="D46">
        <v>4</v>
      </c>
    </row>
    <row r="47" spans="1:4" x14ac:dyDescent="0.25">
      <c r="A47" t="s">
        <v>432</v>
      </c>
      <c r="B47" t="s">
        <v>26</v>
      </c>
      <c r="C47">
        <v>4</v>
      </c>
      <c r="D47">
        <v>8</v>
      </c>
    </row>
    <row r="48" spans="1:4" x14ac:dyDescent="0.25">
      <c r="A48" t="s">
        <v>433</v>
      </c>
      <c r="B48" t="s">
        <v>27</v>
      </c>
      <c r="C48">
        <v>7</v>
      </c>
      <c r="D48">
        <v>1</v>
      </c>
    </row>
    <row r="49" spans="1:4" x14ac:dyDescent="0.25">
      <c r="A49" t="s">
        <v>434</v>
      </c>
      <c r="B49" t="s">
        <v>28</v>
      </c>
      <c r="C49">
        <v>4</v>
      </c>
      <c r="D49">
        <v>3</v>
      </c>
    </row>
    <row r="50" spans="1:4" x14ac:dyDescent="0.25">
      <c r="A50" t="s">
        <v>423</v>
      </c>
      <c r="B50" t="s">
        <v>26</v>
      </c>
      <c r="C50">
        <v>9</v>
      </c>
      <c r="D50">
        <v>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B3D6-6853-40F1-B69D-4A6D0BACD0DD}">
  <sheetPr codeName="Hoja60"/>
  <dimension ref="A1:S50"/>
  <sheetViews>
    <sheetView topLeftCell="B1" workbookViewId="0">
      <selection activeCell="B1" sqref="B1:B2"/>
    </sheetView>
  </sheetViews>
  <sheetFormatPr baseColWidth="10" defaultRowHeight="15" x14ac:dyDescent="0.25"/>
  <cols>
    <col min="10" max="10" width="15.140625" customWidth="1"/>
    <col min="14" max="14" width="25" customWidth="1"/>
    <col min="16" max="16" width="8.85546875" customWidth="1"/>
    <col min="17" max="17" width="6.5703125" customWidth="1"/>
  </cols>
  <sheetData>
    <row r="1" spans="1:19" x14ac:dyDescent="0.25">
      <c r="A1" t="s">
        <v>35</v>
      </c>
      <c r="B1" t="s">
        <v>53</v>
      </c>
      <c r="C1" t="s">
        <v>435</v>
      </c>
      <c r="D1" t="s">
        <v>436</v>
      </c>
    </row>
    <row r="2" spans="1:19" x14ac:dyDescent="0.25">
      <c r="A2" t="s">
        <v>423</v>
      </c>
      <c r="B2" t="s">
        <v>26</v>
      </c>
      <c r="C2">
        <v>7</v>
      </c>
      <c r="D2">
        <v>8</v>
      </c>
      <c r="F2" t="str" cm="1">
        <f t="array" ref="F2:H13">_xlfn.GROUPBY(A2:B50,C2:C50,_xleta.SUM,0,0)</f>
        <v>abril</v>
      </c>
      <c r="G2" t="str">
        <v>A</v>
      </c>
      <c r="H2">
        <v>13</v>
      </c>
      <c r="J2" s="19" t="s">
        <v>439</v>
      </c>
      <c r="K2" s="20" t="str" cm="1">
        <f t="array" ref="K2:L13">_xlfn.LET(_xlpm.matriz,A2:C50,
_xlpm.misfilas,_xlfn.CHOOSECOLS(_xlpm.matriz,1),
_xlpm.misvalores,_xlfn.CHOOSECOLS(_xlpm.matriz,3),
_xlpm.base,_xlfn.GROUPBY(_xlpm.misfilas,_xlpm.misvalores,_xleta.SUM,0,0),
_xlpm.base)</f>
        <v>abril</v>
      </c>
      <c r="L2">
        <v>13</v>
      </c>
      <c r="N2" s="19" t="s">
        <v>438</v>
      </c>
      <c r="O2" t="str" cm="1">
        <f t="array" ref="O2:P13">_xlfn.LET(_xlpm.base,_xlfn.LET(_xlpm.matriz,A2:C50,
_xlpm.misfilas,_xlfn.CHOOSECOLS(_xlpm.matriz,1),
_xlpm.misvalores,_xlfn.CHOOSECOLS(_xlpm.matriz,3),
_xlpm.base,_xlfn.GROUPBY(_xlpm.misfilas,_xlpm.misvalores,_xleta.SUM,0,0),
_xlpm.base),
_xlpm.primera,_xlfn.CHOOSECOLS(_xlpm.base,1),
_xlpm.Referencias,TEXT(DATE(2026,_xlfn.SEQUENCE(12),1),"mmmm"),
_xlpm.ordenada,MATCH(_xlpm.primera,_xlpm.Referencias,0),
_xlfn.SORTBY(_xlpm.base,_xlpm.ordenada,1))</f>
        <v>enero</v>
      </c>
      <c r="P2">
        <v>28</v>
      </c>
      <c r="R2" t="s">
        <v>436</v>
      </c>
      <c r="S2" s="2" t="b">
        <v>0</v>
      </c>
    </row>
    <row r="3" spans="1:19" x14ac:dyDescent="0.25">
      <c r="A3" t="s">
        <v>424</v>
      </c>
      <c r="B3" t="s">
        <v>27</v>
      </c>
      <c r="C3">
        <v>6</v>
      </c>
      <c r="D3">
        <v>4</v>
      </c>
      <c r="F3" t="str">
        <v>agosto</v>
      </c>
      <c r="G3" t="str">
        <v>B</v>
      </c>
      <c r="H3">
        <v>28</v>
      </c>
      <c r="K3" t="str">
        <v>agosto</v>
      </c>
      <c r="L3">
        <v>28</v>
      </c>
      <c r="O3" t="str">
        <v>febrero</v>
      </c>
      <c r="P3">
        <v>22</v>
      </c>
    </row>
    <row r="4" spans="1:19" x14ac:dyDescent="0.25">
      <c r="A4" t="s">
        <v>425</v>
      </c>
      <c r="B4" t="s">
        <v>28</v>
      </c>
      <c r="C4">
        <v>4</v>
      </c>
      <c r="D4">
        <v>8</v>
      </c>
      <c r="F4" t="str">
        <v>diciembre</v>
      </c>
      <c r="G4" t="str">
        <v>C</v>
      </c>
      <c r="H4">
        <v>16</v>
      </c>
      <c r="K4" t="str">
        <v>diciembre</v>
      </c>
      <c r="L4">
        <v>16</v>
      </c>
      <c r="O4" t="str">
        <v>marzo</v>
      </c>
      <c r="P4">
        <v>20</v>
      </c>
    </row>
    <row r="5" spans="1:19" x14ac:dyDescent="0.25">
      <c r="A5" t="s">
        <v>426</v>
      </c>
      <c r="B5" t="s">
        <v>26</v>
      </c>
      <c r="C5">
        <v>2</v>
      </c>
      <c r="D5">
        <v>6</v>
      </c>
      <c r="F5" t="str">
        <v>enero</v>
      </c>
      <c r="G5" t="str">
        <v>A</v>
      </c>
      <c r="H5">
        <v>28</v>
      </c>
      <c r="K5" t="str">
        <v>enero</v>
      </c>
      <c r="L5">
        <v>28</v>
      </c>
      <c r="O5" t="str">
        <v>abril</v>
      </c>
      <c r="P5">
        <v>13</v>
      </c>
    </row>
    <row r="6" spans="1:19" x14ac:dyDescent="0.25">
      <c r="A6" t="s">
        <v>427</v>
      </c>
      <c r="B6" t="s">
        <v>27</v>
      </c>
      <c r="C6">
        <v>8</v>
      </c>
      <c r="D6">
        <v>2</v>
      </c>
      <c r="F6" t="str">
        <v>febrero</v>
      </c>
      <c r="G6" t="str">
        <v>B</v>
      </c>
      <c r="H6">
        <v>22</v>
      </c>
      <c r="K6" t="str">
        <v>febrero</v>
      </c>
      <c r="L6">
        <v>22</v>
      </c>
      <c r="O6" t="str">
        <v>mayo</v>
      </c>
      <c r="P6">
        <v>26</v>
      </c>
    </row>
    <row r="7" spans="1:19" x14ac:dyDescent="0.25">
      <c r="A7" t="s">
        <v>428</v>
      </c>
      <c r="B7" t="s">
        <v>28</v>
      </c>
      <c r="C7">
        <v>7</v>
      </c>
      <c r="D7">
        <v>7</v>
      </c>
      <c r="F7" t="str">
        <v>julio</v>
      </c>
      <c r="G7" t="str">
        <v>A</v>
      </c>
      <c r="H7">
        <v>33</v>
      </c>
      <c r="K7" t="str">
        <v>julio</v>
      </c>
      <c r="L7">
        <v>33</v>
      </c>
      <c r="O7" t="str">
        <v>junio</v>
      </c>
      <c r="P7">
        <v>24</v>
      </c>
    </row>
    <row r="8" spans="1:19" x14ac:dyDescent="0.25">
      <c r="A8" t="s">
        <v>429</v>
      </c>
      <c r="B8" t="s">
        <v>26</v>
      </c>
      <c r="C8">
        <v>6</v>
      </c>
      <c r="D8">
        <v>3</v>
      </c>
      <c r="F8" t="str">
        <v>junio</v>
      </c>
      <c r="G8" t="str">
        <v>C</v>
      </c>
      <c r="H8">
        <v>24</v>
      </c>
      <c r="K8" t="str">
        <v>junio</v>
      </c>
      <c r="L8">
        <v>24</v>
      </c>
      <c r="O8" t="str">
        <v>julio</v>
      </c>
      <c r="P8">
        <v>33</v>
      </c>
    </row>
    <row r="9" spans="1:19" x14ac:dyDescent="0.25">
      <c r="A9" t="s">
        <v>430</v>
      </c>
      <c r="B9" t="s">
        <v>27</v>
      </c>
      <c r="C9">
        <v>10</v>
      </c>
      <c r="D9">
        <v>10</v>
      </c>
      <c r="F9" t="str">
        <v>marzo</v>
      </c>
      <c r="G9" t="str">
        <v>C</v>
      </c>
      <c r="H9">
        <v>20</v>
      </c>
      <c r="K9" t="str">
        <v>marzo</v>
      </c>
      <c r="L9">
        <v>20</v>
      </c>
      <c r="O9" t="str">
        <v>agosto</v>
      </c>
      <c r="P9">
        <v>28</v>
      </c>
    </row>
    <row r="10" spans="1:19" x14ac:dyDescent="0.25">
      <c r="A10" t="s">
        <v>431</v>
      </c>
      <c r="B10" t="s">
        <v>28</v>
      </c>
      <c r="C10">
        <v>10</v>
      </c>
      <c r="D10">
        <v>6</v>
      </c>
      <c r="F10" t="str">
        <v>mayo</v>
      </c>
      <c r="G10" t="str">
        <v>B</v>
      </c>
      <c r="H10">
        <v>26</v>
      </c>
      <c r="K10" t="str">
        <v>mayo</v>
      </c>
      <c r="L10">
        <v>26</v>
      </c>
      <c r="O10" t="str">
        <v>septiembre</v>
      </c>
      <c r="P10">
        <v>32</v>
      </c>
    </row>
    <row r="11" spans="1:19" x14ac:dyDescent="0.25">
      <c r="A11" t="s">
        <v>432</v>
      </c>
      <c r="B11" t="s">
        <v>26</v>
      </c>
      <c r="C11">
        <v>8</v>
      </c>
      <c r="D11">
        <v>3</v>
      </c>
      <c r="F11" t="str">
        <v>noviembre</v>
      </c>
      <c r="G11" t="str">
        <v>B</v>
      </c>
      <c r="H11">
        <v>20</v>
      </c>
      <c r="K11" t="str">
        <v>noviembre</v>
      </c>
      <c r="L11">
        <v>20</v>
      </c>
      <c r="O11" t="str">
        <v>octubre</v>
      </c>
      <c r="P11">
        <v>28</v>
      </c>
    </row>
    <row r="12" spans="1:19" x14ac:dyDescent="0.25">
      <c r="A12" t="s">
        <v>433</v>
      </c>
      <c r="B12" t="s">
        <v>27</v>
      </c>
      <c r="C12">
        <v>7</v>
      </c>
      <c r="D12">
        <v>4</v>
      </c>
      <c r="F12" t="str">
        <v>octubre</v>
      </c>
      <c r="G12" t="str">
        <v>A</v>
      </c>
      <c r="H12">
        <v>28</v>
      </c>
      <c r="K12" t="str">
        <v>octubre</v>
      </c>
      <c r="L12">
        <v>28</v>
      </c>
      <c r="O12" t="str">
        <v>noviembre</v>
      </c>
      <c r="P12">
        <v>20</v>
      </c>
    </row>
    <row r="13" spans="1:19" x14ac:dyDescent="0.25">
      <c r="A13" t="s">
        <v>434</v>
      </c>
      <c r="B13" t="s">
        <v>28</v>
      </c>
      <c r="C13">
        <v>9</v>
      </c>
      <c r="D13">
        <v>5</v>
      </c>
      <c r="F13" t="str">
        <v>septiembre</v>
      </c>
      <c r="G13" t="str">
        <v>C</v>
      </c>
      <c r="H13">
        <v>32</v>
      </c>
      <c r="K13" t="str">
        <v>septiembre</v>
      </c>
      <c r="L13">
        <v>32</v>
      </c>
      <c r="O13" t="str">
        <v>diciembre</v>
      </c>
      <c r="P13">
        <v>16</v>
      </c>
    </row>
    <row r="14" spans="1:19" x14ac:dyDescent="0.25">
      <c r="A14" t="s">
        <v>423</v>
      </c>
      <c r="B14" t="s">
        <v>26</v>
      </c>
      <c r="C14">
        <v>7</v>
      </c>
      <c r="D14">
        <v>10</v>
      </c>
    </row>
    <row r="15" spans="1:19" x14ac:dyDescent="0.25">
      <c r="A15" t="s">
        <v>424</v>
      </c>
      <c r="B15" t="s">
        <v>27</v>
      </c>
      <c r="C15">
        <v>3</v>
      </c>
      <c r="D15">
        <v>9</v>
      </c>
    </row>
    <row r="16" spans="1:19" x14ac:dyDescent="0.25">
      <c r="A16" t="s">
        <v>425</v>
      </c>
      <c r="B16" t="s">
        <v>28</v>
      </c>
      <c r="C16">
        <v>1</v>
      </c>
      <c r="D16">
        <v>3</v>
      </c>
      <c r="K16" t="str" cm="1">
        <f t="array" ref="K16:M27">IF(R2="Valor",_xlfn.GROUPBY(A2:B50,C2:C50,_xleta.SUM,0,0),_xlfn.GROUPBY(A2:B50,D2:D50,_xleta.SUM,0,0))</f>
        <v>abril</v>
      </c>
      <c r="L16" t="str">
        <v>A</v>
      </c>
      <c r="M16">
        <v>20</v>
      </c>
      <c r="O16" t="str" cm="1">
        <f t="array" ref="O16:P27">_xlfn.LET(_xlpm.matriz,A2:C50,
_xlpm.misfilas,IF(S2,_xlfn.CHOOSECOLS(_xlpm.matriz,1,2),_xlfn.CHOOSECOLS(_xlpm.matriz,1)),
_xlpm.misvalores,_xlfn.CHOOSECOLS(_xlpm.matriz,3),
_xlpm.base,_xlfn.GROUPBY(_xlpm.misfilas,_xlpm.misvalores,_xleta.SUM,0,0),
_xlpm.base)</f>
        <v>abril</v>
      </c>
      <c r="P16">
        <v>13</v>
      </c>
    </row>
    <row r="17" spans="1:16" x14ac:dyDescent="0.25">
      <c r="A17" t="s">
        <v>426</v>
      </c>
      <c r="B17" t="s">
        <v>26</v>
      </c>
      <c r="C17">
        <v>5</v>
      </c>
      <c r="D17">
        <v>5</v>
      </c>
      <c r="K17" t="str">
        <v>agosto</v>
      </c>
      <c r="L17" t="str">
        <v>B</v>
      </c>
      <c r="M17">
        <v>33</v>
      </c>
      <c r="O17" t="str">
        <v>agosto</v>
      </c>
      <c r="P17">
        <v>28</v>
      </c>
    </row>
    <row r="18" spans="1:16" x14ac:dyDescent="0.25">
      <c r="A18" t="s">
        <v>427</v>
      </c>
      <c r="B18" t="s">
        <v>27</v>
      </c>
      <c r="C18">
        <v>6</v>
      </c>
      <c r="D18">
        <v>2</v>
      </c>
      <c r="K18" t="str">
        <v>diciembre</v>
      </c>
      <c r="L18" t="str">
        <v>C</v>
      </c>
      <c r="M18">
        <v>16</v>
      </c>
      <c r="O18" t="str">
        <v>diciembre</v>
      </c>
      <c r="P18">
        <v>16</v>
      </c>
    </row>
    <row r="19" spans="1:16" x14ac:dyDescent="0.25">
      <c r="A19" t="s">
        <v>428</v>
      </c>
      <c r="B19" t="s">
        <v>28</v>
      </c>
      <c r="C19">
        <v>6</v>
      </c>
      <c r="D19">
        <v>2</v>
      </c>
      <c r="K19" t="str">
        <v>enero</v>
      </c>
      <c r="L19" t="str">
        <v>A</v>
      </c>
      <c r="M19">
        <v>37</v>
      </c>
      <c r="O19" t="str">
        <v>enero</v>
      </c>
      <c r="P19">
        <v>28</v>
      </c>
    </row>
    <row r="20" spans="1:16" x14ac:dyDescent="0.25">
      <c r="A20" t="s">
        <v>429</v>
      </c>
      <c r="B20" t="s">
        <v>26</v>
      </c>
      <c r="C20">
        <v>10</v>
      </c>
      <c r="D20">
        <v>6</v>
      </c>
      <c r="K20" t="str">
        <v>febrero</v>
      </c>
      <c r="L20" t="str">
        <v>B</v>
      </c>
      <c r="M20">
        <v>18</v>
      </c>
      <c r="O20" t="str">
        <v>febrero</v>
      </c>
      <c r="P20">
        <v>22</v>
      </c>
    </row>
    <row r="21" spans="1:16" x14ac:dyDescent="0.25">
      <c r="A21" t="s">
        <v>430</v>
      </c>
      <c r="B21" t="s">
        <v>27</v>
      </c>
      <c r="C21">
        <v>3</v>
      </c>
      <c r="D21">
        <v>6</v>
      </c>
      <c r="K21" t="str">
        <v>julio</v>
      </c>
      <c r="L21" t="str">
        <v>A</v>
      </c>
      <c r="M21">
        <v>16</v>
      </c>
      <c r="O21" t="str">
        <v>julio</v>
      </c>
      <c r="P21">
        <v>33</v>
      </c>
    </row>
    <row r="22" spans="1:16" x14ac:dyDescent="0.25">
      <c r="A22" t="s">
        <v>431</v>
      </c>
      <c r="B22" t="s">
        <v>28</v>
      </c>
      <c r="C22">
        <v>10</v>
      </c>
      <c r="D22">
        <v>5</v>
      </c>
      <c r="K22" t="str">
        <v>junio</v>
      </c>
      <c r="L22" t="str">
        <v>C</v>
      </c>
      <c r="M22">
        <v>15</v>
      </c>
      <c r="O22" t="str">
        <v>junio</v>
      </c>
      <c r="P22">
        <v>24</v>
      </c>
    </row>
    <row r="23" spans="1:16" x14ac:dyDescent="0.25">
      <c r="A23" t="s">
        <v>432</v>
      </c>
      <c r="B23" t="s">
        <v>26</v>
      </c>
      <c r="C23">
        <v>8</v>
      </c>
      <c r="D23">
        <v>8</v>
      </c>
      <c r="K23" t="str">
        <v>marzo</v>
      </c>
      <c r="L23" t="str">
        <v>C</v>
      </c>
      <c r="M23">
        <v>18</v>
      </c>
      <c r="O23" t="str">
        <v>marzo</v>
      </c>
      <c r="P23">
        <v>20</v>
      </c>
    </row>
    <row r="24" spans="1:16" x14ac:dyDescent="0.25">
      <c r="A24" t="s">
        <v>433</v>
      </c>
      <c r="B24" t="s">
        <v>27</v>
      </c>
      <c r="C24">
        <v>2</v>
      </c>
      <c r="D24">
        <v>10</v>
      </c>
      <c r="K24" t="str">
        <v>mayo</v>
      </c>
      <c r="L24" t="str">
        <v>B</v>
      </c>
      <c r="M24">
        <v>15</v>
      </c>
      <c r="O24" t="str">
        <v>mayo</v>
      </c>
      <c r="P24">
        <v>26</v>
      </c>
    </row>
    <row r="25" spans="1:16" x14ac:dyDescent="0.25">
      <c r="A25" t="s">
        <v>434</v>
      </c>
      <c r="B25" t="s">
        <v>28</v>
      </c>
      <c r="C25">
        <v>2</v>
      </c>
      <c r="D25">
        <v>3</v>
      </c>
      <c r="K25" t="str">
        <v>noviembre</v>
      </c>
      <c r="L25" t="str">
        <v>B</v>
      </c>
      <c r="M25">
        <v>20</v>
      </c>
      <c r="O25" t="str">
        <v>noviembre</v>
      </c>
      <c r="P25">
        <v>20</v>
      </c>
    </row>
    <row r="26" spans="1:16" x14ac:dyDescent="0.25">
      <c r="A26" t="s">
        <v>423</v>
      </c>
      <c r="B26" t="s">
        <v>26</v>
      </c>
      <c r="C26">
        <v>3</v>
      </c>
      <c r="D26">
        <v>10</v>
      </c>
      <c r="K26" t="str">
        <v>octubre</v>
      </c>
      <c r="L26" t="str">
        <v>A</v>
      </c>
      <c r="M26">
        <v>20</v>
      </c>
      <c r="O26" t="str">
        <v>octubre</v>
      </c>
      <c r="P26">
        <v>28</v>
      </c>
    </row>
    <row r="27" spans="1:16" x14ac:dyDescent="0.25">
      <c r="A27" t="s">
        <v>424</v>
      </c>
      <c r="B27" t="s">
        <v>27</v>
      </c>
      <c r="C27">
        <v>8</v>
      </c>
      <c r="D27">
        <v>4</v>
      </c>
      <c r="K27" t="str">
        <v>septiembre</v>
      </c>
      <c r="L27" t="str">
        <v>C</v>
      </c>
      <c r="M27">
        <v>23</v>
      </c>
      <c r="O27" t="str">
        <v>septiembre</v>
      </c>
      <c r="P27">
        <v>32</v>
      </c>
    </row>
    <row r="28" spans="1:16" x14ac:dyDescent="0.25">
      <c r="A28" t="s">
        <v>425</v>
      </c>
      <c r="B28" t="s">
        <v>28</v>
      </c>
      <c r="C28">
        <v>10</v>
      </c>
      <c r="D28">
        <v>6</v>
      </c>
    </row>
    <row r="29" spans="1:16" x14ac:dyDescent="0.25">
      <c r="A29" t="s">
        <v>426</v>
      </c>
      <c r="B29" t="s">
        <v>26</v>
      </c>
      <c r="C29">
        <v>2</v>
      </c>
      <c r="D29">
        <v>1</v>
      </c>
    </row>
    <row r="30" spans="1:16" x14ac:dyDescent="0.25">
      <c r="A30" t="s">
        <v>427</v>
      </c>
      <c r="B30" t="s">
        <v>27</v>
      </c>
      <c r="C30">
        <v>10</v>
      </c>
      <c r="D30">
        <v>5</v>
      </c>
      <c r="N30" s="19" t="s">
        <v>440</v>
      </c>
      <c r="O30" t="str" cm="1">
        <f t="array" ref="O30:P41">_xlfn.LET(_xlpm.base,_xlfn.LET(_xlpm.matriz,A2:C50,
_xlpm.misfilas,IF(S2,_xlfn.CHOOSECOLS(_xlpm.matriz,1,2),_xlfn.CHOOSECOLS(_xlpm.matriz,1)),
_xlpm.misvalores,_xlfn.CHOOSECOLS(_xlpm.matriz,3),
_xlpm.base,_xlfn.GROUPBY(_xlpm.misfilas,_xlpm.misvalores,_xleta.SUM,0,0),
_xlpm.base),
_xlpm.primera,_xlfn.CHOOSECOLS(_xlpm.base,1),
_xlpm.Referencias,TEXT(DATE(2026,_xlfn.SEQUENCE(12),1),"mmmm"),
_xlpm.ordenada,MATCH(_xlpm.primera,_xlpm.Referencias,0),
_xlfn.SORTBY(_xlpm.base,_xlpm.ordenada,1))</f>
        <v>enero</v>
      </c>
      <c r="P30">
        <v>28</v>
      </c>
    </row>
    <row r="31" spans="1:16" x14ac:dyDescent="0.25">
      <c r="A31" t="s">
        <v>428</v>
      </c>
      <c r="B31" t="s">
        <v>28</v>
      </c>
      <c r="C31">
        <v>7</v>
      </c>
      <c r="D31">
        <v>3</v>
      </c>
      <c r="O31" t="str">
        <v>febrero</v>
      </c>
      <c r="P31">
        <v>22</v>
      </c>
    </row>
    <row r="32" spans="1:16" x14ac:dyDescent="0.25">
      <c r="A32" t="s">
        <v>429</v>
      </c>
      <c r="B32" t="s">
        <v>26</v>
      </c>
      <c r="C32">
        <v>7</v>
      </c>
      <c r="D32">
        <v>6</v>
      </c>
      <c r="O32" t="str">
        <v>marzo</v>
      </c>
      <c r="P32">
        <v>20</v>
      </c>
    </row>
    <row r="33" spans="1:16" x14ac:dyDescent="0.25">
      <c r="A33" t="s">
        <v>430</v>
      </c>
      <c r="B33" t="s">
        <v>27</v>
      </c>
      <c r="C33">
        <v>8</v>
      </c>
      <c r="D33">
        <v>7</v>
      </c>
      <c r="O33" t="str">
        <v>abril</v>
      </c>
      <c r="P33">
        <v>13</v>
      </c>
    </row>
    <row r="34" spans="1:16" x14ac:dyDescent="0.25">
      <c r="A34" t="s">
        <v>431</v>
      </c>
      <c r="B34" t="s">
        <v>28</v>
      </c>
      <c r="C34">
        <v>7</v>
      </c>
      <c r="D34">
        <v>8</v>
      </c>
      <c r="O34" t="str">
        <v>mayo</v>
      </c>
      <c r="P34">
        <v>26</v>
      </c>
    </row>
    <row r="35" spans="1:16" x14ac:dyDescent="0.25">
      <c r="A35" t="s">
        <v>432</v>
      </c>
      <c r="B35" t="s">
        <v>26</v>
      </c>
      <c r="C35">
        <v>8</v>
      </c>
      <c r="D35">
        <v>1</v>
      </c>
      <c r="O35" t="str">
        <v>junio</v>
      </c>
      <c r="P35">
        <v>24</v>
      </c>
    </row>
    <row r="36" spans="1:16" x14ac:dyDescent="0.25">
      <c r="A36" t="s">
        <v>433</v>
      </c>
      <c r="B36" t="s">
        <v>27</v>
      </c>
      <c r="C36">
        <v>4</v>
      </c>
      <c r="D36">
        <v>5</v>
      </c>
      <c r="O36" t="str">
        <v>julio</v>
      </c>
      <c r="P36">
        <v>33</v>
      </c>
    </row>
    <row r="37" spans="1:16" x14ac:dyDescent="0.25">
      <c r="A37" t="s">
        <v>434</v>
      </c>
      <c r="B37" t="s">
        <v>28</v>
      </c>
      <c r="C37">
        <v>1</v>
      </c>
      <c r="D37">
        <v>5</v>
      </c>
      <c r="O37" t="str">
        <v>agosto</v>
      </c>
      <c r="P37">
        <v>28</v>
      </c>
    </row>
    <row r="38" spans="1:16" x14ac:dyDescent="0.25">
      <c r="A38" t="s">
        <v>423</v>
      </c>
      <c r="B38" t="s">
        <v>26</v>
      </c>
      <c r="C38">
        <v>2</v>
      </c>
      <c r="D38">
        <v>5</v>
      </c>
      <c r="O38" t="str">
        <v>septiembre</v>
      </c>
      <c r="P38">
        <v>32</v>
      </c>
    </row>
    <row r="39" spans="1:16" x14ac:dyDescent="0.25">
      <c r="A39" t="s">
        <v>424</v>
      </c>
      <c r="B39" t="s">
        <v>27</v>
      </c>
      <c r="C39">
        <v>5</v>
      </c>
      <c r="D39">
        <v>1</v>
      </c>
      <c r="O39" t="str">
        <v>octubre</v>
      </c>
      <c r="P39">
        <v>28</v>
      </c>
    </row>
    <row r="40" spans="1:16" x14ac:dyDescent="0.25">
      <c r="A40" t="s">
        <v>425</v>
      </c>
      <c r="B40" t="s">
        <v>28</v>
      </c>
      <c r="C40">
        <v>5</v>
      </c>
      <c r="D40">
        <v>1</v>
      </c>
      <c r="O40" t="str">
        <v>noviembre</v>
      </c>
      <c r="P40">
        <v>20</v>
      </c>
    </row>
    <row r="41" spans="1:16" x14ac:dyDescent="0.25">
      <c r="A41" t="s">
        <v>426</v>
      </c>
      <c r="B41" t="s">
        <v>26</v>
      </c>
      <c r="C41">
        <v>4</v>
      </c>
      <c r="D41">
        <v>8</v>
      </c>
      <c r="O41" t="str">
        <v>diciembre</v>
      </c>
      <c r="P41">
        <v>16</v>
      </c>
    </row>
    <row r="42" spans="1:16" x14ac:dyDescent="0.25">
      <c r="A42" t="s">
        <v>427</v>
      </c>
      <c r="B42" t="s">
        <v>27</v>
      </c>
      <c r="C42">
        <v>2</v>
      </c>
      <c r="D42">
        <v>6</v>
      </c>
    </row>
    <row r="43" spans="1:16" x14ac:dyDescent="0.25">
      <c r="A43" t="s">
        <v>428</v>
      </c>
      <c r="B43" t="s">
        <v>28</v>
      </c>
      <c r="C43">
        <v>4</v>
      </c>
      <c r="D43">
        <v>3</v>
      </c>
    </row>
    <row r="44" spans="1:16" x14ac:dyDescent="0.25">
      <c r="A44" t="s">
        <v>429</v>
      </c>
      <c r="B44" t="s">
        <v>26</v>
      </c>
      <c r="C44">
        <v>10</v>
      </c>
      <c r="D44">
        <v>1</v>
      </c>
    </row>
    <row r="45" spans="1:16" x14ac:dyDescent="0.25">
      <c r="A45" t="s">
        <v>430</v>
      </c>
      <c r="B45" t="s">
        <v>27</v>
      </c>
      <c r="C45">
        <v>7</v>
      </c>
      <c r="D45">
        <v>10</v>
      </c>
    </row>
    <row r="46" spans="1:16" x14ac:dyDescent="0.25">
      <c r="A46" t="s">
        <v>431</v>
      </c>
      <c r="B46" t="s">
        <v>28</v>
      </c>
      <c r="C46">
        <v>5</v>
      </c>
      <c r="D46">
        <v>4</v>
      </c>
    </row>
    <row r="47" spans="1:16" x14ac:dyDescent="0.25">
      <c r="A47" t="s">
        <v>432</v>
      </c>
      <c r="B47" t="s">
        <v>26</v>
      </c>
      <c r="C47">
        <v>4</v>
      </c>
      <c r="D47">
        <v>8</v>
      </c>
    </row>
    <row r="48" spans="1:16" x14ac:dyDescent="0.25">
      <c r="A48" t="s">
        <v>433</v>
      </c>
      <c r="B48" t="s">
        <v>27</v>
      </c>
      <c r="C48">
        <v>7</v>
      </c>
      <c r="D48">
        <v>1</v>
      </c>
    </row>
    <row r="49" spans="1:4" x14ac:dyDescent="0.25">
      <c r="A49" t="s">
        <v>434</v>
      </c>
      <c r="B49" t="s">
        <v>28</v>
      </c>
      <c r="C49">
        <v>4</v>
      </c>
      <c r="D49">
        <v>3</v>
      </c>
    </row>
    <row r="50" spans="1:4" x14ac:dyDescent="0.25">
      <c r="A50" t="s">
        <v>423</v>
      </c>
      <c r="B50" t="s">
        <v>26</v>
      </c>
      <c r="C50">
        <v>9</v>
      </c>
      <c r="D50">
        <v>4</v>
      </c>
    </row>
  </sheetData>
  <dataValidations disablePrompts="1" count="1">
    <dataValidation type="list" allowBlank="1" showInputMessage="1" showErrorMessage="1" sqref="R2" xr:uid="{B9EB2044-6DE8-422C-81EB-DFC761383381}">
      <formula1>$C$1:$D$1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7AE2-2FAE-43B8-890B-BB6990E21EF7}">
  <sheetPr codeName="Hoja61"/>
  <dimension ref="A1:G16"/>
  <sheetViews>
    <sheetView workbookViewId="0">
      <selection activeCell="B2" sqref="B2"/>
    </sheetView>
  </sheetViews>
  <sheetFormatPr baseColWidth="10" defaultRowHeight="15" x14ac:dyDescent="0.25"/>
  <cols>
    <col min="1" max="1" width="20.140625" customWidth="1"/>
    <col min="2" max="2" width="15.28515625" customWidth="1"/>
    <col min="3" max="3" width="14.85546875" customWidth="1"/>
  </cols>
  <sheetData>
    <row r="1" spans="1:7" x14ac:dyDescent="0.25">
      <c r="A1" t="s">
        <v>22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 x14ac:dyDescent="0.25">
      <c r="A2" t="s">
        <v>130</v>
      </c>
      <c r="B2">
        <v>4</v>
      </c>
      <c r="C2">
        <v>17</v>
      </c>
      <c r="D2">
        <v>719</v>
      </c>
      <c r="E2">
        <f>B2*D2</f>
        <v>2876</v>
      </c>
      <c r="F2">
        <f>C2*D2</f>
        <v>12223</v>
      </c>
      <c r="G2">
        <f>F2-E2</f>
        <v>9347</v>
      </c>
    </row>
    <row r="3" spans="1:7" x14ac:dyDescent="0.25">
      <c r="A3" t="s">
        <v>441</v>
      </c>
      <c r="B3">
        <v>6</v>
      </c>
      <c r="C3">
        <v>22</v>
      </c>
      <c r="D3">
        <v>15</v>
      </c>
      <c r="E3">
        <f t="shared" ref="E3:E6" si="0">B3*D3</f>
        <v>90</v>
      </c>
      <c r="F3">
        <f t="shared" ref="F3:F6" si="1">C3*D3</f>
        <v>330</v>
      </c>
      <c r="G3">
        <f t="shared" ref="G3:G6" si="2">F3-E3</f>
        <v>240</v>
      </c>
    </row>
    <row r="4" spans="1:7" x14ac:dyDescent="0.25">
      <c r="A4" t="s">
        <v>442</v>
      </c>
      <c r="B4">
        <v>3</v>
      </c>
      <c r="C4">
        <v>7</v>
      </c>
      <c r="D4">
        <v>5</v>
      </c>
      <c r="E4">
        <f t="shared" si="0"/>
        <v>15</v>
      </c>
      <c r="F4">
        <f t="shared" si="1"/>
        <v>35</v>
      </c>
      <c r="G4">
        <f t="shared" si="2"/>
        <v>20</v>
      </c>
    </row>
    <row r="5" spans="1:7" x14ac:dyDescent="0.25">
      <c r="A5" t="s">
        <v>443</v>
      </c>
      <c r="B5">
        <v>4</v>
      </c>
      <c r="C5">
        <v>11</v>
      </c>
      <c r="D5">
        <v>1</v>
      </c>
      <c r="E5">
        <f t="shared" si="0"/>
        <v>4</v>
      </c>
      <c r="F5">
        <f t="shared" si="1"/>
        <v>11</v>
      </c>
      <c r="G5">
        <f t="shared" si="2"/>
        <v>7</v>
      </c>
    </row>
    <row r="6" spans="1:7" x14ac:dyDescent="0.25">
      <c r="A6" t="s">
        <v>444</v>
      </c>
      <c r="B6">
        <v>3</v>
      </c>
      <c r="C6">
        <v>6.5</v>
      </c>
      <c r="D6">
        <v>4</v>
      </c>
      <c r="E6">
        <f t="shared" si="0"/>
        <v>12</v>
      </c>
      <c r="F6">
        <f t="shared" si="1"/>
        <v>26</v>
      </c>
      <c r="G6">
        <f t="shared" si="2"/>
        <v>14</v>
      </c>
    </row>
    <row r="7" spans="1:7" x14ac:dyDescent="0.25">
      <c r="D7">
        <f>SUM(D2:D6)</f>
        <v>744</v>
      </c>
      <c r="E7">
        <f>SUM(E2:E6)</f>
        <v>2997</v>
      </c>
      <c r="G7">
        <f>SUM(G2:G6)</f>
        <v>9628</v>
      </c>
    </row>
    <row r="9" spans="1:7" x14ac:dyDescent="0.25">
      <c r="A9" t="s">
        <v>445</v>
      </c>
      <c r="B9">
        <v>15</v>
      </c>
    </row>
    <row r="10" spans="1:7" x14ac:dyDescent="0.25">
      <c r="A10" t="s">
        <v>446</v>
      </c>
      <c r="B10">
        <v>2</v>
      </c>
    </row>
    <row r="11" spans="1:7" x14ac:dyDescent="0.25">
      <c r="A11" t="s">
        <v>447</v>
      </c>
      <c r="B11">
        <v>3</v>
      </c>
    </row>
    <row r="12" spans="1:7" x14ac:dyDescent="0.25">
      <c r="A12" t="s">
        <v>448</v>
      </c>
      <c r="B12">
        <v>1</v>
      </c>
    </row>
    <row r="13" spans="1:7" x14ac:dyDescent="0.25">
      <c r="A13" t="s">
        <v>449</v>
      </c>
      <c r="B13">
        <v>4</v>
      </c>
    </row>
    <row r="14" spans="1:7" x14ac:dyDescent="0.25">
      <c r="A14" t="s">
        <v>122</v>
      </c>
      <c r="B14">
        <v>3000</v>
      </c>
    </row>
    <row r="15" spans="1:7" x14ac:dyDescent="0.25">
      <c r="A15" t="s">
        <v>450</v>
      </c>
      <c r="B15">
        <f>MOD(D3,3)</f>
        <v>0</v>
      </c>
    </row>
    <row r="16" spans="1:7" x14ac:dyDescent="0.25">
      <c r="A16" t="s">
        <v>451</v>
      </c>
      <c r="B16">
        <f>SUM(D5,D6)</f>
        <v>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87CC-2B0B-439B-9DD9-F40F3564D26D}">
  <sheetPr codeName="Hoja62"/>
  <dimension ref="B5:G10"/>
  <sheetViews>
    <sheetView workbookViewId="0">
      <selection activeCell="F28" sqref="F28"/>
    </sheetView>
  </sheetViews>
  <sheetFormatPr baseColWidth="10" defaultRowHeight="15" x14ac:dyDescent="0.25"/>
  <sheetData>
    <row r="5" spans="2:7" x14ac:dyDescent="0.25">
      <c r="B5" s="11" t="s">
        <v>458</v>
      </c>
      <c r="C5" t="s">
        <v>452</v>
      </c>
      <c r="F5" s="11" t="s">
        <v>458</v>
      </c>
      <c r="G5" t="s">
        <v>452</v>
      </c>
    </row>
    <row r="6" spans="2:7" x14ac:dyDescent="0.25">
      <c r="B6" s="11" t="str">
        <f t="shared" ref="B6:B7" si="0">B5</f>
        <v>Aragon</v>
      </c>
      <c r="C6" t="s">
        <v>453</v>
      </c>
      <c r="F6" s="11"/>
      <c r="G6" t="s">
        <v>453</v>
      </c>
    </row>
    <row r="7" spans="2:7" x14ac:dyDescent="0.25">
      <c r="B7" s="11" t="str">
        <f t="shared" si="0"/>
        <v>Aragon</v>
      </c>
      <c r="C7" t="s">
        <v>454</v>
      </c>
      <c r="F7" s="11"/>
      <c r="G7" t="s">
        <v>454</v>
      </c>
    </row>
    <row r="8" spans="2:7" x14ac:dyDescent="0.25">
      <c r="B8" s="11" t="s">
        <v>457</v>
      </c>
      <c r="C8" t="s">
        <v>455</v>
      </c>
      <c r="F8" s="11" t="s">
        <v>457</v>
      </c>
      <c r="G8" t="s">
        <v>455</v>
      </c>
    </row>
    <row r="9" spans="2:7" x14ac:dyDescent="0.25">
      <c r="B9" s="11" t="str">
        <f t="shared" ref="B9:B10" si="1">B8</f>
        <v>Valencia</v>
      </c>
      <c r="C9" t="s">
        <v>457</v>
      </c>
      <c r="F9" s="11"/>
      <c r="G9" t="s">
        <v>457</v>
      </c>
    </row>
    <row r="10" spans="2:7" x14ac:dyDescent="0.25">
      <c r="B10" s="11" t="str">
        <f t="shared" si="1"/>
        <v>Valencia</v>
      </c>
      <c r="C10" t="s">
        <v>456</v>
      </c>
      <c r="F10" s="11"/>
      <c r="G10" t="s">
        <v>456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9A94-9C14-444A-A06B-3E0DC3A5DE6E}">
  <sheetPr codeName="Hoja63"/>
  <dimension ref="A1:I14"/>
  <sheetViews>
    <sheetView workbookViewId="0">
      <selection activeCell="E17" sqref="E17"/>
    </sheetView>
  </sheetViews>
  <sheetFormatPr baseColWidth="10" defaultRowHeight="15" x14ac:dyDescent="0.25"/>
  <sheetData>
    <row r="1" spans="1:9" x14ac:dyDescent="0.25">
      <c r="A1" t="s">
        <v>35</v>
      </c>
      <c r="B1" t="s">
        <v>13</v>
      </c>
      <c r="C1" t="s">
        <v>14</v>
      </c>
      <c r="D1" t="s">
        <v>15</v>
      </c>
    </row>
    <row r="2" spans="1:9" x14ac:dyDescent="0.25">
      <c r="A2" t="s">
        <v>0</v>
      </c>
      <c r="B2">
        <v>27.373014623235107</v>
      </c>
      <c r="C2">
        <v>31.078674332523477</v>
      </c>
      <c r="D2">
        <v>39.532513205011583</v>
      </c>
      <c r="F2" t="str" cm="1">
        <f t="array" aca="1" ref="F2:I14" ca="1">LambdaDatosp(40,90)</f>
        <v>Meses</v>
      </c>
      <c r="G2" t="str">
        <f ca="1"/>
        <v>Luz</v>
      </c>
      <c r="H2" t="str">
        <f ca="1"/>
        <v>Agua</v>
      </c>
      <c r="I2" t="str">
        <f ca="1"/>
        <v>Teléfono</v>
      </c>
    </row>
    <row r="3" spans="1:9" x14ac:dyDescent="0.25">
      <c r="A3" t="s">
        <v>1</v>
      </c>
      <c r="B3">
        <v>48.02767084547267</v>
      </c>
      <c r="C3">
        <v>29.701449146255513</v>
      </c>
      <c r="D3">
        <v>73.441707248927074</v>
      </c>
      <c r="F3" t="str">
        <f ca="1"/>
        <v>Enero</v>
      </c>
      <c r="G3">
        <f ca="1"/>
        <v>73.018486317076352</v>
      </c>
      <c r="H3">
        <f ca="1"/>
        <v>71.527645434581729</v>
      </c>
      <c r="I3">
        <f ca="1"/>
        <v>87.231198077028253</v>
      </c>
    </row>
    <row r="4" spans="1:9" x14ac:dyDescent="0.25">
      <c r="A4" t="s">
        <v>2</v>
      </c>
      <c r="B4">
        <v>32.894575994538897</v>
      </c>
      <c r="C4">
        <v>62.232630511633332</v>
      </c>
      <c r="D4">
        <v>39.437252012975605</v>
      </c>
      <c r="F4" t="str">
        <f ca="1"/>
        <v>Febrero</v>
      </c>
      <c r="G4">
        <f ca="1"/>
        <v>87.795198796143879</v>
      </c>
      <c r="H4">
        <f ca="1"/>
        <v>42.733393414834083</v>
      </c>
      <c r="I4">
        <f ca="1"/>
        <v>44.368760910458121</v>
      </c>
    </row>
    <row r="5" spans="1:9" x14ac:dyDescent="0.25">
      <c r="A5" t="s">
        <v>3</v>
      </c>
      <c r="B5">
        <v>58.31824817330866</v>
      </c>
      <c r="C5">
        <v>57.767107035508545</v>
      </c>
      <c r="D5">
        <v>51.827397206675613</v>
      </c>
      <c r="F5" t="str">
        <f ca="1"/>
        <v>Marzo</v>
      </c>
      <c r="G5">
        <f ca="1"/>
        <v>50.410782378135394</v>
      </c>
      <c r="H5">
        <f ca="1"/>
        <v>76.905403811475352</v>
      </c>
      <c r="I5">
        <f ca="1"/>
        <v>82.200116776956179</v>
      </c>
    </row>
    <row r="6" spans="1:9" x14ac:dyDescent="0.25">
      <c r="A6" t="s">
        <v>4</v>
      </c>
      <c r="B6">
        <v>74.566541755388982</v>
      </c>
      <c r="C6">
        <v>37.957727204148014</v>
      </c>
      <c r="D6">
        <v>59.328947009197265</v>
      </c>
      <c r="F6" t="str">
        <f ca="1"/>
        <v>Abril</v>
      </c>
      <c r="G6">
        <f ca="1"/>
        <v>52.669339800659756</v>
      </c>
      <c r="H6">
        <f ca="1"/>
        <v>53.904067973718995</v>
      </c>
      <c r="I6">
        <f ca="1"/>
        <v>44.240847261963069</v>
      </c>
    </row>
    <row r="7" spans="1:9" x14ac:dyDescent="0.25">
      <c r="A7" t="s">
        <v>5</v>
      </c>
      <c r="B7">
        <v>61.568512201207042</v>
      </c>
      <c r="C7">
        <v>43.901917284505046</v>
      </c>
      <c r="D7">
        <v>58.319549145114252</v>
      </c>
      <c r="F7" t="str">
        <f ca="1"/>
        <v>Mayo</v>
      </c>
      <c r="G7">
        <f ca="1"/>
        <v>64.523175377502312</v>
      </c>
      <c r="H7">
        <f ca="1"/>
        <v>71.05587493579479</v>
      </c>
      <c r="I7">
        <f ca="1"/>
        <v>84.821128448506244</v>
      </c>
    </row>
    <row r="8" spans="1:9" x14ac:dyDescent="0.25">
      <c r="A8" t="s">
        <v>6</v>
      </c>
      <c r="B8">
        <v>35.506199445237712</v>
      </c>
      <c r="C8">
        <v>51.937613634425446</v>
      </c>
      <c r="D8">
        <v>51.876126574786241</v>
      </c>
      <c r="F8" t="str">
        <f ca="1"/>
        <v>Junio</v>
      </c>
      <c r="G8">
        <f ca="1"/>
        <v>65.767740510796756</v>
      </c>
      <c r="H8">
        <f ca="1"/>
        <v>83.769610255766779</v>
      </c>
      <c r="I8">
        <f ca="1"/>
        <v>76.535662053483136</v>
      </c>
    </row>
    <row r="9" spans="1:9" x14ac:dyDescent="0.25">
      <c r="A9" t="s">
        <v>7</v>
      </c>
      <c r="B9">
        <v>52.20702282392682</v>
      </c>
      <c r="C9">
        <v>58.059569559917378</v>
      </c>
      <c r="D9">
        <v>30.895836555658434</v>
      </c>
      <c r="F9" t="str">
        <f ca="1"/>
        <v>Julio</v>
      </c>
      <c r="G9">
        <f ca="1"/>
        <v>79.881203060033144</v>
      </c>
      <c r="H9">
        <f ca="1"/>
        <v>42.041503529155264</v>
      </c>
      <c r="I9">
        <f ca="1"/>
        <v>63.064451045749379</v>
      </c>
    </row>
    <row r="10" spans="1:9" x14ac:dyDescent="0.25">
      <c r="A10" t="s">
        <v>8</v>
      </c>
      <c r="B10">
        <v>51.262343795301106</v>
      </c>
      <c r="C10">
        <v>55.003341705864898</v>
      </c>
      <c r="D10">
        <v>25.511904985544774</v>
      </c>
      <c r="F10" t="str">
        <f ca="1"/>
        <v>Agosto</v>
      </c>
      <c r="G10">
        <f ca="1"/>
        <v>77.053148114523353</v>
      </c>
      <c r="H10">
        <f ca="1"/>
        <v>89.342294878971529</v>
      </c>
      <c r="I10">
        <f ca="1"/>
        <v>77.303874519405881</v>
      </c>
    </row>
    <row r="11" spans="1:9" x14ac:dyDescent="0.25">
      <c r="A11" t="s">
        <v>9</v>
      </c>
      <c r="B11">
        <v>55.462917941588898</v>
      </c>
      <c r="C11">
        <v>65.425528901769837</v>
      </c>
      <c r="D11">
        <v>47.915861700718594</v>
      </c>
      <c r="F11" t="str">
        <f ca="1"/>
        <v>Septiembre</v>
      </c>
      <c r="G11">
        <f ca="1"/>
        <v>77.515739607326822</v>
      </c>
      <c r="H11">
        <f ca="1"/>
        <v>44.994223329871176</v>
      </c>
      <c r="I11">
        <f ca="1"/>
        <v>41.117776003372057</v>
      </c>
    </row>
    <row r="12" spans="1:9" x14ac:dyDescent="0.25">
      <c r="A12" t="s">
        <v>10</v>
      </c>
      <c r="B12">
        <v>26.949456442002543</v>
      </c>
      <c r="C12">
        <v>58.817197843578981</v>
      </c>
      <c r="D12">
        <v>74.867898121500531</v>
      </c>
      <c r="F12" t="str">
        <f ca="1"/>
        <v>Octubre</v>
      </c>
      <c r="G12">
        <f ca="1"/>
        <v>64.236794980724824</v>
      </c>
      <c r="H12">
        <f ca="1"/>
        <v>85.128649335286852</v>
      </c>
      <c r="I12">
        <f ca="1"/>
        <v>66.832980264771578</v>
      </c>
    </row>
    <row r="13" spans="1:9" x14ac:dyDescent="0.25">
      <c r="A13" t="s">
        <v>11</v>
      </c>
      <c r="B13">
        <v>41.974833252715442</v>
      </c>
      <c r="C13">
        <v>42.357753113087767</v>
      </c>
      <c r="D13">
        <v>44.985753576401706</v>
      </c>
      <c r="F13" t="str">
        <f ca="1"/>
        <v>Noviembre</v>
      </c>
      <c r="G13">
        <f ca="1"/>
        <v>72.610289214233006</v>
      </c>
      <c r="H13">
        <f ca="1"/>
        <v>73.723838454847566</v>
      </c>
      <c r="I13">
        <f ca="1"/>
        <v>84.204664703960177</v>
      </c>
    </row>
    <row r="14" spans="1:9" x14ac:dyDescent="0.25">
      <c r="F14" t="str">
        <f ca="1"/>
        <v>Diciembre</v>
      </c>
      <c r="G14">
        <f ca="1"/>
        <v>44.124221531650846</v>
      </c>
      <c r="H14">
        <f ca="1"/>
        <v>85.233399450646232</v>
      </c>
      <c r="I14">
        <f ca="1"/>
        <v>67.413163996411186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BC71-E2E9-4345-AF9D-A97CDB5C37BB}">
  <sheetPr codeName="Hoja64"/>
  <dimension ref="B2:I28"/>
  <sheetViews>
    <sheetView workbookViewId="0">
      <selection activeCell="E4" sqref="E4"/>
    </sheetView>
  </sheetViews>
  <sheetFormatPr baseColWidth="10" defaultRowHeight="15" x14ac:dyDescent="0.25"/>
  <sheetData>
    <row r="2" spans="2:9" x14ac:dyDescent="0.25">
      <c r="B2" t="s">
        <v>459</v>
      </c>
    </row>
    <row r="4" spans="2:9" x14ac:dyDescent="0.25">
      <c r="B4" t="s">
        <v>460</v>
      </c>
      <c r="C4" t="s">
        <v>461</v>
      </c>
      <c r="H4" t="str" cm="1">
        <f t="array" ref="H4:I12">_xlfn.GROUPBY(_xlfn.CHOOSECOLS(B4:C28,1),_xlfn.CHOOSECOLS(B4:C28,2),_xleta.SUM,3,0)</f>
        <v>Vendedores</v>
      </c>
      <c r="I4" t="str">
        <v>Valores</v>
      </c>
    </row>
    <row r="5" spans="2:9" x14ac:dyDescent="0.25">
      <c r="B5" t="s">
        <v>462</v>
      </c>
      <c r="C5">
        <v>66</v>
      </c>
      <c r="H5" t="str">
        <v>Vendedor1</v>
      </c>
      <c r="I5">
        <v>250</v>
      </c>
    </row>
    <row r="6" spans="2:9" x14ac:dyDescent="0.25">
      <c r="B6" t="s">
        <v>463</v>
      </c>
      <c r="C6">
        <v>54</v>
      </c>
      <c r="H6" t="str">
        <v>Vendedor2</v>
      </c>
      <c r="I6">
        <v>151</v>
      </c>
    </row>
    <row r="7" spans="2:9" x14ac:dyDescent="0.25">
      <c r="B7" t="s">
        <v>464</v>
      </c>
      <c r="C7">
        <v>67</v>
      </c>
      <c r="H7" t="str">
        <v>Vendedor3</v>
      </c>
      <c r="I7">
        <v>222</v>
      </c>
    </row>
    <row r="8" spans="2:9" x14ac:dyDescent="0.25">
      <c r="B8" t="s">
        <v>465</v>
      </c>
      <c r="C8">
        <v>67</v>
      </c>
      <c r="H8" t="str">
        <v>Vendedor4</v>
      </c>
      <c r="I8">
        <v>180</v>
      </c>
    </row>
    <row r="9" spans="2:9" x14ac:dyDescent="0.25">
      <c r="B9" t="s">
        <v>466</v>
      </c>
      <c r="C9">
        <v>58</v>
      </c>
      <c r="H9" t="str">
        <v>Vendedor5</v>
      </c>
      <c r="I9">
        <v>187</v>
      </c>
    </row>
    <row r="10" spans="2:9" x14ac:dyDescent="0.25">
      <c r="B10" t="s">
        <v>467</v>
      </c>
      <c r="C10">
        <v>40</v>
      </c>
      <c r="H10" t="str">
        <v>Vendedor6</v>
      </c>
      <c r="I10">
        <v>115</v>
      </c>
    </row>
    <row r="11" spans="2:9" x14ac:dyDescent="0.25">
      <c r="B11" t="s">
        <v>468</v>
      </c>
      <c r="C11">
        <v>72</v>
      </c>
      <c r="H11" t="str">
        <v>Vendedor7</v>
      </c>
      <c r="I11">
        <v>231</v>
      </c>
    </row>
    <row r="12" spans="2:9" x14ac:dyDescent="0.25">
      <c r="B12" t="s">
        <v>469</v>
      </c>
      <c r="C12">
        <v>83</v>
      </c>
      <c r="H12" t="str">
        <v>Vendedor8</v>
      </c>
      <c r="I12">
        <v>215</v>
      </c>
    </row>
    <row r="13" spans="2:9" x14ac:dyDescent="0.25">
      <c r="B13" t="s">
        <v>462</v>
      </c>
      <c r="C13">
        <v>88</v>
      </c>
    </row>
    <row r="14" spans="2:9" x14ac:dyDescent="0.25">
      <c r="B14" t="s">
        <v>463</v>
      </c>
      <c r="C14">
        <v>42</v>
      </c>
    </row>
    <row r="15" spans="2:9" x14ac:dyDescent="0.25">
      <c r="B15" t="s">
        <v>464</v>
      </c>
      <c r="C15">
        <v>80</v>
      </c>
      <c r="E15" t="str" cm="1">
        <f t="array" ref="E15:F23">Agrupar2Valores(B4:B28,C4:C28)</f>
        <v>Vendedores</v>
      </c>
      <c r="F15" t="str">
        <v>Valores</v>
      </c>
      <c r="H15" t="str" cm="1">
        <f t="array" ref="H15:I23">AgruparSumaTitulo(B4:C28)</f>
        <v>Vendedores</v>
      </c>
      <c r="I15" t="str">
        <v>Valores</v>
      </c>
    </row>
    <row r="16" spans="2:9" x14ac:dyDescent="0.25">
      <c r="B16" t="s">
        <v>465</v>
      </c>
      <c r="C16">
        <v>25</v>
      </c>
      <c r="E16" t="str">
        <v>Vendedor1</v>
      </c>
      <c r="F16">
        <v>250</v>
      </c>
      <c r="H16" t="str">
        <v>Vendedor1</v>
      </c>
      <c r="I16">
        <v>250</v>
      </c>
    </row>
    <row r="17" spans="2:9" x14ac:dyDescent="0.25">
      <c r="B17" t="s">
        <v>466</v>
      </c>
      <c r="C17">
        <v>37</v>
      </c>
      <c r="E17" t="str">
        <v>Vendedor2</v>
      </c>
      <c r="F17">
        <v>151</v>
      </c>
      <c r="H17" t="str">
        <v>Vendedor2</v>
      </c>
      <c r="I17">
        <v>151</v>
      </c>
    </row>
    <row r="18" spans="2:9" x14ac:dyDescent="0.25">
      <c r="B18" t="s">
        <v>467</v>
      </c>
      <c r="C18">
        <v>42</v>
      </c>
      <c r="E18" t="str">
        <v>Vendedor3</v>
      </c>
      <c r="F18">
        <v>222</v>
      </c>
      <c r="H18" t="str">
        <v>Vendedor3</v>
      </c>
      <c r="I18">
        <v>222</v>
      </c>
    </row>
    <row r="19" spans="2:9" x14ac:dyDescent="0.25">
      <c r="B19" t="s">
        <v>468</v>
      </c>
      <c r="C19">
        <v>88</v>
      </c>
      <c r="E19" t="str">
        <v>Vendedor4</v>
      </c>
      <c r="F19">
        <v>180</v>
      </c>
      <c r="H19" t="str">
        <v>Vendedor4</v>
      </c>
      <c r="I19">
        <v>180</v>
      </c>
    </row>
    <row r="20" spans="2:9" x14ac:dyDescent="0.25">
      <c r="B20" t="s">
        <v>469</v>
      </c>
      <c r="C20">
        <v>54</v>
      </c>
      <c r="E20" t="str">
        <v>Vendedor5</v>
      </c>
      <c r="F20">
        <v>187</v>
      </c>
      <c r="H20" t="str">
        <v>Vendedor5</v>
      </c>
      <c r="I20">
        <v>187</v>
      </c>
    </row>
    <row r="21" spans="2:9" x14ac:dyDescent="0.25">
      <c r="B21" t="s">
        <v>462</v>
      </c>
      <c r="C21">
        <v>96</v>
      </c>
      <c r="E21" t="str">
        <v>Vendedor6</v>
      </c>
      <c r="F21">
        <v>115</v>
      </c>
      <c r="H21" t="str">
        <v>Vendedor6</v>
      </c>
      <c r="I21">
        <v>115</v>
      </c>
    </row>
    <row r="22" spans="2:9" x14ac:dyDescent="0.25">
      <c r="B22" t="s">
        <v>463</v>
      </c>
      <c r="C22">
        <v>55</v>
      </c>
      <c r="E22" t="str">
        <v>Vendedor7</v>
      </c>
      <c r="F22">
        <v>231</v>
      </c>
      <c r="H22" t="str">
        <v>Vendedor7</v>
      </c>
      <c r="I22">
        <v>231</v>
      </c>
    </row>
    <row r="23" spans="2:9" x14ac:dyDescent="0.25">
      <c r="B23" t="s">
        <v>464</v>
      </c>
      <c r="C23">
        <v>75</v>
      </c>
      <c r="E23" t="str">
        <v>Vendedor8</v>
      </c>
      <c r="F23">
        <v>215</v>
      </c>
      <c r="H23" t="str">
        <v>Vendedor8</v>
      </c>
      <c r="I23">
        <v>215</v>
      </c>
    </row>
    <row r="24" spans="2:9" x14ac:dyDescent="0.25">
      <c r="B24" t="s">
        <v>465</v>
      </c>
      <c r="C24">
        <v>88</v>
      </c>
    </row>
    <row r="25" spans="2:9" x14ac:dyDescent="0.25">
      <c r="B25" t="s">
        <v>466</v>
      </c>
      <c r="C25">
        <v>92</v>
      </c>
    </row>
    <row r="26" spans="2:9" x14ac:dyDescent="0.25">
      <c r="B26" t="s">
        <v>467</v>
      </c>
      <c r="C26">
        <v>33</v>
      </c>
    </row>
    <row r="27" spans="2:9" x14ac:dyDescent="0.25">
      <c r="B27" t="s">
        <v>468</v>
      </c>
      <c r="C27">
        <v>71</v>
      </c>
    </row>
    <row r="28" spans="2:9" x14ac:dyDescent="0.25">
      <c r="B28" t="s">
        <v>469</v>
      </c>
      <c r="C28">
        <v>78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66C-EB5B-4896-AB21-8DAC7C1D2EB3}">
  <sheetPr codeName="Hoja65"/>
  <dimension ref="B3:N24"/>
  <sheetViews>
    <sheetView workbookViewId="0">
      <selection activeCell="G14" sqref="G14"/>
    </sheetView>
  </sheetViews>
  <sheetFormatPr baseColWidth="10" defaultRowHeight="15" x14ac:dyDescent="0.25"/>
  <sheetData>
    <row r="3" spans="2:14" x14ac:dyDescent="0.25">
      <c r="I3" t="s">
        <v>472</v>
      </c>
    </row>
    <row r="4" spans="2:14" x14ac:dyDescent="0.25">
      <c r="B4" t="s">
        <v>470</v>
      </c>
      <c r="F4" s="4"/>
    </row>
    <row r="5" spans="2:14" x14ac:dyDescent="0.25">
      <c r="L5" s="4"/>
    </row>
    <row r="6" spans="2:14" x14ac:dyDescent="0.25">
      <c r="I6" s="4"/>
    </row>
    <row r="7" spans="2:14" x14ac:dyDescent="0.25">
      <c r="M7" s="4"/>
    </row>
    <row r="11" spans="2:14" x14ac:dyDescent="0.25">
      <c r="J11" s="4"/>
    </row>
    <row r="12" spans="2:14" x14ac:dyDescent="0.25">
      <c r="N12" s="4"/>
    </row>
    <row r="14" spans="2:14" x14ac:dyDescent="0.25">
      <c r="G14" t="s">
        <v>471</v>
      </c>
      <c r="H14" s="21">
        <v>41</v>
      </c>
      <c r="L14" s="4"/>
    </row>
    <row r="15" spans="2:14" x14ac:dyDescent="0.25">
      <c r="H15" s="23" t="s">
        <v>473</v>
      </c>
    </row>
    <row r="18" spans="8:8" x14ac:dyDescent="0.25">
      <c r="H18" s="22">
        <v>9</v>
      </c>
    </row>
    <row r="20" spans="8:8" x14ac:dyDescent="0.25">
      <c r="H20">
        <v>0</v>
      </c>
    </row>
    <row r="24" spans="8:8" x14ac:dyDescent="0.25">
      <c r="H24">
        <v>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734D-02A6-4718-9E85-8AA208E5B26F}">
  <sheetPr codeName="Hoja66"/>
  <dimension ref="A1:J25"/>
  <sheetViews>
    <sheetView workbookViewId="0">
      <selection activeCell="J8" sqref="J8"/>
    </sheetView>
  </sheetViews>
  <sheetFormatPr baseColWidth="10" defaultRowHeight="15" x14ac:dyDescent="0.25"/>
  <cols>
    <col min="8" max="8" width="11.7109375" bestFit="1" customWidth="1"/>
  </cols>
  <sheetData>
    <row r="1" spans="1:10" x14ac:dyDescent="0.25">
      <c r="A1" t="s">
        <v>35</v>
      </c>
      <c r="B1" t="s">
        <v>13</v>
      </c>
      <c r="C1" t="s">
        <v>14</v>
      </c>
      <c r="D1" t="s">
        <v>15</v>
      </c>
      <c r="F1" s="2" t="b">
        <v>1</v>
      </c>
    </row>
    <row r="2" spans="1:10" x14ac:dyDescent="0.25">
      <c r="A2" t="s">
        <v>0</v>
      </c>
      <c r="B2">
        <v>49.871124638843611</v>
      </c>
      <c r="C2">
        <v>26.480302755663416</v>
      </c>
      <c r="D2">
        <v>28.024335062387749</v>
      </c>
      <c r="H2" t="s">
        <v>474</v>
      </c>
      <c r="I2">
        <v>1</v>
      </c>
      <c r="J2" t="b" cm="1">
        <f t="array" aca="1" ref="J2" ca="1">NOT(INDIRECT(H2&amp;I2))</f>
        <v>0</v>
      </c>
    </row>
    <row r="3" spans="1:10" x14ac:dyDescent="0.25">
      <c r="A3" t="s">
        <v>1</v>
      </c>
      <c r="B3">
        <v>49.534798051791427</v>
      </c>
      <c r="C3">
        <v>26.370304230624271</v>
      </c>
      <c r="D3">
        <v>28.781830709509961</v>
      </c>
    </row>
    <row r="4" spans="1:10" x14ac:dyDescent="0.25">
      <c r="A4" t="s">
        <v>2</v>
      </c>
      <c r="B4">
        <v>27.350984004393766</v>
      </c>
      <c r="C4">
        <v>50.585632737312551</v>
      </c>
      <c r="D4">
        <v>71.87010090908953</v>
      </c>
      <c r="F4" t="str">
        <f>TEXT(F1,"AAAA")</f>
        <v>VERDADERO</v>
      </c>
      <c r="J4" t="b">
        <f>NOT(TEXT(F1,"AAAA"))</f>
        <v>0</v>
      </c>
    </row>
    <row r="5" spans="1:10" x14ac:dyDescent="0.25">
      <c r="A5" t="s">
        <v>3</v>
      </c>
      <c r="B5">
        <v>29.461342869761253</v>
      </c>
      <c r="C5">
        <v>54.604717858152256</v>
      </c>
      <c r="D5">
        <v>43.737571850369193</v>
      </c>
    </row>
    <row r="6" spans="1:10" x14ac:dyDescent="0.25">
      <c r="A6" t="s">
        <v>4</v>
      </c>
      <c r="B6">
        <v>26.113324329395141</v>
      </c>
      <c r="C6">
        <v>46.838923813168066</v>
      </c>
      <c r="D6">
        <v>64.449215289697989</v>
      </c>
    </row>
    <row r="7" spans="1:10" x14ac:dyDescent="0.25">
      <c r="A7" t="s">
        <v>5</v>
      </c>
      <c r="B7">
        <v>66.552021700860237</v>
      </c>
      <c r="C7">
        <v>59.271898940847592</v>
      </c>
      <c r="D7">
        <v>69.279822222596849</v>
      </c>
    </row>
    <row r="8" spans="1:10" x14ac:dyDescent="0.25">
      <c r="A8" t="s">
        <v>6</v>
      </c>
      <c r="B8">
        <v>42.918063704693125</v>
      </c>
      <c r="C8">
        <v>74.647734557897493</v>
      </c>
      <c r="D8">
        <v>30.631341417779197</v>
      </c>
      <c r="J8" t="b" cm="1">
        <f t="array" aca="1" ref="J8" ca="1">_xlfn.XOR(NOT(INDIRECT(H2&amp;I2)),NOT(TEXT(F1,"AAAA")),TEXT(F1,"AAAA"))</f>
        <v>1</v>
      </c>
    </row>
    <row r="9" spans="1:10" x14ac:dyDescent="0.25">
      <c r="A9" t="s">
        <v>7</v>
      </c>
      <c r="B9">
        <v>53.539163781118091</v>
      </c>
      <c r="C9">
        <v>64.181290727828596</v>
      </c>
      <c r="D9">
        <v>33.36319792553067</v>
      </c>
    </row>
    <row r="10" spans="1:10" x14ac:dyDescent="0.25">
      <c r="A10" t="s">
        <v>8</v>
      </c>
      <c r="B10">
        <v>31.065614630959473</v>
      </c>
      <c r="C10">
        <v>65.648786793114354</v>
      </c>
      <c r="D10">
        <v>69.586740004012327</v>
      </c>
    </row>
    <row r="11" spans="1:10" x14ac:dyDescent="0.25">
      <c r="A11" t="s">
        <v>9</v>
      </c>
      <c r="B11">
        <v>59.004998675044533</v>
      </c>
      <c r="C11">
        <v>57.641032138638877</v>
      </c>
      <c r="D11">
        <v>62.817458233246029</v>
      </c>
    </row>
    <row r="12" spans="1:10" x14ac:dyDescent="0.25">
      <c r="A12" t="s">
        <v>10</v>
      </c>
      <c r="B12">
        <v>45.035494863681663</v>
      </c>
      <c r="C12">
        <v>60.818416534320136</v>
      </c>
      <c r="D12">
        <v>66.027376176695839</v>
      </c>
    </row>
    <row r="13" spans="1:10" x14ac:dyDescent="0.25">
      <c r="A13" t="s">
        <v>11</v>
      </c>
      <c r="B13">
        <v>30.191640548120304</v>
      </c>
      <c r="C13">
        <v>42.130425643629209</v>
      </c>
      <c r="D13">
        <v>35.381283498512815</v>
      </c>
      <c r="F13" t="s">
        <v>475</v>
      </c>
    </row>
    <row r="19" spans="1:2" x14ac:dyDescent="0.25">
      <c r="A19">
        <v>1</v>
      </c>
      <c r="B19">
        <v>3</v>
      </c>
    </row>
    <row r="20" spans="1:2" x14ac:dyDescent="0.25">
      <c r="A20">
        <v>2</v>
      </c>
      <c r="B20">
        <v>4</v>
      </c>
    </row>
    <row r="23" spans="1:2" x14ac:dyDescent="0.25">
      <c r="B23">
        <f>AREAS(DATOS_DE_PRUEBA_2_PARA_COMBINAR[])+SUM((((A19:A20,B19:B20))))</f>
        <v>11</v>
      </c>
    </row>
    <row r="24" spans="1:2" x14ac:dyDescent="0.25">
      <c r="B24">
        <f>SUM((((A19:A20,B19:B20))))</f>
        <v>10</v>
      </c>
    </row>
    <row r="25" spans="1:2" x14ac:dyDescent="0.25">
      <c r="B25">
        <f>AREAS(A19:A20)</f>
        <v>1</v>
      </c>
    </row>
  </sheetData>
  <conditionalFormatting sqref="A1:D13">
    <cfRule type="expression" dxfId="3" priority="1">
      <formula>OR($B1&gt;65,$C1&gt;65,$D1&gt;65)</formula>
    </cfRule>
    <cfRule type="expression" dxfId="2" priority="2">
      <formula>AND($C1&lt;40,$D1&lt;40)</formula>
    </cfRule>
    <cfRule type="expression" dxfId="1" priority="3">
      <formula>$C1&gt;50</formula>
    </cfRule>
    <cfRule type="expression" dxfId="0" priority="4">
      <formula>AND($A1="Mayo",$F$1)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9F5F-4F81-4BCD-B9F1-CC86D7B0AFE0}">
  <sheetPr codeName="Hoja67"/>
  <dimension ref="A2:Q25"/>
  <sheetViews>
    <sheetView topLeftCell="A19" workbookViewId="0">
      <selection activeCell="N17" sqref="N17"/>
    </sheetView>
  </sheetViews>
  <sheetFormatPr baseColWidth="10" defaultRowHeight="15" x14ac:dyDescent="0.25"/>
  <sheetData>
    <row r="2" spans="1:17" x14ac:dyDescent="0.25">
      <c r="A2" t="s">
        <v>35</v>
      </c>
      <c r="B2" t="s">
        <v>13</v>
      </c>
      <c r="C2" t="s">
        <v>14</v>
      </c>
      <c r="D2" t="s">
        <v>15</v>
      </c>
    </row>
    <row r="3" spans="1:17" x14ac:dyDescent="0.25">
      <c r="A3" t="s">
        <v>0</v>
      </c>
      <c r="B3">
        <v>74.142414415714441</v>
      </c>
      <c r="C3">
        <v>52.970586687986312</v>
      </c>
      <c r="D3">
        <v>27.827304680694255</v>
      </c>
    </row>
    <row r="4" spans="1:17" x14ac:dyDescent="0.25">
      <c r="A4" t="s">
        <v>1</v>
      </c>
      <c r="B4">
        <v>49.295729349128734</v>
      </c>
      <c r="C4">
        <v>65.827049895641295</v>
      </c>
      <c r="D4">
        <v>74.768290692282164</v>
      </c>
    </row>
    <row r="5" spans="1:17" x14ac:dyDescent="0.25">
      <c r="A5" t="s">
        <v>2</v>
      </c>
      <c r="B5">
        <v>66.809170305698586</v>
      </c>
      <c r="C5">
        <v>66.696560978056937</v>
      </c>
      <c r="D5">
        <v>58.916053695055538</v>
      </c>
    </row>
    <row r="6" spans="1:17" x14ac:dyDescent="0.25">
      <c r="A6" t="s">
        <v>3</v>
      </c>
      <c r="B6">
        <v>73.519871013422176</v>
      </c>
      <c r="C6">
        <v>31.237357166014178</v>
      </c>
      <c r="D6">
        <v>67.468911612842135</v>
      </c>
    </row>
    <row r="7" spans="1:17" x14ac:dyDescent="0.25">
      <c r="A7" t="s">
        <v>4</v>
      </c>
      <c r="B7">
        <v>70.772579965166216</v>
      </c>
      <c r="C7">
        <v>48.097267434093212</v>
      </c>
      <c r="D7">
        <v>32.928148473545221</v>
      </c>
    </row>
    <row r="8" spans="1:17" x14ac:dyDescent="0.25">
      <c r="A8" t="s">
        <v>5</v>
      </c>
      <c r="B8">
        <v>45.073752048920213</v>
      </c>
      <c r="C8">
        <v>65.716108989776572</v>
      </c>
      <c r="D8">
        <v>69.153310918654711</v>
      </c>
    </row>
    <row r="9" spans="1:17" x14ac:dyDescent="0.25">
      <c r="A9" t="s">
        <v>6</v>
      </c>
      <c r="B9">
        <v>60.590512253182908</v>
      </c>
      <c r="C9">
        <v>36.018411283215883</v>
      </c>
      <c r="D9">
        <v>66.092853841951978</v>
      </c>
    </row>
    <row r="10" spans="1:17" x14ac:dyDescent="0.25">
      <c r="A10" t="s">
        <v>7</v>
      </c>
      <c r="B10">
        <v>71.841052479877661</v>
      </c>
      <c r="C10">
        <v>65.387149964564955</v>
      </c>
      <c r="D10">
        <v>35.650390517660057</v>
      </c>
    </row>
    <row r="11" spans="1:17" x14ac:dyDescent="0.25">
      <c r="A11" t="s">
        <v>8</v>
      </c>
      <c r="B11">
        <v>49.628348985315583</v>
      </c>
      <c r="C11">
        <v>44.351877382888034</v>
      </c>
      <c r="D11">
        <v>74.655813965807226</v>
      </c>
    </row>
    <row r="12" spans="1:17" x14ac:dyDescent="0.25">
      <c r="A12" t="s">
        <v>9</v>
      </c>
      <c r="B12">
        <v>32.027638545479135</v>
      </c>
      <c r="C12">
        <v>44.86373213362306</v>
      </c>
      <c r="D12">
        <v>69.205031674661512</v>
      </c>
    </row>
    <row r="13" spans="1:17" x14ac:dyDescent="0.25">
      <c r="A13" t="s">
        <v>10</v>
      </c>
      <c r="B13">
        <v>53.577381646060132</v>
      </c>
      <c r="C13">
        <v>70.585240043110389</v>
      </c>
      <c r="D13">
        <v>60.351185271041672</v>
      </c>
      <c r="I13" t="s">
        <v>35</v>
      </c>
      <c r="J13" t="s">
        <v>13</v>
      </c>
      <c r="K13" t="s">
        <v>14</v>
      </c>
      <c r="L13" t="s">
        <v>15</v>
      </c>
      <c r="N13" t="s">
        <v>35</v>
      </c>
      <c r="O13" t="s">
        <v>13</v>
      </c>
      <c r="P13" t="s">
        <v>14</v>
      </c>
      <c r="Q13" t="s">
        <v>15</v>
      </c>
    </row>
    <row r="14" spans="1:17" x14ac:dyDescent="0.25">
      <c r="A14" t="s">
        <v>11</v>
      </c>
      <c r="B14">
        <v>65.198181910343777</v>
      </c>
      <c r="C14">
        <v>45.756708828825538</v>
      </c>
      <c r="D14">
        <v>26.66113631075747</v>
      </c>
      <c r="I14" t="s">
        <v>0</v>
      </c>
      <c r="J14">
        <v>74.142414415714441</v>
      </c>
      <c r="K14">
        <v>52.970586687986312</v>
      </c>
      <c r="L14">
        <v>27.827304680694255</v>
      </c>
      <c r="N14" t="s">
        <v>51</v>
      </c>
    </row>
    <row r="15" spans="1:17" x14ac:dyDescent="0.25">
      <c r="I15" t="s">
        <v>1</v>
      </c>
      <c r="J15">
        <v>49.295729349128734</v>
      </c>
      <c r="K15">
        <v>65.827049895641295</v>
      </c>
      <c r="L15">
        <v>74.768290692282164</v>
      </c>
    </row>
    <row r="16" spans="1:17" x14ac:dyDescent="0.25">
      <c r="I16" t="s">
        <v>2</v>
      </c>
      <c r="J16">
        <v>66.809170305698586</v>
      </c>
      <c r="K16">
        <v>66.696560978056937</v>
      </c>
      <c r="L16">
        <v>58.916053695055538</v>
      </c>
    </row>
    <row r="17" spans="9:17" x14ac:dyDescent="0.25">
      <c r="I17" t="s">
        <v>3</v>
      </c>
      <c r="J17">
        <v>73.519871013422176</v>
      </c>
      <c r="K17">
        <v>31.237357166014178</v>
      </c>
      <c r="L17">
        <v>67.468911612842135</v>
      </c>
      <c r="N17" t="s">
        <v>35</v>
      </c>
      <c r="O17" t="s">
        <v>13</v>
      </c>
      <c r="P17" t="s">
        <v>14</v>
      </c>
      <c r="Q17" t="s">
        <v>15</v>
      </c>
    </row>
    <row r="18" spans="9:17" x14ac:dyDescent="0.25">
      <c r="I18" t="s">
        <v>4</v>
      </c>
      <c r="J18">
        <v>70.772579965166216</v>
      </c>
      <c r="K18">
        <v>48.097267434093212</v>
      </c>
      <c r="L18">
        <v>32.928148473545221</v>
      </c>
      <c r="N18" t="s">
        <v>5</v>
      </c>
      <c r="O18">
        <v>45.073752048920213</v>
      </c>
      <c r="P18">
        <v>65.716108989776572</v>
      </c>
      <c r="Q18">
        <v>69.153310918654711</v>
      </c>
    </row>
    <row r="19" spans="9:17" x14ac:dyDescent="0.25">
      <c r="I19" t="s">
        <v>5</v>
      </c>
      <c r="J19">
        <v>45.073752048920213</v>
      </c>
      <c r="K19">
        <v>65.716108989776572</v>
      </c>
      <c r="L19">
        <v>69.153310918654711</v>
      </c>
      <c r="N19" t="s">
        <v>6</v>
      </c>
      <c r="O19">
        <v>60.590512253182908</v>
      </c>
      <c r="P19">
        <v>36.018411283215883</v>
      </c>
      <c r="Q19">
        <v>66.092853841951978</v>
      </c>
    </row>
    <row r="20" spans="9:17" x14ac:dyDescent="0.25">
      <c r="I20" t="s">
        <v>6</v>
      </c>
      <c r="J20">
        <v>60.590512253182908</v>
      </c>
      <c r="K20">
        <v>36.018411283215883</v>
      </c>
      <c r="L20">
        <v>66.092853841951978</v>
      </c>
    </row>
    <row r="21" spans="9:17" x14ac:dyDescent="0.25">
      <c r="I21" t="s">
        <v>7</v>
      </c>
      <c r="J21">
        <v>71.841052479877661</v>
      </c>
      <c r="K21">
        <v>65.387149964564955</v>
      </c>
      <c r="L21">
        <v>35.650390517660057</v>
      </c>
    </row>
    <row r="22" spans="9:17" x14ac:dyDescent="0.25">
      <c r="I22" t="s">
        <v>8</v>
      </c>
      <c r="J22">
        <v>49.628348985315583</v>
      </c>
      <c r="K22">
        <v>44.351877382888034</v>
      </c>
      <c r="L22">
        <v>74.655813965807226</v>
      </c>
    </row>
    <row r="23" spans="9:17" x14ac:dyDescent="0.25">
      <c r="I23" t="s">
        <v>9</v>
      </c>
      <c r="J23">
        <v>32.027638545479135</v>
      </c>
      <c r="K23">
        <v>44.86373213362306</v>
      </c>
      <c r="L23">
        <v>69.205031674661512</v>
      </c>
    </row>
    <row r="24" spans="9:17" x14ac:dyDescent="0.25">
      <c r="I24" t="s">
        <v>10</v>
      </c>
      <c r="J24">
        <v>53.577381646060132</v>
      </c>
      <c r="K24">
        <v>70.585240043110389</v>
      </c>
      <c r="L24">
        <v>60.351185271041672</v>
      </c>
    </row>
    <row r="25" spans="9:17" x14ac:dyDescent="0.25">
      <c r="I25" t="s">
        <v>11</v>
      </c>
      <c r="J25">
        <v>65.198181910343777</v>
      </c>
      <c r="K25">
        <v>45.756708828825538</v>
      </c>
      <c r="L25">
        <v>26.66113631075747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A4067D9-8715-42C2-A6D8-DB5C1DC11F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'MINIGRAFICOS Y FILTRO AVANZADAS'!B3:D3</xm:f>
              <xm:sqref>E3</xm:sqref>
            </x14:sparkline>
            <x14:sparkline>
              <xm:f>'MINIGRAFICOS Y FILTRO AVANZADAS'!B4:D4</xm:f>
              <xm:sqref>E4</xm:sqref>
            </x14:sparkline>
            <x14:sparkline>
              <xm:f>'MINIGRAFICOS Y FILTRO AVANZADAS'!B5:D5</xm:f>
              <xm:sqref>E5</xm:sqref>
            </x14:sparkline>
            <x14:sparkline>
              <xm:f>'MINIGRAFICOS Y FILTRO AVANZADAS'!B6:D6</xm:f>
              <xm:sqref>E6</xm:sqref>
            </x14:sparkline>
            <x14:sparkline>
              <xm:f>'MINIGRAFICOS Y FILTRO AVANZADAS'!B7:D7</xm:f>
              <xm:sqref>E7</xm:sqref>
            </x14:sparkline>
            <x14:sparkline>
              <xm:f>'MINIGRAFICOS Y FILTRO AVANZADAS'!B8:D8</xm:f>
              <xm:sqref>E8</xm:sqref>
            </x14:sparkline>
            <x14:sparkline>
              <xm:f>'MINIGRAFICOS Y FILTRO AVANZADAS'!B9:D9</xm:f>
              <xm:sqref>E9</xm:sqref>
            </x14:sparkline>
            <x14:sparkline>
              <xm:f>'MINIGRAFICOS Y FILTRO AVANZADAS'!B10:D10</xm:f>
              <xm:sqref>E10</xm:sqref>
            </x14:sparkline>
            <x14:sparkline>
              <xm:f>'MINIGRAFICOS Y FILTRO AVANZADAS'!B11:D11</xm:f>
              <xm:sqref>E11</xm:sqref>
            </x14:sparkline>
            <x14:sparkline>
              <xm:f>'MINIGRAFICOS Y FILTRO AVANZADAS'!B12:D12</xm:f>
              <xm:sqref>E12</xm:sqref>
            </x14:sparkline>
            <x14:sparkline>
              <xm:f>'MINIGRAFICOS Y FILTRO AVANZADAS'!B13:D13</xm:f>
              <xm:sqref>E13</xm:sqref>
            </x14:sparkline>
            <x14:sparkline>
              <xm:f>'MINIGRAFICOS Y FILTRO AVANZADAS'!B14:D14</xm:f>
              <xm:sqref>E14</xm:sqref>
            </x14:sparkline>
          </x14:sparklines>
        </x14:sparklineGroup>
      </x14:sparklineGroup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88FC-D13E-44F4-93AA-D625BD3E1DA8}">
  <sheetPr codeName="Hoja31"/>
  <dimension ref="C3:D9"/>
  <sheetViews>
    <sheetView workbookViewId="0">
      <selection activeCell="D3" sqref="D3"/>
    </sheetView>
  </sheetViews>
  <sheetFormatPr baseColWidth="10" defaultRowHeight="15" x14ac:dyDescent="0.25"/>
  <sheetData>
    <row r="3" spans="3:4" x14ac:dyDescent="0.25">
      <c r="C3" t="s">
        <v>482</v>
      </c>
      <c r="D3">
        <f>COUNTIF(C3:C9,"*~~*")</f>
        <v>1</v>
      </c>
    </row>
    <row r="4" spans="3:4" x14ac:dyDescent="0.25">
      <c r="C4" t="s">
        <v>483</v>
      </c>
    </row>
    <row r="5" spans="3:4" x14ac:dyDescent="0.25">
      <c r="C5" t="s">
        <v>484</v>
      </c>
    </row>
    <row r="6" spans="3:4" x14ac:dyDescent="0.25">
      <c r="C6" t="s">
        <v>485</v>
      </c>
    </row>
    <row r="7" spans="3:4" x14ac:dyDescent="0.25">
      <c r="C7" t="s">
        <v>486</v>
      </c>
    </row>
    <row r="8" spans="3:4" x14ac:dyDescent="0.25">
      <c r="C8" t="s">
        <v>487</v>
      </c>
    </row>
    <row r="9" spans="3:4" x14ac:dyDescent="0.25">
      <c r="C9" t="s">
        <v>488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EE28-24F2-44BB-AEB8-2A09B24713EF}">
  <sheetPr codeName="Hoja68"/>
  <dimension ref="A1:D9"/>
  <sheetViews>
    <sheetView workbookViewId="0">
      <selection activeCell="L1" sqref="L1"/>
    </sheetView>
  </sheetViews>
  <sheetFormatPr baseColWidth="10" defaultRowHeight="15" x14ac:dyDescent="0.25"/>
  <cols>
    <col min="2" max="2" width="13" customWidth="1"/>
    <col min="3" max="3" width="15.42578125" customWidth="1"/>
    <col min="4" max="4" width="11.7109375" bestFit="1" customWidth="1"/>
  </cols>
  <sheetData>
    <row r="1" spans="1:4" x14ac:dyDescent="0.25">
      <c r="A1">
        <v>1</v>
      </c>
      <c r="B1" t="b" cm="1">
        <f t="array" ref="B1:B9">A1:A9&gt;5</f>
        <v>0</v>
      </c>
      <c r="C1" s="19" t="s">
        <v>489</v>
      </c>
      <c r="D1" cm="1">
        <f t="array" ref="D1">SUM(--_xlfn.ANCHORARRAY(B1))</f>
        <v>4</v>
      </c>
    </row>
    <row r="2" spans="1:4" x14ac:dyDescent="0.25">
      <c r="A2">
        <v>2</v>
      </c>
      <c r="B2" t="b">
        <v>0</v>
      </c>
    </row>
    <row r="3" spans="1:4" x14ac:dyDescent="0.25">
      <c r="A3">
        <v>3</v>
      </c>
      <c r="B3" t="b">
        <v>0</v>
      </c>
    </row>
    <row r="4" spans="1:4" x14ac:dyDescent="0.25">
      <c r="A4">
        <v>4</v>
      </c>
      <c r="B4" t="b">
        <v>0</v>
      </c>
    </row>
    <row r="5" spans="1:4" x14ac:dyDescent="0.25">
      <c r="A5">
        <v>5</v>
      </c>
      <c r="B5" t="b">
        <v>0</v>
      </c>
    </row>
    <row r="6" spans="1:4" x14ac:dyDescent="0.25">
      <c r="A6">
        <v>6</v>
      </c>
      <c r="B6" t="b">
        <v>1</v>
      </c>
    </row>
    <row r="7" spans="1:4" x14ac:dyDescent="0.25">
      <c r="A7">
        <v>7</v>
      </c>
      <c r="B7" t="b">
        <v>1</v>
      </c>
    </row>
    <row r="8" spans="1:4" x14ac:dyDescent="0.25">
      <c r="A8">
        <v>8</v>
      </c>
      <c r="B8" t="b">
        <v>1</v>
      </c>
    </row>
    <row r="9" spans="1:4" x14ac:dyDescent="0.25">
      <c r="A9">
        <v>9</v>
      </c>
      <c r="B9" t="b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ABE3-4768-4A73-A636-22E1A9D3AC9C}">
  <sheetPr codeName="Hoja69"/>
  <dimension ref="A1:Q16"/>
  <sheetViews>
    <sheetView workbookViewId="0">
      <selection activeCell="I4" sqref="I4"/>
    </sheetView>
  </sheetViews>
  <sheetFormatPr baseColWidth="10" defaultRowHeight="15" x14ac:dyDescent="0.25"/>
  <cols>
    <col min="14" max="14" width="18.28515625" customWidth="1"/>
  </cols>
  <sheetData>
    <row r="1" spans="1:17" x14ac:dyDescent="0.25">
      <c r="A1" t="str" cm="1">
        <f t="array" aca="1" ref="A1:D13" ca="1">_xlfn.LET(_xlpm.titulos,TRANSPOSE({"Mes";"Luz";"Agua";"Tlf"}),
_xlpm.meses,PROPER(TEXT(DATE(2026,_xlfn.SEQUENCE(12),1),"MMMM")),
_xlpm.datos,_xlfn.RANDARRAY(12,3),
_xlpm.partebaja,_xlfn.HSTACK(_xlpm.meses,_xlpm.datos),
_xlpm.final,_xlfn.VSTACK(_xlpm.titulos,_xlpm.partebaja),
_xlpm.final)</f>
        <v>Mes</v>
      </c>
      <c r="B1" t="str">
        <f ca="1"/>
        <v>Luz</v>
      </c>
      <c r="C1" t="str">
        <f ca="1"/>
        <v>Agua</v>
      </c>
      <c r="D1" t="str">
        <f ca="1"/>
        <v>Tlf</v>
      </c>
    </row>
    <row r="2" spans="1:17" x14ac:dyDescent="0.25">
      <c r="A2" t="str">
        <f ca="1"/>
        <v>Enero</v>
      </c>
      <c r="B2">
        <f ca="1"/>
        <v>0.25984039461963282</v>
      </c>
      <c r="C2">
        <f ca="1"/>
        <v>0.77088360113253374</v>
      </c>
      <c r="D2">
        <f ca="1"/>
        <v>0.53036476649770803</v>
      </c>
      <c r="I2" s="19" t="s">
        <v>490</v>
      </c>
      <c r="N2" s="19" t="s">
        <v>491</v>
      </c>
    </row>
    <row r="3" spans="1:17" x14ac:dyDescent="0.25">
      <c r="A3" t="str">
        <f ca="1"/>
        <v>Febrero</v>
      </c>
      <c r="B3">
        <f ca="1"/>
        <v>0.29522265744327703</v>
      </c>
      <c r="C3">
        <f ca="1"/>
        <v>0.42971095312079743</v>
      </c>
      <c r="D3">
        <f ca="1"/>
        <v>0.99642745037537006</v>
      </c>
    </row>
    <row r="4" spans="1:17" x14ac:dyDescent="0.25">
      <c r="A4" t="str">
        <f ca="1"/>
        <v>Marzo</v>
      </c>
      <c r="B4">
        <f ca="1"/>
        <v>0.93663831709496992</v>
      </c>
      <c r="C4">
        <f ca="1"/>
        <v>0.65661467943891805</v>
      </c>
      <c r="D4">
        <f ca="1"/>
        <v>0.3223186311641133</v>
      </c>
      <c r="I4" t="str" cm="1">
        <f t="array" aca="1" ref="I4:L16" ca="1">_xlfn.LET(_xlpm.titulos,TRANSPOSE({"Mes";"Luz";"Agua";"Tlf"}),_xlpm.meses,PROPER(TEXT(DATE(2026,_xlfn.SEQUENCE(12),1),"MMMM")),_xlpm.datos,_xlfn.RANDARRAY(12,3),_xlpm.partebaja,_xlfn.HSTACK(_xlpm.meses,_xlpm.datos),_xlpm.final,_xlfn.VSTACK(_xlpm.titulos,_xlpm.partebaja),_xlpm.final)</f>
        <v>Mes</v>
      </c>
      <c r="J4" t="str">
        <f ca="1"/>
        <v>Luz</v>
      </c>
      <c r="K4" t="str">
        <f ca="1"/>
        <v>Agua</v>
      </c>
      <c r="L4" t="str">
        <f ca="1"/>
        <v>Tlf</v>
      </c>
      <c r="N4" t="str" cm="1">
        <f t="array" aca="1" ref="N4:Q16" ca="1">_xlfn.VSTACK(TRANSPOSE({"Meses";"Luz";"Agua";"Teléfono"}),_xlfn.HSTACK(PROPER(TEXT(DATE(2026,_xlfn.SEQUENCE(12),1),"mmmm")),_xlfn.RANDARRAY(12,3,25,75,FALSE)))</f>
        <v>Meses</v>
      </c>
      <c r="O4" t="str">
        <f ca="1"/>
        <v>Luz</v>
      </c>
      <c r="P4" t="str">
        <f ca="1"/>
        <v>Agua</v>
      </c>
      <c r="Q4" t="str">
        <f ca="1"/>
        <v>Teléfono</v>
      </c>
    </row>
    <row r="5" spans="1:17" x14ac:dyDescent="0.25">
      <c r="A5" t="str">
        <f ca="1"/>
        <v>Abril</v>
      </c>
      <c r="B5">
        <f ca="1"/>
        <v>0.4734156751310683</v>
      </c>
      <c r="C5">
        <f ca="1"/>
        <v>0.85696444868443833</v>
      </c>
      <c r="D5">
        <f ca="1"/>
        <v>0.7093593423812814</v>
      </c>
      <c r="I5" t="str">
        <f ca="1"/>
        <v>Enero</v>
      </c>
      <c r="J5">
        <f ca="1"/>
        <v>0.5702060218873839</v>
      </c>
      <c r="K5">
        <f ca="1"/>
        <v>8.4264274018225116E-2</v>
      </c>
      <c r="L5">
        <f ca="1"/>
        <v>0.56838004692714295</v>
      </c>
      <c r="N5" t="str">
        <f ca="1"/>
        <v>Enero</v>
      </c>
      <c r="O5">
        <f ca="1"/>
        <v>45.053358527273815</v>
      </c>
      <c r="P5">
        <f ca="1"/>
        <v>45.214025402300024</v>
      </c>
      <c r="Q5">
        <f ca="1"/>
        <v>57.41932697773467</v>
      </c>
    </row>
    <row r="6" spans="1:17" x14ac:dyDescent="0.25">
      <c r="A6" t="str">
        <f ca="1"/>
        <v>Mayo</v>
      </c>
      <c r="B6">
        <f ca="1"/>
        <v>0.10033686277403686</v>
      </c>
      <c r="C6">
        <f ca="1"/>
        <v>0.82935699042627009</v>
      </c>
      <c r="D6">
        <f ca="1"/>
        <v>0.92014487909810572</v>
      </c>
      <c r="I6" t="str">
        <f ca="1"/>
        <v>Febrero</v>
      </c>
      <c r="J6">
        <f ca="1"/>
        <v>0.29206529335050546</v>
      </c>
      <c r="K6">
        <f ca="1"/>
        <v>0.74434258334049641</v>
      </c>
      <c r="L6">
        <f ca="1"/>
        <v>0.50820826338302272</v>
      </c>
      <c r="N6" t="str">
        <f ca="1"/>
        <v>Febrero</v>
      </c>
      <c r="O6">
        <f ca="1"/>
        <v>64.162757192403305</v>
      </c>
      <c r="P6">
        <f ca="1"/>
        <v>69.305651357889616</v>
      </c>
      <c r="Q6">
        <f ca="1"/>
        <v>40.972977658392807</v>
      </c>
    </row>
    <row r="7" spans="1:17" x14ac:dyDescent="0.25">
      <c r="A7" t="str">
        <f ca="1"/>
        <v>Junio</v>
      </c>
      <c r="B7">
        <f ca="1"/>
        <v>0.60254338645488037</v>
      </c>
      <c r="C7">
        <f ca="1"/>
        <v>0.77084308171070814</v>
      </c>
      <c r="D7">
        <f ca="1"/>
        <v>0.90393325518625733</v>
      </c>
      <c r="I7" t="str">
        <f ca="1"/>
        <v>Marzo</v>
      </c>
      <c r="J7">
        <f ca="1"/>
        <v>0.70863955981559634</v>
      </c>
      <c r="K7">
        <f ca="1"/>
        <v>0.1813271103791434</v>
      </c>
      <c r="L7">
        <f ca="1"/>
        <v>0.19954249624959841</v>
      </c>
      <c r="N7" t="str">
        <f ca="1"/>
        <v>Marzo</v>
      </c>
      <c r="O7">
        <f ca="1"/>
        <v>74.450310836144084</v>
      </c>
      <c r="P7">
        <f ca="1"/>
        <v>72.844546210603752</v>
      </c>
      <c r="Q7">
        <f ca="1"/>
        <v>32.062697748468466</v>
      </c>
    </row>
    <row r="8" spans="1:17" x14ac:dyDescent="0.25">
      <c r="A8" t="str">
        <f ca="1"/>
        <v>Julio</v>
      </c>
      <c r="B8">
        <f ca="1"/>
        <v>0.95581066386077929</v>
      </c>
      <c r="C8">
        <f ca="1"/>
        <v>0.16431589715510708</v>
      </c>
      <c r="D8">
        <f ca="1"/>
        <v>0.48845958141956003</v>
      </c>
      <c r="I8" t="str">
        <f ca="1"/>
        <v>Abril</v>
      </c>
      <c r="J8">
        <f ca="1"/>
        <v>0.50437978191048694</v>
      </c>
      <c r="K8">
        <f ca="1"/>
        <v>0.79517664145349376</v>
      </c>
      <c r="L8">
        <f ca="1"/>
        <v>0.45900155651938235</v>
      </c>
      <c r="N8" t="str">
        <f ca="1"/>
        <v>Abril</v>
      </c>
      <c r="O8">
        <f ca="1"/>
        <v>65.941569297716498</v>
      </c>
      <c r="P8">
        <f ca="1"/>
        <v>30.349304284615684</v>
      </c>
      <c r="Q8">
        <f ca="1"/>
        <v>38.412649244543829</v>
      </c>
    </row>
    <row r="9" spans="1:17" x14ac:dyDescent="0.25">
      <c r="A9" t="str">
        <f ca="1"/>
        <v>Agosto</v>
      </c>
      <c r="B9">
        <f ca="1"/>
        <v>0.94808409249304759</v>
      </c>
      <c r="C9">
        <f ca="1"/>
        <v>5.0491165256988602E-2</v>
      </c>
      <c r="D9">
        <f ca="1"/>
        <v>0.7335556734244566</v>
      </c>
      <c r="I9" t="str">
        <f ca="1"/>
        <v>Mayo</v>
      </c>
      <c r="J9">
        <f ca="1"/>
        <v>0.72199301658503856</v>
      </c>
      <c r="K9">
        <f ca="1"/>
        <v>0.40375990075530765</v>
      </c>
      <c r="L9">
        <f ca="1"/>
        <v>0.18571198751374074</v>
      </c>
      <c r="N9" t="str">
        <f ca="1"/>
        <v>Mayo</v>
      </c>
      <c r="O9">
        <f ca="1"/>
        <v>43.937661650253546</v>
      </c>
      <c r="P9">
        <f ca="1"/>
        <v>73.586894013664249</v>
      </c>
      <c r="Q9">
        <f ca="1"/>
        <v>58.682793840599601</v>
      </c>
    </row>
    <row r="10" spans="1:17" x14ac:dyDescent="0.25">
      <c r="A10" t="str">
        <f ca="1"/>
        <v>Septiembre</v>
      </c>
      <c r="B10">
        <f ca="1"/>
        <v>7.838881565975786E-4</v>
      </c>
      <c r="C10">
        <f ca="1"/>
        <v>0.77564316531162469</v>
      </c>
      <c r="D10">
        <f ca="1"/>
        <v>0.86948951521600182</v>
      </c>
      <c r="I10" t="str">
        <f ca="1"/>
        <v>Junio</v>
      </c>
      <c r="J10">
        <f ca="1"/>
        <v>0.37002269991751358</v>
      </c>
      <c r="K10">
        <f ca="1"/>
        <v>0.23951319988659514</v>
      </c>
      <c r="L10">
        <f ca="1"/>
        <v>3.7429375712531687E-2</v>
      </c>
      <c r="N10" t="str">
        <f ca="1"/>
        <v>Junio</v>
      </c>
      <c r="O10">
        <f ca="1"/>
        <v>53.546578190836669</v>
      </c>
      <c r="P10">
        <f ca="1"/>
        <v>38.88401391761785</v>
      </c>
      <c r="Q10">
        <f ca="1"/>
        <v>37.569680821951167</v>
      </c>
    </row>
    <row r="11" spans="1:17" x14ac:dyDescent="0.25">
      <c r="A11" t="str">
        <f ca="1"/>
        <v>Octubre</v>
      </c>
      <c r="B11">
        <f ca="1"/>
        <v>0.10572989912142661</v>
      </c>
      <c r="C11">
        <f ca="1"/>
        <v>0.48374695303060888</v>
      </c>
      <c r="D11">
        <f ca="1"/>
        <v>0.77474138569512019</v>
      </c>
      <c r="I11" t="str">
        <f ca="1"/>
        <v>Julio</v>
      </c>
      <c r="J11">
        <f ca="1"/>
        <v>0.46736283040510918</v>
      </c>
      <c r="K11">
        <f ca="1"/>
        <v>3.7029248609436793E-2</v>
      </c>
      <c r="L11">
        <f ca="1"/>
        <v>0.16711665736322434</v>
      </c>
      <c r="N11" t="str">
        <f ca="1"/>
        <v>Julio</v>
      </c>
      <c r="O11">
        <f ca="1"/>
        <v>34.676474194744372</v>
      </c>
      <c r="P11">
        <f ca="1"/>
        <v>73.127652179057264</v>
      </c>
      <c r="Q11">
        <f ca="1"/>
        <v>37.355866321157421</v>
      </c>
    </row>
    <row r="12" spans="1:17" x14ac:dyDescent="0.25">
      <c r="A12" t="str">
        <f ca="1"/>
        <v>Noviembre</v>
      </c>
      <c r="B12">
        <f ca="1"/>
        <v>0.4613595059460418</v>
      </c>
      <c r="C12">
        <f ca="1"/>
        <v>0.12524840342838428</v>
      </c>
      <c r="D12">
        <f ca="1"/>
        <v>0.48015237544732736</v>
      </c>
      <c r="I12" t="str">
        <f ca="1"/>
        <v>Agosto</v>
      </c>
      <c r="J12">
        <f ca="1"/>
        <v>0.68862007619615717</v>
      </c>
      <c r="K12">
        <f ca="1"/>
        <v>0.50226104536858163</v>
      </c>
      <c r="L12">
        <f ca="1"/>
        <v>0.8317738152603813</v>
      </c>
      <c r="N12" t="str">
        <f ca="1"/>
        <v>Agosto</v>
      </c>
      <c r="O12">
        <f ca="1"/>
        <v>50.269364289683864</v>
      </c>
      <c r="P12">
        <f ca="1"/>
        <v>36.719999562053999</v>
      </c>
      <c r="Q12">
        <f ca="1"/>
        <v>45.465443784659598</v>
      </c>
    </row>
    <row r="13" spans="1:17" x14ac:dyDescent="0.25">
      <c r="A13" t="str">
        <f ca="1"/>
        <v>Diciembre</v>
      </c>
      <c r="B13">
        <f ca="1"/>
        <v>0.43906580747759083</v>
      </c>
      <c r="C13">
        <f ca="1"/>
        <v>0.460191696022898</v>
      </c>
      <c r="D13">
        <f ca="1"/>
        <v>0.45911953971223896</v>
      </c>
      <c r="I13" t="str">
        <f ca="1"/>
        <v>Septiembre</v>
      </c>
      <c r="J13">
        <f ca="1"/>
        <v>0.26223611644078626</v>
      </c>
      <c r="K13">
        <f ca="1"/>
        <v>0.52263590872291732</v>
      </c>
      <c r="L13">
        <f ca="1"/>
        <v>0.67952990961838555</v>
      </c>
      <c r="N13" t="str">
        <f ca="1"/>
        <v>Septiembre</v>
      </c>
      <c r="O13">
        <f ca="1"/>
        <v>34.111728970823052</v>
      </c>
      <c r="P13">
        <f ca="1"/>
        <v>56.604675086643866</v>
      </c>
      <c r="Q13">
        <f ca="1"/>
        <v>40.580647843360737</v>
      </c>
    </row>
    <row r="14" spans="1:17" x14ac:dyDescent="0.25">
      <c r="I14" t="str">
        <f ca="1"/>
        <v>Octubre</v>
      </c>
      <c r="J14">
        <f ca="1"/>
        <v>0.10191881484478538</v>
      </c>
      <c r="K14">
        <f ca="1"/>
        <v>0.10573339038676077</v>
      </c>
      <c r="L14">
        <f ca="1"/>
        <v>0.32649114256969858</v>
      </c>
      <c r="N14" t="str">
        <f ca="1"/>
        <v>Octubre</v>
      </c>
      <c r="O14">
        <f ca="1"/>
        <v>60.424492647820301</v>
      </c>
      <c r="P14">
        <f ca="1"/>
        <v>50.784209584976111</v>
      </c>
      <c r="Q14">
        <f ca="1"/>
        <v>69.85001520147091</v>
      </c>
    </row>
    <row r="15" spans="1:17" x14ac:dyDescent="0.25">
      <c r="I15" t="str">
        <f ca="1"/>
        <v>Noviembre</v>
      </c>
      <c r="J15">
        <f ca="1"/>
        <v>0.73182324331499649</v>
      </c>
      <c r="K15">
        <f ca="1"/>
        <v>0.21567453601627773</v>
      </c>
      <c r="L15">
        <f ca="1"/>
        <v>0.38270435244082335</v>
      </c>
      <c r="N15" t="str">
        <f ca="1"/>
        <v>Noviembre</v>
      </c>
      <c r="O15">
        <f ca="1"/>
        <v>53.872695511724416</v>
      </c>
      <c r="P15">
        <f ca="1"/>
        <v>35.373124539727002</v>
      </c>
      <c r="Q15">
        <f ca="1"/>
        <v>26.40690928432565</v>
      </c>
    </row>
    <row r="16" spans="1:17" x14ac:dyDescent="0.25">
      <c r="I16" t="str">
        <f ca="1"/>
        <v>Diciembre</v>
      </c>
      <c r="J16">
        <f ca="1"/>
        <v>0.37068421619665859</v>
      </c>
      <c r="K16">
        <f ca="1"/>
        <v>0.55025177240803869</v>
      </c>
      <c r="L16">
        <f ca="1"/>
        <v>0.45664543706328198</v>
      </c>
      <c r="N16" t="str">
        <f ca="1"/>
        <v>Diciembre</v>
      </c>
      <c r="O16">
        <f ca="1"/>
        <v>64.458934559458243</v>
      </c>
      <c r="P16">
        <f ca="1"/>
        <v>43.255818515260756</v>
      </c>
      <c r="Q16">
        <f ca="1"/>
        <v>72.972159082611896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6075-C338-4CA6-8751-07CC453533D8}">
  <sheetPr codeName="Hoja70"/>
  <dimension ref="C4:C13"/>
  <sheetViews>
    <sheetView workbookViewId="0">
      <selection activeCell="H28" sqref="H28"/>
    </sheetView>
  </sheetViews>
  <sheetFormatPr baseColWidth="10" defaultRowHeight="15" x14ac:dyDescent="0.25"/>
  <sheetData>
    <row r="4" spans="3:3" x14ac:dyDescent="0.25">
      <c r="C4" cm="1">
        <f t="array" ref="C4">_xlfn.LAMBDA(_xlpm.v,((_xlpm.v*5)-2)/3)(5)</f>
        <v>7.666666666666667</v>
      </c>
    </row>
    <row r="10" spans="3:3" x14ac:dyDescent="0.25">
      <c r="C10">
        <v>5</v>
      </c>
    </row>
    <row r="11" spans="3:3" x14ac:dyDescent="0.25">
      <c r="C11" cm="1">
        <f t="array" ref="C11">fmagica(C10)</f>
        <v>7.666666666666667</v>
      </c>
    </row>
    <row r="13" spans="3:3" x14ac:dyDescent="0.25">
      <c r="C13" t="s">
        <v>497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E702-E649-4791-B8FF-976632255C82}">
  <sheetPr codeName="Hoja71"/>
  <dimension ref="A1:I10"/>
  <sheetViews>
    <sheetView workbookViewId="0">
      <selection activeCell="G8" sqref="G8"/>
    </sheetView>
  </sheetViews>
  <sheetFormatPr baseColWidth="10" defaultRowHeight="15" x14ac:dyDescent="0.25"/>
  <cols>
    <col min="5" max="5" width="11.42578125" customWidth="1"/>
    <col min="6" max="6" width="23.85546875" customWidth="1"/>
    <col min="8" max="8" width="21.7109375" customWidth="1"/>
  </cols>
  <sheetData>
    <row r="1" spans="1:9" x14ac:dyDescent="0.25">
      <c r="H1" t="s">
        <v>496</v>
      </c>
    </row>
    <row r="2" spans="1:9" x14ac:dyDescent="0.25">
      <c r="H2" t="s">
        <v>492</v>
      </c>
      <c r="I2">
        <v>0.21</v>
      </c>
    </row>
    <row r="3" spans="1:9" x14ac:dyDescent="0.25">
      <c r="A3" t="s">
        <v>498</v>
      </c>
      <c r="B3">
        <v>10</v>
      </c>
      <c r="H3" t="s">
        <v>493</v>
      </c>
      <c r="I3">
        <v>0.14000000000000001</v>
      </c>
    </row>
    <row r="4" spans="1:9" x14ac:dyDescent="0.25">
      <c r="A4" t="s">
        <v>499</v>
      </c>
      <c r="B4">
        <v>20</v>
      </c>
      <c r="H4" t="s">
        <v>494</v>
      </c>
      <c r="I4">
        <v>0.04</v>
      </c>
    </row>
    <row r="5" spans="1:9" x14ac:dyDescent="0.25">
      <c r="A5" t="s">
        <v>393</v>
      </c>
      <c r="B5">
        <v>100000</v>
      </c>
      <c r="H5" t="s">
        <v>495</v>
      </c>
      <c r="I5">
        <v>0.45</v>
      </c>
    </row>
    <row r="7" spans="1:9" x14ac:dyDescent="0.25">
      <c r="D7" t="s">
        <v>158</v>
      </c>
      <c r="E7" t="s">
        <v>159</v>
      </c>
      <c r="F7" t="s">
        <v>160</v>
      </c>
      <c r="G7" t="s">
        <v>161</v>
      </c>
    </row>
    <row r="8" spans="1:9" x14ac:dyDescent="0.25">
      <c r="D8" t="s">
        <v>498</v>
      </c>
      <c r="E8" cm="1">
        <f t="array" aca="1" ref="E8" ca="1">INDIRECT(D8)</f>
        <v>10</v>
      </c>
      <c r="F8" t="s">
        <v>492</v>
      </c>
      <c r="G8" cm="1">
        <f t="array" aca="1" ref="G8" ca="1">INDIRECT(F8)*E8+E8</f>
        <v>12.1</v>
      </c>
    </row>
    <row r="9" spans="1:9" x14ac:dyDescent="0.25">
      <c r="D9" t="s">
        <v>499</v>
      </c>
      <c r="E9" cm="1">
        <f t="array" aca="1" ref="E9" ca="1">INDIRECT(D9)</f>
        <v>20</v>
      </c>
      <c r="F9" t="s">
        <v>493</v>
      </c>
      <c r="G9" cm="1">
        <f t="array" aca="1" ref="G9" ca="1">INDIRECT(F9)*E9+E9</f>
        <v>22.8</v>
      </c>
    </row>
    <row r="10" spans="1:9" x14ac:dyDescent="0.25">
      <c r="D10" t="s">
        <v>393</v>
      </c>
      <c r="E10" cm="1">
        <f t="array" aca="1" ref="E10" ca="1">INDIRECT(D10)</f>
        <v>100000</v>
      </c>
      <c r="F10" t="s">
        <v>495</v>
      </c>
      <c r="G10" cm="1">
        <f t="array" aca="1" ref="G10" ca="1">INDIRECT(F10)*E10+E10</f>
        <v>145000</v>
      </c>
    </row>
  </sheetData>
  <dataValidations count="3">
    <dataValidation type="list" allowBlank="1" showInputMessage="1" showErrorMessage="1" sqref="F11" xr:uid="{81740D5F-E912-4CE0-91C3-C95D1A239049}">
      <formula1>$E$1:$E$4</formula1>
    </dataValidation>
    <dataValidation type="list" allowBlank="1" showInputMessage="1" showErrorMessage="1" sqref="F8:F10" xr:uid="{E7D211D6-7910-42D2-AFDC-A36F97327DD4}">
      <formula1>$H$2:$H$5</formula1>
    </dataValidation>
    <dataValidation type="list" allowBlank="1" showInputMessage="1" showErrorMessage="1" sqref="D8:D10" xr:uid="{9B3652EF-7A85-449F-B460-2C7A666834D4}">
      <formula1>$A$3:$A$5</formula1>
    </dataValidation>
  </dataValidation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4230-2D9E-438D-A055-2A1844E5BDB9}">
  <sheetPr codeName="Hoja72"/>
  <dimension ref="C1:F5"/>
  <sheetViews>
    <sheetView zoomScaleNormal="100" workbookViewId="0">
      <selection activeCell="F28" sqref="F28"/>
    </sheetView>
  </sheetViews>
  <sheetFormatPr baseColWidth="10" defaultRowHeight="15" x14ac:dyDescent="0.25"/>
  <cols>
    <col min="1" max="1" width="12" bestFit="1" customWidth="1"/>
    <col min="3" max="3" width="12" bestFit="1" customWidth="1"/>
    <col min="5" max="5" width="22.42578125" customWidth="1"/>
    <col min="6" max="6" width="17" customWidth="1"/>
  </cols>
  <sheetData>
    <row r="1" spans="3:6" x14ac:dyDescent="0.25">
      <c r="C1">
        <f>COUNTBLANK(A:A)</f>
        <v>1048576</v>
      </c>
    </row>
    <row r="2" spans="3:6" x14ac:dyDescent="0.25">
      <c r="C2">
        <f>COUNTBLANK(100:100)</f>
        <v>16384</v>
      </c>
    </row>
    <row r="3" spans="3:6" x14ac:dyDescent="0.25">
      <c r="C3">
        <f>COUNTBLANK(A:A)*COUNTBLANK(100:100)</f>
        <v>17179869184</v>
      </c>
    </row>
    <row r="5" spans="3:6" x14ac:dyDescent="0.25">
      <c r="F5" s="7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C445-7471-4846-8E6C-1D227FDA6BCA}">
  <sheetPr codeName="Hoja73"/>
  <dimension ref="A2:D17"/>
  <sheetViews>
    <sheetView workbookViewId="0">
      <selection activeCell="A14" sqref="A14"/>
    </sheetView>
  </sheetViews>
  <sheetFormatPr baseColWidth="10" defaultRowHeight="15" x14ac:dyDescent="0.25"/>
  <sheetData>
    <row r="2" spans="1:4" x14ac:dyDescent="0.25">
      <c r="B2">
        <f>SUBTOTAL(2,Tabla11[Luz])</f>
        <v>10</v>
      </c>
    </row>
    <row r="3" spans="1:4" x14ac:dyDescent="0.25">
      <c r="B3">
        <f>SUBTOTAL(102,Tabla11[Luz])</f>
        <v>10</v>
      </c>
    </row>
    <row r="5" spans="1:4" x14ac:dyDescent="0.25">
      <c r="A5" t="s">
        <v>35</v>
      </c>
      <c r="B5" t="s">
        <v>13</v>
      </c>
      <c r="C5" t="s">
        <v>14</v>
      </c>
      <c r="D5" t="s">
        <v>15</v>
      </c>
    </row>
    <row r="6" spans="1:4" x14ac:dyDescent="0.25">
      <c r="A6" t="s">
        <v>0</v>
      </c>
      <c r="B6">
        <v>49.303486187087557</v>
      </c>
      <c r="C6">
        <v>43.180872659791632</v>
      </c>
      <c r="D6">
        <v>48.317919396455366</v>
      </c>
    </row>
    <row r="7" spans="1:4" x14ac:dyDescent="0.25">
      <c r="A7" t="s">
        <v>1</v>
      </c>
      <c r="B7">
        <v>57.296051972979328</v>
      </c>
      <c r="C7">
        <v>46.183288244068365</v>
      </c>
      <c r="D7">
        <v>34.113381124084441</v>
      </c>
    </row>
    <row r="8" spans="1:4" x14ac:dyDescent="0.25">
      <c r="A8" t="s">
        <v>2</v>
      </c>
      <c r="B8">
        <v>41.296804873791558</v>
      </c>
      <c r="C8">
        <v>27.53438037479863</v>
      </c>
      <c r="D8">
        <v>66.487158449870094</v>
      </c>
    </row>
    <row r="9" spans="1:4" hidden="1" x14ac:dyDescent="0.25">
      <c r="A9" t="s">
        <v>3</v>
      </c>
      <c r="B9">
        <v>44.453059588080478</v>
      </c>
      <c r="C9">
        <v>34.860637840773435</v>
      </c>
      <c r="D9">
        <v>69.714965195975182</v>
      </c>
    </row>
    <row r="10" spans="1:4" x14ac:dyDescent="0.25">
      <c r="A10" t="s">
        <v>4</v>
      </c>
      <c r="B10">
        <v>65.40335162616816</v>
      </c>
      <c r="C10">
        <v>55.890221427333955</v>
      </c>
      <c r="D10">
        <v>35.783054826270373</v>
      </c>
    </row>
    <row r="11" spans="1:4" x14ac:dyDescent="0.25">
      <c r="A11" t="s">
        <v>5</v>
      </c>
      <c r="B11">
        <v>72.63589707703521</v>
      </c>
      <c r="C11">
        <v>51.603239805295644</v>
      </c>
      <c r="D11">
        <v>38.051568859657024</v>
      </c>
    </row>
    <row r="12" spans="1:4" hidden="1" x14ac:dyDescent="0.25">
      <c r="A12" t="s">
        <v>6</v>
      </c>
      <c r="B12">
        <v>70.12278004571607</v>
      </c>
      <c r="C12">
        <v>56.688607616917736</v>
      </c>
      <c r="D12">
        <v>70.128492879783607</v>
      </c>
    </row>
    <row r="13" spans="1:4" x14ac:dyDescent="0.25">
      <c r="A13" t="s">
        <v>7</v>
      </c>
      <c r="B13">
        <v>29.11934903375716</v>
      </c>
      <c r="C13">
        <v>72.517012636481851</v>
      </c>
      <c r="D13">
        <v>68.461946739879963</v>
      </c>
    </row>
    <row r="14" spans="1:4" x14ac:dyDescent="0.25">
      <c r="A14" t="s">
        <v>8</v>
      </c>
      <c r="B14">
        <v>45.915639577441723</v>
      </c>
      <c r="C14">
        <v>56.031404651987955</v>
      </c>
      <c r="D14">
        <v>69.787355255099129</v>
      </c>
    </row>
    <row r="15" spans="1:4" x14ac:dyDescent="0.25">
      <c r="A15" t="s">
        <v>9</v>
      </c>
      <c r="B15">
        <v>32.615729696366188</v>
      </c>
      <c r="C15">
        <v>51.490776986611252</v>
      </c>
      <c r="D15">
        <v>25.409523454185859</v>
      </c>
    </row>
    <row r="16" spans="1:4" x14ac:dyDescent="0.25">
      <c r="A16" t="s">
        <v>10</v>
      </c>
      <c r="B16">
        <v>33.765667548050033</v>
      </c>
      <c r="C16">
        <v>31.190733568566557</v>
      </c>
      <c r="D16">
        <v>30.956169595515249</v>
      </c>
    </row>
    <row r="17" spans="1:4" x14ac:dyDescent="0.25">
      <c r="A17" t="s">
        <v>11</v>
      </c>
      <c r="B17">
        <v>29.69514120401854</v>
      </c>
      <c r="C17">
        <v>63.347730098653869</v>
      </c>
      <c r="D17">
        <v>72.137223839201837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C5B4-898D-41CD-A13D-AAF91ABCAD58}">
  <sheetPr codeName="Hoja74"/>
  <dimension ref="A1:AD6"/>
  <sheetViews>
    <sheetView workbookViewId="0">
      <selection activeCell="E11" sqref="E11"/>
    </sheetView>
  </sheetViews>
  <sheetFormatPr baseColWidth="10" defaultRowHeight="15" x14ac:dyDescent="0.25"/>
  <cols>
    <col min="1" max="1" width="19.5703125" customWidth="1"/>
    <col min="2" max="2" width="21.5703125" customWidth="1"/>
    <col min="3" max="3" width="18.42578125" customWidth="1"/>
    <col min="4" max="4" width="17.140625" customWidth="1"/>
    <col min="5" max="5" width="16.5703125" customWidth="1"/>
  </cols>
  <sheetData>
    <row r="1" spans="1:30" x14ac:dyDescent="0.25">
      <c r="A1" s="25" t="s">
        <v>500</v>
      </c>
      <c r="B1" s="25" t="s">
        <v>501</v>
      </c>
      <c r="C1" s="25" t="s">
        <v>502</v>
      </c>
      <c r="D1" s="25" t="s">
        <v>503</v>
      </c>
      <c r="E1" s="25" t="s">
        <v>504</v>
      </c>
      <c r="G1" s="5">
        <v>46152</v>
      </c>
      <c r="H1" s="5">
        <v>46153</v>
      </c>
      <c r="I1" s="5">
        <v>46154</v>
      </c>
      <c r="J1" s="5">
        <v>46155</v>
      </c>
      <c r="K1" s="5">
        <v>46156</v>
      </c>
      <c r="L1" s="5">
        <v>46157</v>
      </c>
      <c r="M1" s="5">
        <v>46160</v>
      </c>
      <c r="N1" s="5">
        <v>46161</v>
      </c>
      <c r="O1" s="5">
        <v>46162</v>
      </c>
      <c r="P1" s="5">
        <v>46163</v>
      </c>
      <c r="Q1" s="5">
        <v>46164</v>
      </c>
      <c r="R1" s="5">
        <v>46167</v>
      </c>
      <c r="S1" s="5">
        <v>46168</v>
      </c>
      <c r="T1" s="5">
        <v>46169</v>
      </c>
      <c r="U1" s="5">
        <v>46170</v>
      </c>
      <c r="V1" s="5">
        <v>46171</v>
      </c>
      <c r="W1" s="5">
        <v>46174</v>
      </c>
      <c r="X1" s="5">
        <v>46175</v>
      </c>
      <c r="Y1" s="5">
        <v>46176</v>
      </c>
      <c r="Z1" s="5">
        <v>46177</v>
      </c>
      <c r="AA1" s="5">
        <v>46178</v>
      </c>
      <c r="AB1" s="5">
        <v>46181</v>
      </c>
      <c r="AC1" s="5">
        <v>46182</v>
      </c>
      <c r="AD1" s="5">
        <v>46183</v>
      </c>
    </row>
    <row r="2" spans="1:30" ht="15.75" x14ac:dyDescent="0.25">
      <c r="A2" s="27" t="s">
        <v>505</v>
      </c>
      <c r="B2" s="28">
        <v>46152</v>
      </c>
      <c r="C2" s="27">
        <v>5</v>
      </c>
      <c r="D2" s="26">
        <f>B2 + C2 - 1</f>
        <v>46156</v>
      </c>
      <c r="E2" s="27" t="str">
        <f>IF(COUNTIF($G$2:$AD$2,TRUE)&gt; 0,"X","")</f>
        <v>X</v>
      </c>
      <c r="G2" s="2" t="b">
        <v>1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b">
        <v>0</v>
      </c>
      <c r="V2" s="2" t="b">
        <v>0</v>
      </c>
      <c r="W2" s="2" t="b">
        <v>0</v>
      </c>
      <c r="X2" s="2" t="b">
        <v>0</v>
      </c>
      <c r="Y2" s="2" t="b">
        <v>0</v>
      </c>
      <c r="Z2" s="2" t="b">
        <v>0</v>
      </c>
      <c r="AA2" s="2" t="b">
        <v>0</v>
      </c>
      <c r="AB2" s="2" t="b">
        <v>0</v>
      </c>
      <c r="AC2" s="2" t="b">
        <v>0</v>
      </c>
      <c r="AD2" s="2" t="b">
        <v>0</v>
      </c>
    </row>
    <row r="3" spans="1:30" ht="15.75" x14ac:dyDescent="0.25">
      <c r="A3" s="27" t="s">
        <v>506</v>
      </c>
      <c r="B3" s="28">
        <f ca="1">IF(E2="X",TODAY(),B2)</f>
        <v>46245</v>
      </c>
      <c r="C3" s="27">
        <v>7</v>
      </c>
      <c r="D3" s="26">
        <f t="shared" ref="D3:D6" ca="1" si="0">B3 + C3 - 1</f>
        <v>46251</v>
      </c>
      <c r="E3" s="27" t="str">
        <f t="shared" ref="E3:E6" si="1">IF(COUNTIF($G$2:$AD$2,TRUE)&gt; 0,"X","")</f>
        <v>X</v>
      </c>
    </row>
    <row r="4" spans="1:30" ht="15.75" x14ac:dyDescent="0.25">
      <c r="A4" s="27" t="s">
        <v>507</v>
      </c>
      <c r="B4" s="28">
        <f ca="1">IF(E3="X",TODAY(),"Sin fecha inicio")</f>
        <v>46245</v>
      </c>
      <c r="C4" s="27">
        <v>6</v>
      </c>
      <c r="D4" s="26">
        <f t="shared" ca="1" si="0"/>
        <v>46250</v>
      </c>
      <c r="E4" s="27" t="str">
        <f t="shared" si="1"/>
        <v>X</v>
      </c>
    </row>
    <row r="5" spans="1:30" ht="15.75" x14ac:dyDescent="0.25">
      <c r="A5" s="27" t="s">
        <v>508</v>
      </c>
      <c r="B5" s="28">
        <f t="shared" ref="B5:B6" ca="1" si="2">IF(E4="X",TODAY(),"Sin fecha inicio")</f>
        <v>46245</v>
      </c>
      <c r="C5" s="27">
        <v>2</v>
      </c>
      <c r="D5" s="26">
        <f t="shared" ca="1" si="0"/>
        <v>46246</v>
      </c>
      <c r="E5" s="27" t="str">
        <f t="shared" si="1"/>
        <v>X</v>
      </c>
    </row>
    <row r="6" spans="1:30" ht="15.75" x14ac:dyDescent="0.25">
      <c r="A6" s="27" t="s">
        <v>509</v>
      </c>
      <c r="B6" s="28">
        <f t="shared" ca="1" si="2"/>
        <v>46245</v>
      </c>
      <c r="C6" s="27">
        <v>9</v>
      </c>
      <c r="D6" s="26">
        <f t="shared" ca="1" si="0"/>
        <v>46253</v>
      </c>
      <c r="E6" s="27" t="str">
        <f t="shared" si="1"/>
        <v>X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CE0B-54B2-4071-AE99-9C2C2BD67BE1}">
  <sheetPr codeName="Hoja75"/>
  <dimension ref="A1"/>
  <sheetViews>
    <sheetView workbookViewId="0">
      <selection activeCell="K4" sqref="K4"/>
    </sheetView>
  </sheetViews>
  <sheetFormatPr baseColWidth="10" defaultRowHeight="15" x14ac:dyDescent="0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Botón1_Haga_clic_en">
                <anchor moveWithCells="1" sizeWithCells="1">
                  <from>
                    <xdr:col>2</xdr:col>
                    <xdr:colOff>57150</xdr:colOff>
                    <xdr:row>3</xdr:row>
                    <xdr:rowOff>85725</xdr:rowOff>
                  </from>
                  <to>
                    <xdr:col>5</xdr:col>
                    <xdr:colOff>561975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128-CE2D-40EF-81C7-17B515ED90E6}">
  <dimension ref="B8:N54"/>
  <sheetViews>
    <sheetView topLeftCell="A21" workbookViewId="0">
      <selection activeCell="N26" sqref="N26"/>
    </sheetView>
  </sheetViews>
  <sheetFormatPr baseColWidth="10" defaultRowHeight="15" x14ac:dyDescent="0.25"/>
  <cols>
    <col min="2" max="2" width="21.5703125" customWidth="1"/>
    <col min="3" max="3" width="11.7109375" bestFit="1" customWidth="1"/>
  </cols>
  <sheetData>
    <row r="8" spans="2:3" x14ac:dyDescent="0.25">
      <c r="C8" t="s">
        <v>510</v>
      </c>
    </row>
    <row r="11" spans="2:3" x14ac:dyDescent="0.25">
      <c r="B11" s="19" t="s">
        <v>512</v>
      </c>
      <c r="C11" t="str" cm="1">
        <f t="array" ref="C11">LambdaDivisor(50)</f>
        <v>SI</v>
      </c>
    </row>
    <row r="15" spans="2:3" x14ac:dyDescent="0.25">
      <c r="B15" s="19" t="s">
        <v>511</v>
      </c>
      <c r="C15" t="str" cm="1">
        <f t="array" ref="C15">_xlfn.LAMBDA(_xlpm.valor, IF(OR(MOD(_xlpm.valor,3)=0, MOD(_xlpm.valor,5)=0, MOD(_xlpm.valor,7)=0), "SI", "NO"))(50)</f>
        <v>SI</v>
      </c>
    </row>
    <row r="17" spans="4:14" x14ac:dyDescent="0.25">
      <c r="E17">
        <v>60</v>
      </c>
    </row>
    <row r="20" spans="4:14" x14ac:dyDescent="0.25">
      <c r="D20" t="b">
        <f>IFERROR(E17=60,35)</f>
        <v>1</v>
      </c>
    </row>
    <row r="24" spans="4:14" x14ac:dyDescent="0.25">
      <c r="D24" t="s">
        <v>513</v>
      </c>
      <c r="M24" t="s">
        <v>526</v>
      </c>
    </row>
    <row r="26" spans="4:14" x14ac:dyDescent="0.25">
      <c r="D26" t="s">
        <v>514</v>
      </c>
      <c r="E26">
        <v>1</v>
      </c>
      <c r="F26">
        <v>13</v>
      </c>
      <c r="G26">
        <v>25</v>
      </c>
      <c r="I26" t="str" cm="1">
        <f t="array" ref="I26:J37">_xlfn.LAMBDA(_xlpm.rango,_xlfn.GROUPBY(_xlfn.CHOOSECOLS(_xlpm.rango,1),_xlfn.CHOOSECOLS(_xlpm.rango,COLUMNS(_xlpm.rango)),_xleta.SUM,0,0))(D26:G37)</f>
        <v>Fila 1</v>
      </c>
      <c r="J26">
        <v>25</v>
      </c>
      <c r="M26" t="str" cm="1">
        <f t="array" ref="M26:N37">_xlfn.LAMBDA(_xlpm.rango,_xlpm.columnaindice,_xlfn.GROUPBY(_xlfn.CHOOSECOLS(_xlpm.rango,1),_xlfn.CHOOSECOLS(_xlpm.rango,_xlpm.columnaindice),_xleta.SUM,0,0))(D26:G37,3)</f>
        <v>Fila 1</v>
      </c>
      <c r="N26">
        <v>13</v>
      </c>
    </row>
    <row r="27" spans="4:14" x14ac:dyDescent="0.25">
      <c r="D27" t="s">
        <v>515</v>
      </c>
      <c r="E27">
        <v>2</v>
      </c>
      <c r="F27">
        <v>14</v>
      </c>
      <c r="G27">
        <v>26</v>
      </c>
      <c r="I27" t="str">
        <v>Fila 10</v>
      </c>
      <c r="J27">
        <v>34</v>
      </c>
      <c r="M27" t="str">
        <v>Fila 10</v>
      </c>
      <c r="N27">
        <v>22</v>
      </c>
    </row>
    <row r="28" spans="4:14" x14ac:dyDescent="0.25">
      <c r="D28" t="s">
        <v>516</v>
      </c>
      <c r="E28">
        <v>3</v>
      </c>
      <c r="F28">
        <v>15</v>
      </c>
      <c r="G28">
        <v>27</v>
      </c>
      <c r="I28" t="str">
        <v>Fila 11</v>
      </c>
      <c r="J28">
        <v>35</v>
      </c>
      <c r="M28" t="str">
        <v>Fila 11</v>
      </c>
      <c r="N28">
        <v>23</v>
      </c>
    </row>
    <row r="29" spans="4:14" x14ac:dyDescent="0.25">
      <c r="D29" t="s">
        <v>517</v>
      </c>
      <c r="E29">
        <v>4</v>
      </c>
      <c r="F29">
        <v>16</v>
      </c>
      <c r="G29">
        <v>28</v>
      </c>
      <c r="I29" t="str">
        <v>Fila 12</v>
      </c>
      <c r="J29">
        <v>36</v>
      </c>
      <c r="M29" t="str">
        <v>Fila 12</v>
      </c>
      <c r="N29">
        <v>24</v>
      </c>
    </row>
    <row r="30" spans="4:14" x14ac:dyDescent="0.25">
      <c r="D30" t="s">
        <v>518</v>
      </c>
      <c r="E30">
        <v>5</v>
      </c>
      <c r="F30">
        <v>17</v>
      </c>
      <c r="G30">
        <v>29</v>
      </c>
      <c r="I30" t="str">
        <v>Fila 2</v>
      </c>
      <c r="J30">
        <v>26</v>
      </c>
      <c r="M30" t="str">
        <v>Fila 2</v>
      </c>
      <c r="N30">
        <v>14</v>
      </c>
    </row>
    <row r="31" spans="4:14" x14ac:dyDescent="0.25">
      <c r="D31" t="s">
        <v>519</v>
      </c>
      <c r="E31">
        <v>6</v>
      </c>
      <c r="F31">
        <v>18</v>
      </c>
      <c r="G31">
        <v>30</v>
      </c>
      <c r="I31" t="str">
        <v>Fila 3</v>
      </c>
      <c r="J31">
        <v>27</v>
      </c>
      <c r="M31" t="str">
        <v>Fila 3</v>
      </c>
      <c r="N31">
        <v>15</v>
      </c>
    </row>
    <row r="32" spans="4:14" x14ac:dyDescent="0.25">
      <c r="D32" t="s">
        <v>520</v>
      </c>
      <c r="E32">
        <v>7</v>
      </c>
      <c r="F32">
        <v>19</v>
      </c>
      <c r="G32">
        <v>31</v>
      </c>
      <c r="I32" t="str">
        <v>Fila 4</v>
      </c>
      <c r="J32">
        <v>28</v>
      </c>
      <c r="M32" t="str">
        <v>Fila 4</v>
      </c>
      <c r="N32">
        <v>16</v>
      </c>
    </row>
    <row r="33" spans="4:14" x14ac:dyDescent="0.25">
      <c r="D33" t="s">
        <v>521</v>
      </c>
      <c r="E33">
        <v>8</v>
      </c>
      <c r="F33">
        <v>20</v>
      </c>
      <c r="G33">
        <v>32</v>
      </c>
      <c r="I33" t="str">
        <v>Fila 5</v>
      </c>
      <c r="J33">
        <v>29</v>
      </c>
      <c r="M33" t="str">
        <v>Fila 5</v>
      </c>
      <c r="N33">
        <v>17</v>
      </c>
    </row>
    <row r="34" spans="4:14" x14ac:dyDescent="0.25">
      <c r="D34" t="s">
        <v>522</v>
      </c>
      <c r="E34">
        <v>9</v>
      </c>
      <c r="F34">
        <v>21</v>
      </c>
      <c r="G34">
        <v>33</v>
      </c>
      <c r="I34" t="str">
        <v>Fila 6</v>
      </c>
      <c r="J34">
        <v>30</v>
      </c>
      <c r="M34" t="str">
        <v>Fila 6</v>
      </c>
      <c r="N34">
        <v>18</v>
      </c>
    </row>
    <row r="35" spans="4:14" x14ac:dyDescent="0.25">
      <c r="D35" t="s">
        <v>523</v>
      </c>
      <c r="E35">
        <v>10</v>
      </c>
      <c r="F35">
        <v>22</v>
      </c>
      <c r="G35">
        <v>34</v>
      </c>
      <c r="I35" t="str">
        <v>Fila 7</v>
      </c>
      <c r="J35">
        <v>31</v>
      </c>
      <c r="M35" t="str">
        <v>Fila 7</v>
      </c>
      <c r="N35">
        <v>19</v>
      </c>
    </row>
    <row r="36" spans="4:14" x14ac:dyDescent="0.25">
      <c r="D36" t="s">
        <v>524</v>
      </c>
      <c r="E36">
        <v>11</v>
      </c>
      <c r="F36">
        <v>23</v>
      </c>
      <c r="G36">
        <v>35</v>
      </c>
      <c r="I36" t="str">
        <v>Fila 8</v>
      </c>
      <c r="J36">
        <v>32</v>
      </c>
      <c r="M36" t="str">
        <v>Fila 8</v>
      </c>
      <c r="N36">
        <v>20</v>
      </c>
    </row>
    <row r="37" spans="4:14" x14ac:dyDescent="0.25">
      <c r="D37" t="s">
        <v>525</v>
      </c>
      <c r="E37">
        <v>12</v>
      </c>
      <c r="F37">
        <v>24</v>
      </c>
      <c r="G37">
        <v>36</v>
      </c>
      <c r="I37" t="str">
        <v>Fila 9</v>
      </c>
      <c r="J37">
        <v>33</v>
      </c>
      <c r="M37" t="str">
        <v>Fila 9</v>
      </c>
      <c r="N37">
        <v>21</v>
      </c>
    </row>
    <row r="41" spans="4:14" x14ac:dyDescent="0.25">
      <c r="D41" t="s">
        <v>527</v>
      </c>
    </row>
    <row r="43" spans="4:14" x14ac:dyDescent="0.25">
      <c r="D43" t="str" cm="1">
        <f t="array" ref="D43:E54">_xlfn.LAMBDA(_xlpm.rango,_xlpm.columnaindice,_xlpm.a,_xlfn.GROUPBY(_xlfn.CHOOSECOLS(_xlpm.rango,1),_xlfn.CHOOSECOLS(_xlpm.rango,_xlpm.columnaindice),IF(_xlpm.a=1,_xleta.SUM,IF(_xlpm.a=2,_xleta.AVERAGE,_xleta.MAX)),0,0))(D26:G37,3,3)</f>
        <v>Fila 1</v>
      </c>
      <c r="E43">
        <v>13</v>
      </c>
    </row>
    <row r="44" spans="4:14" x14ac:dyDescent="0.25">
      <c r="D44" t="str">
        <v>Fila 10</v>
      </c>
      <c r="E44">
        <v>22</v>
      </c>
    </row>
    <row r="45" spans="4:14" x14ac:dyDescent="0.25">
      <c r="D45" t="str">
        <v>Fila 11</v>
      </c>
      <c r="E45">
        <v>23</v>
      </c>
    </row>
    <row r="46" spans="4:14" x14ac:dyDescent="0.25">
      <c r="D46" t="str">
        <v>Fila 12</v>
      </c>
      <c r="E46">
        <v>24</v>
      </c>
    </row>
    <row r="47" spans="4:14" x14ac:dyDescent="0.25">
      <c r="D47" t="str">
        <v>Fila 2</v>
      </c>
      <c r="E47">
        <v>14</v>
      </c>
    </row>
    <row r="48" spans="4:14" x14ac:dyDescent="0.25">
      <c r="D48" t="str">
        <v>Fila 3</v>
      </c>
      <c r="E48">
        <v>15</v>
      </c>
    </row>
    <row r="49" spans="4:5" x14ac:dyDescent="0.25">
      <c r="D49" t="str">
        <v>Fila 4</v>
      </c>
      <c r="E49">
        <v>16</v>
      </c>
    </row>
    <row r="50" spans="4:5" x14ac:dyDescent="0.25">
      <c r="D50" t="str">
        <v>Fila 5</v>
      </c>
      <c r="E50">
        <v>17</v>
      </c>
    </row>
    <row r="51" spans="4:5" x14ac:dyDescent="0.25">
      <c r="D51" t="str">
        <v>Fila 6</v>
      </c>
      <c r="E51">
        <v>18</v>
      </c>
    </row>
    <row r="52" spans="4:5" x14ac:dyDescent="0.25">
      <c r="D52" t="str">
        <v>Fila 7</v>
      </c>
      <c r="E52">
        <v>19</v>
      </c>
    </row>
    <row r="53" spans="4:5" x14ac:dyDescent="0.25">
      <c r="D53" t="str">
        <v>Fila 8</v>
      </c>
      <c r="E53">
        <v>20</v>
      </c>
    </row>
    <row r="54" spans="4:5" x14ac:dyDescent="0.25">
      <c r="D54" t="str">
        <v>Fila 9</v>
      </c>
      <c r="E54">
        <v>21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5F58-2879-4D65-BF8B-0CCDF3613CE0}">
  <dimension ref="B3:R28"/>
  <sheetViews>
    <sheetView tabSelected="1" topLeftCell="C4" zoomScale="90" zoomScaleNormal="90" workbookViewId="0">
      <selection activeCell="L6" sqref="L6"/>
    </sheetView>
  </sheetViews>
  <sheetFormatPr baseColWidth="10" defaultRowHeight="15" x14ac:dyDescent="0.25"/>
  <cols>
    <col min="2" max="2" width="17.85546875" bestFit="1" customWidth="1"/>
    <col min="3" max="3" width="13.42578125" bestFit="1" customWidth="1"/>
    <col min="12" max="12" width="17.85546875" customWidth="1"/>
    <col min="16" max="16" width="16.5703125" customWidth="1"/>
  </cols>
  <sheetData>
    <row r="3" spans="2:18" x14ac:dyDescent="0.25">
      <c r="H3" t="s">
        <v>528</v>
      </c>
    </row>
    <row r="5" spans="2:18" x14ac:dyDescent="0.25">
      <c r="H5" s="19" t="s">
        <v>529</v>
      </c>
      <c r="L5" s="19" t="s">
        <v>530</v>
      </c>
      <c r="P5" s="19" t="s">
        <v>531</v>
      </c>
    </row>
    <row r="6" spans="2:18" x14ac:dyDescent="0.25">
      <c r="B6" t="s">
        <v>532</v>
      </c>
      <c r="C6" t="s">
        <v>35</v>
      </c>
      <c r="D6" t="s">
        <v>13</v>
      </c>
      <c r="E6" t="s">
        <v>14</v>
      </c>
      <c r="F6" t="s">
        <v>15</v>
      </c>
      <c r="H6" cm="1">
        <f t="array" aca="1" ref="H6:J17" ca="1">OFFSET(C6,1,1,12,3)</f>
        <v>57.575153729432316</v>
      </c>
      <c r="I6">
        <f ca="1"/>
        <v>67.371869668826605</v>
      </c>
      <c r="J6">
        <f ca="1"/>
        <v>30.876646246546784</v>
      </c>
      <c r="L6" cm="1">
        <f t="array" aca="1" ref="L6:N17" ca="1">_xlfn.MAP(OFFSET(C6,1,1,12,3),_xlfn.LAMBDA(_xlpm.x,_xlpm.x*9))</f>
        <v>518.17638356489078</v>
      </c>
      <c r="M6">
        <f ca="1"/>
        <v>606.34682701943939</v>
      </c>
      <c r="N6">
        <f ca="1"/>
        <v>277.88981621892106</v>
      </c>
      <c r="P6" cm="1">
        <f t="array" aca="1" ref="P6:R17" ca="1">_xlfn.SCAN(1,OFFSET(C6,1,1,12,3),_xlfn.LAMBDA(_xlpm.acu,_xlpm.act,IF(_xlpm.act&gt;71,(_xlpm.acu/_xlpm.act)*350,_xlpm.acu)))</f>
        <v>1</v>
      </c>
      <c r="Q6">
        <f ca="1"/>
        <v>1</v>
      </c>
      <c r="R6">
        <f ca="1"/>
        <v>1</v>
      </c>
    </row>
    <row r="7" spans="2:18" x14ac:dyDescent="0.25">
      <c r="B7" s="5">
        <v>46023</v>
      </c>
      <c r="C7" t="s">
        <v>0</v>
      </c>
      <c r="D7">
        <v>57.575153729432316</v>
      </c>
      <c r="E7">
        <v>67.371869668826605</v>
      </c>
      <c r="F7">
        <v>30.876646246546784</v>
      </c>
      <c r="H7">
        <f ca="1"/>
        <v>29.437780461836709</v>
      </c>
      <c r="I7">
        <f ca="1"/>
        <v>50.233664444450753</v>
      </c>
      <c r="J7">
        <f ca="1"/>
        <v>63.493265266988928</v>
      </c>
      <c r="L7">
        <f ca="1"/>
        <v>264.9400241565304</v>
      </c>
      <c r="M7">
        <f ca="1"/>
        <v>452.10298000005679</v>
      </c>
      <c r="N7">
        <f ca="1"/>
        <v>571.43938740290037</v>
      </c>
      <c r="P7">
        <f ca="1"/>
        <v>1</v>
      </c>
      <c r="Q7">
        <f ca="1"/>
        <v>1</v>
      </c>
      <c r="R7">
        <f ca="1"/>
        <v>1</v>
      </c>
    </row>
    <row r="8" spans="2:18" x14ac:dyDescent="0.25">
      <c r="B8" s="5">
        <v>46054</v>
      </c>
      <c r="C8" t="s">
        <v>1</v>
      </c>
      <c r="D8">
        <v>29.437780461836709</v>
      </c>
      <c r="E8">
        <v>50.233664444450753</v>
      </c>
      <c r="F8">
        <v>63.493265266988928</v>
      </c>
      <c r="H8">
        <f ca="1"/>
        <v>36.633007782365127</v>
      </c>
      <c r="I8">
        <f ca="1"/>
        <v>27.3843234347151</v>
      </c>
      <c r="J8">
        <f ca="1"/>
        <v>71.059004583087329</v>
      </c>
      <c r="L8">
        <f ca="1"/>
        <v>329.69707004128611</v>
      </c>
      <c r="M8">
        <f ca="1"/>
        <v>246.4589109124359</v>
      </c>
      <c r="N8">
        <f ca="1"/>
        <v>639.53104124778599</v>
      </c>
      <c r="P8">
        <f ca="1"/>
        <v>1</v>
      </c>
      <c r="Q8">
        <f ca="1"/>
        <v>1</v>
      </c>
      <c r="R8">
        <f ca="1"/>
        <v>4.9254841388997317</v>
      </c>
    </row>
    <row r="9" spans="2:18" x14ac:dyDescent="0.25">
      <c r="B9" s="5">
        <v>46082</v>
      </c>
      <c r="C9" t="s">
        <v>2</v>
      </c>
      <c r="D9">
        <v>36.633007782365127</v>
      </c>
      <c r="E9">
        <v>27.3843234347151</v>
      </c>
      <c r="F9">
        <v>71.059004583087329</v>
      </c>
      <c r="H9">
        <f ca="1"/>
        <v>49.322792752699087</v>
      </c>
      <c r="I9">
        <f ca="1"/>
        <v>47.384141313900955</v>
      </c>
      <c r="J9">
        <f ca="1"/>
        <v>64.889196685717209</v>
      </c>
      <c r="L9">
        <f ca="1"/>
        <v>443.90513477429181</v>
      </c>
      <c r="M9">
        <f ca="1"/>
        <v>426.45727182510859</v>
      </c>
      <c r="N9">
        <f ca="1"/>
        <v>584.00277017145493</v>
      </c>
      <c r="P9">
        <f ca="1"/>
        <v>4.9254841388997317</v>
      </c>
      <c r="Q9">
        <f ca="1"/>
        <v>4.9254841388997317</v>
      </c>
      <c r="R9">
        <f ca="1"/>
        <v>4.9254841388997317</v>
      </c>
    </row>
    <row r="10" spans="2:18" x14ac:dyDescent="0.25">
      <c r="B10" s="5">
        <v>46113</v>
      </c>
      <c r="C10" t="s">
        <v>3</v>
      </c>
      <c r="D10">
        <v>49.322792752699087</v>
      </c>
      <c r="E10">
        <v>47.384141313900955</v>
      </c>
      <c r="F10">
        <v>64.889196685717209</v>
      </c>
      <c r="H10">
        <f ca="1"/>
        <v>46.068687415259291</v>
      </c>
      <c r="I10">
        <f ca="1"/>
        <v>32.044606221983528</v>
      </c>
      <c r="J10">
        <f ca="1"/>
        <v>60.955255457681062</v>
      </c>
      <c r="L10">
        <f ca="1"/>
        <v>414.61818673733364</v>
      </c>
      <c r="M10">
        <f ca="1"/>
        <v>288.40145599785177</v>
      </c>
      <c r="N10">
        <f ca="1"/>
        <v>548.5972991191295</v>
      </c>
      <c r="P10">
        <f ca="1"/>
        <v>4.9254841388997317</v>
      </c>
      <c r="Q10">
        <f ca="1"/>
        <v>4.9254841388997317</v>
      </c>
      <c r="R10">
        <f ca="1"/>
        <v>4.9254841388997317</v>
      </c>
    </row>
    <row r="11" spans="2:18" x14ac:dyDescent="0.25">
      <c r="B11" s="5">
        <v>46143</v>
      </c>
      <c r="C11" t="s">
        <v>4</v>
      </c>
      <c r="D11">
        <v>46.068687415259291</v>
      </c>
      <c r="E11">
        <v>32.044606221983528</v>
      </c>
      <c r="F11">
        <v>60.955255457681062</v>
      </c>
      <c r="H11">
        <f ca="1"/>
        <v>60.34748064875069</v>
      </c>
      <c r="I11">
        <f ca="1"/>
        <v>33.769534033846412</v>
      </c>
      <c r="J11">
        <f ca="1"/>
        <v>27.529101465295525</v>
      </c>
      <c r="L11">
        <f ca="1"/>
        <v>543.12732583875618</v>
      </c>
      <c r="M11">
        <f ca="1"/>
        <v>303.92580630461771</v>
      </c>
      <c r="N11">
        <f ca="1"/>
        <v>247.76191318765973</v>
      </c>
      <c r="P11">
        <f ca="1"/>
        <v>4.9254841388997317</v>
      </c>
      <c r="Q11">
        <f ca="1"/>
        <v>4.9254841388997317</v>
      </c>
      <c r="R11">
        <f ca="1"/>
        <v>4.9254841388997317</v>
      </c>
    </row>
    <row r="12" spans="2:18" x14ac:dyDescent="0.25">
      <c r="B12" s="5">
        <v>46174</v>
      </c>
      <c r="C12" t="s">
        <v>5</v>
      </c>
      <c r="D12">
        <v>60.34748064875069</v>
      </c>
      <c r="E12">
        <v>33.769534033846412</v>
      </c>
      <c r="F12">
        <v>27.529101465295525</v>
      </c>
      <c r="H12">
        <f ca="1"/>
        <v>29.872712321780526</v>
      </c>
      <c r="I12">
        <f ca="1"/>
        <v>66.377064920768802</v>
      </c>
      <c r="J12">
        <f ca="1"/>
        <v>49.297049870294799</v>
      </c>
      <c r="L12">
        <f ca="1"/>
        <v>268.85441089602472</v>
      </c>
      <c r="M12">
        <f ca="1"/>
        <v>597.39358428691924</v>
      </c>
      <c r="N12">
        <f ca="1"/>
        <v>443.67344883265321</v>
      </c>
      <c r="P12">
        <f ca="1"/>
        <v>4.9254841388997317</v>
      </c>
      <c r="Q12">
        <f ca="1"/>
        <v>4.9254841388997317</v>
      </c>
      <c r="R12">
        <f ca="1"/>
        <v>4.9254841388997317</v>
      </c>
    </row>
    <row r="13" spans="2:18" x14ac:dyDescent="0.25">
      <c r="B13" s="5">
        <v>46204</v>
      </c>
      <c r="C13" t="s">
        <v>6</v>
      </c>
      <c r="D13">
        <v>29.872712321780526</v>
      </c>
      <c r="E13">
        <v>66.377064920768802</v>
      </c>
      <c r="F13">
        <v>49.297049870294799</v>
      </c>
      <c r="H13">
        <f ca="1"/>
        <v>44.892465897002381</v>
      </c>
      <c r="I13">
        <f ca="1"/>
        <v>35.215731249861463</v>
      </c>
      <c r="J13">
        <f ca="1"/>
        <v>59.779564083634668</v>
      </c>
      <c r="L13">
        <f ca="1"/>
        <v>404.0321930730214</v>
      </c>
      <c r="M13">
        <f ca="1"/>
        <v>316.94158124875315</v>
      </c>
      <c r="N13">
        <f ca="1"/>
        <v>538.01607675271202</v>
      </c>
      <c r="P13">
        <f ca="1"/>
        <v>4.9254841388997317</v>
      </c>
      <c r="Q13">
        <f ca="1"/>
        <v>4.9254841388997317</v>
      </c>
      <c r="R13">
        <f ca="1"/>
        <v>4.9254841388997317</v>
      </c>
    </row>
    <row r="14" spans="2:18" x14ac:dyDescent="0.25">
      <c r="B14" s="5">
        <v>46235</v>
      </c>
      <c r="C14" t="s">
        <v>7</v>
      </c>
      <c r="D14">
        <v>44.892465897002381</v>
      </c>
      <c r="E14">
        <v>35.215731249861463</v>
      </c>
      <c r="F14">
        <v>59.779564083634668</v>
      </c>
      <c r="H14">
        <f ca="1"/>
        <v>44.518875413754884</v>
      </c>
      <c r="I14">
        <f ca="1"/>
        <v>57.646849651408118</v>
      </c>
      <c r="J14">
        <f ca="1"/>
        <v>25.246198899105437</v>
      </c>
      <c r="L14">
        <f ca="1"/>
        <v>400.66987872379394</v>
      </c>
      <c r="M14">
        <f ca="1"/>
        <v>518.82164686267311</v>
      </c>
      <c r="N14">
        <f ca="1"/>
        <v>227.21579009194892</v>
      </c>
      <c r="P14">
        <f ca="1"/>
        <v>4.9254841388997317</v>
      </c>
      <c r="Q14">
        <f ca="1"/>
        <v>4.9254841388997317</v>
      </c>
      <c r="R14">
        <f ca="1"/>
        <v>4.9254841388997317</v>
      </c>
    </row>
    <row r="15" spans="2:18" x14ac:dyDescent="0.25">
      <c r="B15" s="5">
        <v>46266</v>
      </c>
      <c r="C15" t="s">
        <v>8</v>
      </c>
      <c r="D15">
        <v>44.518875413754884</v>
      </c>
      <c r="E15">
        <v>57.646849651408118</v>
      </c>
      <c r="F15">
        <v>25.246198899105437</v>
      </c>
      <c r="H15">
        <f ca="1"/>
        <v>72.474277654362396</v>
      </c>
      <c r="I15">
        <f ca="1"/>
        <v>70.891310957286407</v>
      </c>
      <c r="J15">
        <f ca="1"/>
        <v>26.016093582479527</v>
      </c>
      <c r="L15">
        <f ca="1"/>
        <v>652.26849888926154</v>
      </c>
      <c r="M15">
        <f ca="1"/>
        <v>638.02179861557761</v>
      </c>
      <c r="N15">
        <f ca="1"/>
        <v>234.14484224231575</v>
      </c>
      <c r="P15">
        <f ca="1"/>
        <v>23.786638575916037</v>
      </c>
      <c r="Q15">
        <f ca="1"/>
        <v>23.786638575916037</v>
      </c>
      <c r="R15">
        <f ca="1"/>
        <v>23.786638575916037</v>
      </c>
    </row>
    <row r="16" spans="2:18" x14ac:dyDescent="0.25">
      <c r="B16" s="5">
        <v>46296</v>
      </c>
      <c r="C16" t="s">
        <v>9</v>
      </c>
      <c r="D16">
        <v>72.474277654362396</v>
      </c>
      <c r="E16">
        <v>70.891310957286407</v>
      </c>
      <c r="F16">
        <v>26.016093582479527</v>
      </c>
      <c r="H16">
        <f ca="1"/>
        <v>39.552555206137384</v>
      </c>
      <c r="I16">
        <f ca="1"/>
        <v>49.487241163307772</v>
      </c>
      <c r="J16">
        <f ca="1"/>
        <v>65.500557003655686</v>
      </c>
      <c r="L16">
        <f ca="1"/>
        <v>355.97299685523649</v>
      </c>
      <c r="M16">
        <f ca="1"/>
        <v>445.38517046976995</v>
      </c>
      <c r="N16">
        <f ca="1"/>
        <v>589.50501303290116</v>
      </c>
      <c r="P16">
        <f ca="1"/>
        <v>23.786638575916037</v>
      </c>
      <c r="Q16">
        <f ca="1"/>
        <v>23.786638575916037</v>
      </c>
      <c r="R16">
        <f ca="1"/>
        <v>23.786638575916037</v>
      </c>
    </row>
    <row r="17" spans="2:18" x14ac:dyDescent="0.25">
      <c r="B17" s="5">
        <v>46327</v>
      </c>
      <c r="C17" t="s">
        <v>10</v>
      </c>
      <c r="D17">
        <v>39.552555206137384</v>
      </c>
      <c r="E17">
        <v>49.487241163307772</v>
      </c>
      <c r="F17">
        <v>65.500557003655686</v>
      </c>
      <c r="H17">
        <f ca="1"/>
        <v>67.787084512400412</v>
      </c>
      <c r="I17">
        <f ca="1"/>
        <v>71.403030749819763</v>
      </c>
      <c r="J17">
        <f ca="1"/>
        <v>55.432784546974716</v>
      </c>
      <c r="L17">
        <f ca="1"/>
        <v>610.08376061160368</v>
      </c>
      <c r="M17">
        <f ca="1"/>
        <v>642.62727674837788</v>
      </c>
      <c r="N17">
        <f ca="1"/>
        <v>498.89506092277247</v>
      </c>
      <c r="P17">
        <f ca="1"/>
        <v>23.786638575916037</v>
      </c>
      <c r="Q17">
        <f ca="1"/>
        <v>116.59622027446822</v>
      </c>
      <c r="R17">
        <f ca="1"/>
        <v>116.59622027446822</v>
      </c>
    </row>
    <row r="18" spans="2:18" x14ac:dyDescent="0.25">
      <c r="B18" s="5">
        <v>46357</v>
      </c>
      <c r="C18" t="s">
        <v>11</v>
      </c>
      <c r="D18">
        <v>67.787084512400412</v>
      </c>
      <c r="E18">
        <v>71.403030749819763</v>
      </c>
      <c r="F18">
        <v>55.432784546974716</v>
      </c>
    </row>
    <row r="22" spans="2:18" x14ac:dyDescent="0.25">
      <c r="G22">
        <f>VLOOKUP(C9,C6:F18,2,0)</f>
        <v>36.633007782365127</v>
      </c>
    </row>
    <row r="26" spans="2:18" x14ac:dyDescent="0.25">
      <c r="B26" s="17" t="s">
        <v>340</v>
      </c>
      <c r="C26" t="s">
        <v>534</v>
      </c>
    </row>
    <row r="27" spans="2:18" x14ac:dyDescent="0.25">
      <c r="B27" s="18" t="s">
        <v>533</v>
      </c>
      <c r="C27">
        <v>47.384141313900955</v>
      </c>
    </row>
    <row r="28" spans="2:18" x14ac:dyDescent="0.25">
      <c r="B28" s="18" t="s">
        <v>341</v>
      </c>
      <c r="C28">
        <v>47.384141313900955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D3B5-402F-4F5D-9816-8B0BEC035429}">
  <dimension ref="A1:H22"/>
  <sheetViews>
    <sheetView workbookViewId="0">
      <selection activeCell="H2" sqref="H2"/>
    </sheetView>
  </sheetViews>
  <sheetFormatPr baseColWidth="10" defaultRowHeight="15" x14ac:dyDescent="0.25"/>
  <cols>
    <col min="1" max="1" width="13.5703125" customWidth="1"/>
    <col min="3" max="3" width="26" customWidth="1"/>
    <col min="5" max="5" width="22.140625" customWidth="1"/>
    <col min="6" max="6" width="42.7109375" customWidth="1"/>
    <col min="7" max="7" width="38.140625" customWidth="1"/>
    <col min="8" max="8" width="34.42578125" customWidth="1"/>
  </cols>
  <sheetData>
    <row r="1" spans="1:8" x14ac:dyDescent="0.25">
      <c r="F1" s="19" t="s">
        <v>542</v>
      </c>
      <c r="G1" s="19" t="s">
        <v>543</v>
      </c>
      <c r="H1" s="19" t="s">
        <v>544</v>
      </c>
    </row>
    <row r="2" spans="1:8" x14ac:dyDescent="0.25">
      <c r="A2" t="s">
        <v>535</v>
      </c>
      <c r="B2" t="s">
        <v>536</v>
      </c>
      <c r="C2" t="s">
        <v>545</v>
      </c>
      <c r="E2" t="s">
        <v>458</v>
      </c>
      <c r="F2" t="str" cm="1">
        <f t="array" ref="F2:F4">_xlfn.UNIQUE(Tabla14[Comunidad])</f>
        <v>Aragon</v>
      </c>
      <c r="G2" t="str" cm="1">
        <f t="array" ref="G2:G7">_xlfn.CHOOSECOLS(_xlfn._xlws.FILTER(Tabla14[],Tabla14[Comunidad]=E2),2)</f>
        <v>Zaragoza</v>
      </c>
      <c r="H2" t="str" cm="1">
        <f t="array" ref="H2:H3">_xlfn.CHOOSECOLS(_xlfn._xlws.FILTER(Tabla14[],Tabla14[Provincia]=E3),3)</f>
        <v>Voleibol Teruel</v>
      </c>
    </row>
    <row r="3" spans="1:8" x14ac:dyDescent="0.25">
      <c r="A3" t="s">
        <v>458</v>
      </c>
      <c r="B3" t="s">
        <v>452</v>
      </c>
      <c r="C3" t="s">
        <v>546</v>
      </c>
      <c r="E3" t="s">
        <v>454</v>
      </c>
      <c r="F3" t="str">
        <v>Valencia</v>
      </c>
      <c r="G3" t="str">
        <v>Zaragoza</v>
      </c>
      <c r="H3" t="str">
        <v>CF Teruel</v>
      </c>
    </row>
    <row r="4" spans="1:8" x14ac:dyDescent="0.25">
      <c r="A4" t="s">
        <v>458</v>
      </c>
      <c r="B4" t="s">
        <v>452</v>
      </c>
      <c r="C4" t="s">
        <v>547</v>
      </c>
      <c r="E4" t="s">
        <v>551</v>
      </c>
      <c r="F4" t="str">
        <v>Galicia</v>
      </c>
      <c r="G4" t="str">
        <v>Huesca</v>
      </c>
    </row>
    <row r="5" spans="1:8" x14ac:dyDescent="0.25">
      <c r="A5" t="str">
        <f>A4</f>
        <v>Aragon</v>
      </c>
      <c r="B5" t="s">
        <v>453</v>
      </c>
      <c r="C5" t="s">
        <v>548</v>
      </c>
      <c r="G5" t="str">
        <v>Huesca</v>
      </c>
    </row>
    <row r="6" spans="1:8" x14ac:dyDescent="0.25">
      <c r="A6" t="str">
        <f>A4</f>
        <v>Aragon</v>
      </c>
      <c r="B6" t="s">
        <v>453</v>
      </c>
      <c r="C6" t="s">
        <v>549</v>
      </c>
      <c r="G6" t="str">
        <v>Teruel</v>
      </c>
    </row>
    <row r="7" spans="1:8" x14ac:dyDescent="0.25">
      <c r="A7" t="str">
        <f>A6</f>
        <v>Aragon</v>
      </c>
      <c r="B7" t="s">
        <v>454</v>
      </c>
      <c r="C7" t="s">
        <v>550</v>
      </c>
      <c r="G7" t="str">
        <v>Teruel</v>
      </c>
    </row>
    <row r="8" spans="1:8" x14ac:dyDescent="0.25">
      <c r="A8" t="str">
        <f t="shared" ref="A8" si="0">A6</f>
        <v>Aragon</v>
      </c>
      <c r="B8" t="s">
        <v>454</v>
      </c>
      <c r="C8" t="s">
        <v>551</v>
      </c>
    </row>
    <row r="9" spans="1:8" x14ac:dyDescent="0.25">
      <c r="A9" t="s">
        <v>457</v>
      </c>
      <c r="B9" t="s">
        <v>457</v>
      </c>
      <c r="C9" t="s">
        <v>552</v>
      </c>
    </row>
    <row r="10" spans="1:8" x14ac:dyDescent="0.25">
      <c r="A10" t="s">
        <v>457</v>
      </c>
      <c r="B10" t="s">
        <v>457</v>
      </c>
      <c r="C10" t="s">
        <v>553</v>
      </c>
      <c r="E10" t="str" cm="1">
        <f t="array" aca="1" ref="E10" ca="1">INDIRECT(E14&amp;F14)</f>
        <v>CF Teruel</v>
      </c>
    </row>
    <row r="11" spans="1:8" x14ac:dyDescent="0.25">
      <c r="A11" t="str">
        <f>A10</f>
        <v>Valencia</v>
      </c>
      <c r="B11" t="s">
        <v>537</v>
      </c>
      <c r="C11" t="s">
        <v>554</v>
      </c>
    </row>
    <row r="12" spans="1:8" x14ac:dyDescent="0.25">
      <c r="A12" t="str">
        <f>A10</f>
        <v>Valencia</v>
      </c>
      <c r="B12" t="s">
        <v>537</v>
      </c>
      <c r="C12" t="s">
        <v>555</v>
      </c>
    </row>
    <row r="13" spans="1:8" x14ac:dyDescent="0.25">
      <c r="A13" t="str">
        <f>A12</f>
        <v>Valencia</v>
      </c>
      <c r="B13" t="s">
        <v>456</v>
      </c>
      <c r="C13" t="s">
        <v>556</v>
      </c>
    </row>
    <row r="14" spans="1:8" x14ac:dyDescent="0.25">
      <c r="A14" t="str">
        <f t="shared" ref="A14" si="1">A12</f>
        <v>Valencia</v>
      </c>
      <c r="B14" t="s">
        <v>456</v>
      </c>
      <c r="C14" t="s">
        <v>557</v>
      </c>
      <c r="E14" t="s">
        <v>565</v>
      </c>
      <c r="F14">
        <v>4</v>
      </c>
    </row>
    <row r="15" spans="1:8" x14ac:dyDescent="0.25">
      <c r="A15" t="s">
        <v>538</v>
      </c>
      <c r="B15" t="s">
        <v>539</v>
      </c>
      <c r="C15" t="s">
        <v>558</v>
      </c>
    </row>
    <row r="16" spans="1:8" x14ac:dyDescent="0.25">
      <c r="A16" t="s">
        <v>538</v>
      </c>
      <c r="B16" t="s">
        <v>539</v>
      </c>
      <c r="C16" t="s">
        <v>559</v>
      </c>
    </row>
    <row r="17" spans="1:3" x14ac:dyDescent="0.25">
      <c r="A17" t="s">
        <v>538</v>
      </c>
      <c r="B17" t="s">
        <v>540</v>
      </c>
      <c r="C17" t="s">
        <v>560</v>
      </c>
    </row>
    <row r="18" spans="1:3" x14ac:dyDescent="0.25">
      <c r="A18" t="s">
        <v>538</v>
      </c>
      <c r="B18" t="s">
        <v>540</v>
      </c>
      <c r="C18" t="s">
        <v>561</v>
      </c>
    </row>
    <row r="19" spans="1:3" x14ac:dyDescent="0.25">
      <c r="A19" t="s">
        <v>538</v>
      </c>
      <c r="B19" t="s">
        <v>541</v>
      </c>
      <c r="C19" t="s">
        <v>562</v>
      </c>
    </row>
    <row r="20" spans="1:3" x14ac:dyDescent="0.25">
      <c r="A20" t="s">
        <v>538</v>
      </c>
      <c r="B20" t="s">
        <v>541</v>
      </c>
      <c r="C20" t="s">
        <v>563</v>
      </c>
    </row>
    <row r="21" spans="1:3" x14ac:dyDescent="0.25">
      <c r="A21" t="s">
        <v>538</v>
      </c>
      <c r="B21" t="s">
        <v>539</v>
      </c>
      <c r="C21" t="s">
        <v>564</v>
      </c>
    </row>
    <row r="22" spans="1:3" x14ac:dyDescent="0.25">
      <c r="A22" t="s">
        <v>538</v>
      </c>
      <c r="B22" t="s">
        <v>539</v>
      </c>
      <c r="C22" t="s">
        <v>559</v>
      </c>
    </row>
  </sheetData>
  <dataValidations count="3">
    <dataValidation type="list" allowBlank="1" showInputMessage="1" showErrorMessage="1" sqref="E2" xr:uid="{573A3FEC-2E2C-4CF5-9964-F47BF5CF2EB3}">
      <formula1>_xlfn.ANCHORARRAY(F2)</formula1>
    </dataValidation>
    <dataValidation type="list" allowBlank="1" showInputMessage="1" showErrorMessage="1" sqref="E3" xr:uid="{2C357E8E-478E-4D29-B6F5-B40A9588AD75}">
      <formula1>_xlfn.ANCHORARRAY(G2)</formula1>
    </dataValidation>
    <dataValidation type="list" allowBlank="1" showInputMessage="1" showErrorMessage="1" sqref="E4" xr:uid="{ECED73A0-7948-441A-B5A3-B30D52E9476A}">
      <formula1>_xlfn.ANCHORARRAY(H2)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32B9F9-B0FE-4786-83C5-EF96B3A0B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78</vt:i4>
      </vt:variant>
      <vt:variant>
        <vt:lpstr>Rangos con nombre</vt:lpstr>
      </vt:variant>
      <vt:variant>
        <vt:i4>98</vt:i4>
      </vt:variant>
    </vt:vector>
  </HeadingPairs>
  <TitlesOfParts>
    <vt:vector size="176" baseType="lpstr">
      <vt:lpstr>Inicio</vt:lpstr>
      <vt:lpstr>NUEVA REGLA FORMATO GRUPAL 1</vt:lpstr>
      <vt:lpstr>FUNCION Y</vt:lpstr>
      <vt:lpstr>CREAR NOMBRES DEFINIDOS</vt:lpstr>
      <vt:lpstr>FÓRMULA INDIRECTO</vt:lpstr>
      <vt:lpstr>TABLA PARA COPIAR</vt:lpstr>
      <vt:lpstr>BUSCADORES</vt:lpstr>
      <vt:lpstr>DESREF</vt:lpstr>
      <vt:lpstr>FUNCION SECUENCIA</vt:lpstr>
      <vt:lpstr>CONDICIONALES (SI)</vt:lpstr>
      <vt:lpstr>SUMAR SI CONTAR SI</vt:lpstr>
      <vt:lpstr>CRITERIOS FILTROS</vt:lpstr>
      <vt:lpstr>FUNCIONALIDAD BUSCADORES COND</vt:lpstr>
      <vt:lpstr>SUMAR SI CONJUNTO</vt:lpstr>
      <vt:lpstr>TEXTO EN COLUMNAS</vt:lpstr>
      <vt:lpstr>RELLENO RAPIDO</vt:lpstr>
      <vt:lpstr>DUPLICADOS Y VAL PERSONALIZADA</vt:lpstr>
      <vt:lpstr>VALIDACIÓN GRUPAL</vt:lpstr>
      <vt:lpstr>ANALISIS DE HIPÓTESIS</vt:lpstr>
      <vt:lpstr>FUNCIONES</vt:lpstr>
      <vt:lpstr>APILAR TOMAR EXCLUIR</vt:lpstr>
      <vt:lpstr>DATOS DE PRUEBA Y CONDICIONALES</vt:lpstr>
      <vt:lpstr>SOLVER</vt:lpstr>
      <vt:lpstr>SOLVER 2</vt:lpstr>
      <vt:lpstr>SOLVER GRUPAL</vt:lpstr>
      <vt:lpstr>TABLAS</vt:lpstr>
      <vt:lpstr>LET</vt:lpstr>
      <vt:lpstr>LET 2</vt:lpstr>
      <vt:lpstr>FUNCION REPETIR</vt:lpstr>
      <vt:lpstr>EJ VALIDACION DE DATOS</vt:lpstr>
      <vt:lpstr>INSERTAR VÍNCULO</vt:lpstr>
      <vt:lpstr>INMOVILIZAR</vt:lpstr>
      <vt:lpstr>COMBINAR (CON BUSCAR V)</vt:lpstr>
      <vt:lpstr>DATOS PRUEBA 1 PARA COMBINAR</vt:lpstr>
      <vt:lpstr>DATOS DE PRUEBA 2 PARA COMBINAR</vt:lpstr>
      <vt:lpstr>COMBINAR CON POWER QUERY</vt:lpstr>
      <vt:lpstr>EJEMPLO POWER QUERY ANEXAR</vt:lpstr>
      <vt:lpstr>DATOS COLOR POWER QUERY</vt:lpstr>
      <vt:lpstr>DATOS 2020 POWER QUERY</vt:lpstr>
      <vt:lpstr>DATOS 2022 POWER QUERY</vt:lpstr>
      <vt:lpstr>DATOS 2021 POWER QUERY</vt:lpstr>
      <vt:lpstr>EJEMPLO POWER QUERY 2 COMBINAR</vt:lpstr>
      <vt:lpstr>REPASO</vt:lpstr>
      <vt:lpstr>BUSCARX MAP SCAN</vt:lpstr>
      <vt:lpstr>INDICE Y COINCIDIR</vt:lpstr>
      <vt:lpstr>AGRUPARPOR</vt:lpstr>
      <vt:lpstr>NOTAS EXAMEN</vt:lpstr>
      <vt:lpstr>FILTRAR CON CONTAR.SI</vt:lpstr>
      <vt:lpstr>ORDENACIÓN CONCEPTOS SOCIALES</vt:lpstr>
      <vt:lpstr>Seguridad</vt:lpstr>
      <vt:lpstr>TRADUCIR</vt:lpstr>
      <vt:lpstr>Información</vt:lpstr>
      <vt:lpstr>Información 2</vt:lpstr>
      <vt:lpstr>LET 3</vt:lpstr>
      <vt:lpstr>INDICE MAP VBA</vt:lpstr>
      <vt:lpstr>ENCOL</vt:lpstr>
      <vt:lpstr>AGRUPAR POR EXCLUIR ORDENAR PIV</vt:lpstr>
      <vt:lpstr>PIVOTAR POR</vt:lpstr>
      <vt:lpstr>AGRUPAR POR DOS COLUMNAS</vt:lpstr>
      <vt:lpstr>SOLVER 3</vt:lpstr>
      <vt:lpstr>RELLENAR CELDAS 12 APUNTES</vt:lpstr>
      <vt:lpstr>LAMBDA DATOSP</vt:lpstr>
      <vt:lpstr>LAMBDA AGRUPARPOR </vt:lpstr>
      <vt:lpstr>LAMBDA LET y FORMATO</vt:lpstr>
      <vt:lpstr>NUEVA REGLA FORMATO GRUPAL 2</vt:lpstr>
      <vt:lpstr>MINIGRAFICOS Y FILTRO AVANZADAS</vt:lpstr>
      <vt:lpstr>FILTROS CARÁCTERES ESPECIALES</vt:lpstr>
      <vt:lpstr>SIMBOLOGIA ESPECIAL RANGOS</vt:lpstr>
      <vt:lpstr>LET 4 PARA CREAR DATOS P</vt:lpstr>
      <vt:lpstr>FUNCION LAMBDA </vt:lpstr>
      <vt:lpstr>CREACION NOMBRES E INDIRECTO</vt:lpstr>
      <vt:lpstr>CONTAR</vt:lpstr>
      <vt:lpstr>SUBTOTALES</vt:lpstr>
      <vt:lpstr>DIAGRAMA GANTT INACABADO</vt:lpstr>
      <vt:lpstr>CREAR FORMULARIO QUE ABRA OTRO</vt:lpstr>
      <vt:lpstr>EJEMPLO LAMBDA</vt:lpstr>
      <vt:lpstr>FUNCION DESREF</vt:lpstr>
      <vt:lpstr>COMBINACION LISTAS VALIDACION</vt:lpstr>
      <vt:lpstr>_datos</vt:lpstr>
      <vt:lpstr>_IVA</vt:lpstr>
      <vt:lpstr>_IVA_REDUCIDO</vt:lpstr>
      <vt:lpstr>_PROVINCIAS</vt:lpstr>
      <vt:lpstr>A</vt:lpstr>
      <vt:lpstr>'BUSCARX MAP SCAN'!Abril</vt:lpstr>
      <vt:lpstr>Abril</vt:lpstr>
      <vt:lpstr>'BUSCARX MAP SCAN'!Agosto</vt:lpstr>
      <vt:lpstr>Agosto</vt:lpstr>
      <vt:lpstr>'BUSCARX MAP SCAN'!Agua</vt:lpstr>
      <vt:lpstr>Agua</vt:lpstr>
      <vt:lpstr>Alumno1</vt:lpstr>
      <vt:lpstr>Alumno2</vt:lpstr>
      <vt:lpstr>Alumno3</vt:lpstr>
      <vt:lpstr>Alumno4</vt:lpstr>
      <vt:lpstr>'CRITERIOS FILTROS'!Área_de_extracción</vt:lpstr>
      <vt:lpstr>'MINIGRAFICOS Y FILTRO AVANZADAS'!Área_de_extracción</vt:lpstr>
      <vt:lpstr>Beneficiototal</vt:lpstr>
      <vt:lpstr>Caca</vt:lpstr>
      <vt:lpstr>Cafés</vt:lpstr>
      <vt:lpstr>Cantidadtotal</vt:lpstr>
      <vt:lpstr>Casa</vt:lpstr>
      <vt:lpstr>Casademont_Zaragoza</vt:lpstr>
      <vt:lpstr>casilla</vt:lpstr>
      <vt:lpstr>Cigarros</vt:lpstr>
      <vt:lpstr>cokemin</vt:lpstr>
      <vt:lpstr>Cokes</vt:lpstr>
      <vt:lpstr>Costetotal</vt:lpstr>
      <vt:lpstr>crep</vt:lpstr>
      <vt:lpstr>'CRITERIOS FILTROS'!Criterios</vt:lpstr>
      <vt:lpstr>'MINIGRAFICOS Y FILTRO AVANZADAS'!Criterios</vt:lpstr>
      <vt:lpstr>Días</vt:lpstr>
      <vt:lpstr>'BUSCARX MAP SCAN'!Diciembre</vt:lpstr>
      <vt:lpstr>Diciembre</vt:lpstr>
      <vt:lpstr>Domingo</vt:lpstr>
      <vt:lpstr>DONACIONES</vt:lpstr>
      <vt:lpstr>'BUSCARX MAP SCAN'!Enero</vt:lpstr>
      <vt:lpstr>Enero</vt:lpstr>
      <vt:lpstr>Examen_1</vt:lpstr>
      <vt:lpstr>Examen_2</vt:lpstr>
      <vt:lpstr>'BUSCARX MAP SCAN'!Febrero</vt:lpstr>
      <vt:lpstr>Febrero</vt:lpstr>
      <vt:lpstr>Hamb</vt:lpstr>
      <vt:lpstr>hambmin</vt:lpstr>
      <vt:lpstr>Hamburguesas</vt:lpstr>
      <vt:lpstr>impuestoA</vt:lpstr>
      <vt:lpstr>impuestoB</vt:lpstr>
      <vt:lpstr>impuestoC</vt:lpstr>
      <vt:lpstr>impuestoD</vt:lpstr>
      <vt:lpstr>'CREACION NOMBRES E INDIRECTO'!IVA</vt:lpstr>
      <vt:lpstr>IVA</vt:lpstr>
      <vt:lpstr>IVA_REDUCIDO</vt:lpstr>
      <vt:lpstr>IVA_SUPER_REDUCIDO</vt:lpstr>
      <vt:lpstr>Jueves</vt:lpstr>
      <vt:lpstr>'BUSCARX MAP SCAN'!Julio</vt:lpstr>
      <vt:lpstr>Julio</vt:lpstr>
      <vt:lpstr>'BUSCARX MAP SCAN'!Junio</vt:lpstr>
      <vt:lpstr>Junio</vt:lpstr>
      <vt:lpstr>keb</vt:lpstr>
      <vt:lpstr>Lunes</vt:lpstr>
      <vt:lpstr>'BUSCARX MAP SCAN'!Luz</vt:lpstr>
      <vt:lpstr>Luz</vt:lpstr>
      <vt:lpstr>Magdalenas</vt:lpstr>
      <vt:lpstr>Magdmax</vt:lpstr>
      <vt:lpstr>mantelmax</vt:lpstr>
      <vt:lpstr>Martes</vt:lpstr>
      <vt:lpstr>'BUSCARX MAP SCAN'!Marzo</vt:lpstr>
      <vt:lpstr>Marzo</vt:lpstr>
      <vt:lpstr>'BUSCARX MAP SCAN'!Mayo</vt:lpstr>
      <vt:lpstr>Mayo</vt:lpstr>
      <vt:lpstr>'BUSCARX MAP SCAN'!Meses</vt:lpstr>
      <vt:lpstr>Meses</vt:lpstr>
      <vt:lpstr>Miércoles</vt:lpstr>
      <vt:lpstr>mincrepes</vt:lpstr>
      <vt:lpstr>Minham</vt:lpstr>
      <vt:lpstr>minkebab</vt:lpstr>
      <vt:lpstr>mintaco</vt:lpstr>
      <vt:lpstr>'BUSCARX MAP SCAN'!Noviembre</vt:lpstr>
      <vt:lpstr>Noviembre</vt:lpstr>
      <vt:lpstr>'BUSCARX MAP SCAN'!Octubre</vt:lpstr>
      <vt:lpstr>Octubre</vt:lpstr>
      <vt:lpstr>Pene</vt:lpstr>
      <vt:lpstr>Pis</vt:lpstr>
      <vt:lpstr>piz</vt:lpstr>
      <vt:lpstr>pizzpreven</vt:lpstr>
      <vt:lpstr>pizzpreventi</vt:lpstr>
      <vt:lpstr>presupuest</vt:lpstr>
      <vt:lpstr>presupuesto</vt:lpstr>
      <vt:lpstr>Sábado</vt:lpstr>
      <vt:lpstr>SEPARARLET</vt:lpstr>
      <vt:lpstr>'BUSCARX MAP SCAN'!Septiembre</vt:lpstr>
      <vt:lpstr>Septiembre</vt:lpstr>
      <vt:lpstr>sumakebabs</vt:lpstr>
      <vt:lpstr>tac</vt:lpstr>
      <vt:lpstr>Teléfono</vt:lpstr>
      <vt:lpstr>Variables</vt:lpstr>
      <vt:lpstr>Viernes</vt:lpstr>
      <vt:lpstr>Whisky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 PIQUER</dc:creator>
  <cp:lastModifiedBy>Paola Guimera Delcazo</cp:lastModifiedBy>
  <cp:lastPrinted>2026-04-16T07:50:51Z</cp:lastPrinted>
  <dcterms:created xsi:type="dcterms:W3CDTF">2026-04-13T06:55:35Z</dcterms:created>
  <dcterms:modified xsi:type="dcterms:W3CDTF">2026-08-11T08:28:32Z</dcterms:modified>
</cp:coreProperties>
</file>